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5295" yWindow="0" windowWidth="13380" windowHeight="8130" activeTab="1"/>
  </bookViews>
  <sheets>
    <sheet name="Raw Data" sheetId="1" r:id="rId1"/>
    <sheet name="Math" sheetId="20" r:id="rId2"/>
    <sheet name="Weighting &amp; Ranking Sheet" sheetId="19" r:id="rId3"/>
  </sheets>
  <definedNames>
    <definedName name="_xlnm._FilterDatabase" localSheetId="1" hidden="1">Math!$A:$Y</definedName>
    <definedName name="_xlnm._FilterDatabase" localSheetId="2" hidden="1">'Weighting &amp; Ranking Sheet'!$B$3:$B$18</definedName>
    <definedName name="_xlnm.Criteria" localSheetId="1">Math!$G$22</definedName>
    <definedName name="_xlnm.Criteria" localSheetId="2">'Weighting &amp; Ranking Sheet'!$B$3:$B$6</definedName>
    <definedName name="_xlnm.Criteria">Math!$G$22</definedName>
    <definedName name="_xlnm.Extract" localSheetId="1">Math!$AH$22:$BF$22</definedName>
    <definedName name="_xlnm.Extract" localSheetId="2">'Weighting &amp; Ranking Sheet'!$G$3</definedName>
    <definedName name="testimport._1" localSheetId="0">'Raw Data'!#REF!</definedName>
  </definedNames>
  <calcPr calcId="145621" calcMode="manual"/>
</workbook>
</file>

<file path=xl/calcChain.xml><?xml version="1.0" encoding="utf-8"?>
<calcChain xmlns="http://schemas.openxmlformats.org/spreadsheetml/2006/main">
  <c r="AB18" i="20" l="1" a="1"/>
  <c r="AB18" i="20" s="1"/>
  <c r="AB17" i="20" a="1"/>
  <c r="AB17" i="20"/>
  <c r="AB16" i="20" a="1"/>
  <c r="AB16" i="20" s="1"/>
  <c r="AB15" i="20"/>
  <c r="AB14" i="20" a="1"/>
  <c r="AB14" i="20" s="1"/>
  <c r="AB13" i="20" a="1"/>
  <c r="AB13" i="20"/>
  <c r="AB12" i="20" a="1"/>
  <c r="AB12" i="20" s="1"/>
  <c r="AB11" i="20" a="1"/>
  <c r="AB11" i="20"/>
  <c r="AB10" i="20" a="1"/>
  <c r="AB10" i="20" s="1"/>
  <c r="AB9" i="20" a="1"/>
  <c r="AB9" i="20"/>
  <c r="AB8" i="20" a="1"/>
  <c r="AB8" i="20" s="1"/>
  <c r="AB7" i="20" a="1"/>
  <c r="AB7" i="20"/>
  <c r="AB4" i="20" a="1"/>
  <c r="AB4" i="20" s="1"/>
  <c r="AA18" i="20" a="1"/>
  <c r="AA18" i="20"/>
  <c r="AA17" i="20" a="1"/>
  <c r="AA17" i="20" s="1"/>
  <c r="AA16" i="20" a="1"/>
  <c r="AA16" i="20"/>
  <c r="AA15" i="20" a="1"/>
  <c r="AA15" i="20" s="1"/>
  <c r="AA14" i="20" a="1"/>
  <c r="AA14" i="20"/>
  <c r="AA13" i="20" a="1"/>
  <c r="AA13" i="20" s="1"/>
  <c r="AA12" i="20" a="1"/>
  <c r="AA12" i="20"/>
  <c r="AA11" i="20" a="1"/>
  <c r="AA11" i="20" s="1"/>
  <c r="AA10" i="20" a="1"/>
  <c r="AA10" i="20"/>
  <c r="AA9" i="20" a="1"/>
  <c r="AA9" i="20" s="1"/>
  <c r="AA8" i="20" a="1"/>
  <c r="AA8" i="20"/>
  <c r="AA7" i="20" a="1"/>
  <c r="AA7" i="20" s="1"/>
  <c r="AA4" i="20" a="1"/>
  <c r="AA4" i="20"/>
  <c r="Z18" i="20" a="1"/>
  <c r="Z18" i="20" s="1"/>
  <c r="Z17" i="20" a="1"/>
  <c r="Z17" i="20"/>
  <c r="Z16" i="20" a="1"/>
  <c r="Z16" i="20" s="1"/>
  <c r="Z15" i="20" a="1"/>
  <c r="Z15" i="20"/>
  <c r="Z14" i="20" a="1"/>
  <c r="Z14" i="20" s="1"/>
  <c r="Z13" i="20" a="1"/>
  <c r="Z13" i="20"/>
  <c r="Z12" i="20" a="1"/>
  <c r="Z12" i="20" s="1"/>
  <c r="Z11" i="20" a="1"/>
  <c r="Z11" i="20"/>
  <c r="Z10" i="20" a="1"/>
  <c r="Z10" i="20" s="1"/>
  <c r="Z9" i="20" a="1"/>
  <c r="Z9" i="20"/>
  <c r="Z8" i="20" a="1"/>
  <c r="Z8" i="20" s="1"/>
  <c r="Z7" i="20" a="1"/>
  <c r="Z7" i="20"/>
  <c r="Z4" i="20" a="1"/>
  <c r="Z4" i="20" s="1"/>
  <c r="Y18" i="20" a="1"/>
  <c r="Y18" i="20"/>
  <c r="Y17" i="20" a="1"/>
  <c r="Y17" i="20" s="1"/>
  <c r="Y16" i="20" a="1"/>
  <c r="Y16" i="20"/>
  <c r="Y15" i="20" a="1"/>
  <c r="Y15" i="20" s="1"/>
  <c r="Y14" i="20" a="1"/>
  <c r="Y14" i="20"/>
  <c r="Y13" i="20" a="1"/>
  <c r="Y13" i="20" s="1"/>
  <c r="Y12" i="20" a="1"/>
  <c r="Y12" i="20"/>
  <c r="Y11" i="20" a="1"/>
  <c r="Y11" i="20" s="1"/>
  <c r="Y10" i="20" a="1"/>
  <c r="Y10" i="20"/>
  <c r="Y9" i="20" a="1"/>
  <c r="Y9" i="20" s="1"/>
  <c r="Y8" i="20" a="1"/>
  <c r="Y8" i="20"/>
  <c r="Y7" i="20" a="1"/>
  <c r="Y7" i="20" s="1"/>
  <c r="Y4" i="20" a="1"/>
  <c r="Y4" i="20"/>
  <c r="X18" i="20" a="1"/>
  <c r="X18" i="20" s="1"/>
  <c r="X17" i="20" a="1"/>
  <c r="X17" i="20"/>
  <c r="X16" i="20" a="1"/>
  <c r="X16" i="20" s="1"/>
  <c r="X15" i="20" a="1"/>
  <c r="X15" i="20"/>
  <c r="X14" i="20" a="1"/>
  <c r="X14" i="20" s="1"/>
  <c r="X13" i="20" a="1"/>
  <c r="X13" i="20"/>
  <c r="X12" i="20"/>
  <c r="X11" i="20" a="1"/>
  <c r="X11" i="20"/>
  <c r="X10" i="20" a="1"/>
  <c r="X10" i="20"/>
  <c r="X9" i="20" a="1"/>
  <c r="X9" i="20"/>
  <c r="X8" i="20" a="1"/>
  <c r="X8" i="20"/>
  <c r="X7" i="20" a="1"/>
  <c r="X7" i="20"/>
  <c r="X4" i="20" a="1"/>
  <c r="X4" i="20" s="1"/>
  <c r="W18" i="20" a="1"/>
  <c r="W18" i="20"/>
  <c r="W17" i="20" a="1"/>
  <c r="W17" i="20" s="1"/>
  <c r="W16" i="20" a="1"/>
  <c r="W16" i="20"/>
  <c r="W15" i="20" a="1"/>
  <c r="W15" i="20" s="1"/>
  <c r="W14" i="20" a="1"/>
  <c r="W14" i="20"/>
  <c r="W13" i="20" a="1"/>
  <c r="W13" i="20" s="1"/>
  <c r="W12" i="20" a="1"/>
  <c r="W12" i="20"/>
  <c r="W11" i="20" a="1"/>
  <c r="W11" i="20" s="1"/>
  <c r="W10" i="20" a="1"/>
  <c r="W10" i="20"/>
  <c r="W9" i="20" a="1"/>
  <c r="W9" i="20" s="1"/>
  <c r="W8" i="20" a="1"/>
  <c r="W8" i="20"/>
  <c r="W7" i="20" a="1"/>
  <c r="W7" i="20" s="1"/>
  <c r="W4" i="20" a="1"/>
  <c r="W4" i="20"/>
  <c r="V18" i="20" a="1"/>
  <c r="V18" i="20"/>
  <c r="V17" i="20" a="1"/>
  <c r="V17" i="20"/>
  <c r="V16" i="20" a="1"/>
  <c r="V16" i="20"/>
  <c r="V15" i="20" a="1"/>
  <c r="V15" i="20"/>
  <c r="V14" i="20" a="1"/>
  <c r="V14" i="20"/>
  <c r="V13" i="20" a="1"/>
  <c r="V13" i="20"/>
  <c r="V12" i="20" a="1"/>
  <c r="V12" i="20"/>
  <c r="V11" i="20" a="1"/>
  <c r="V11" i="20"/>
  <c r="V10" i="20" a="1"/>
  <c r="V10" i="20"/>
  <c r="V9" i="20" a="1"/>
  <c r="V9" i="20" s="1"/>
  <c r="V8" i="20" a="1"/>
  <c r="V8" i="20"/>
  <c r="V7" i="20" a="1"/>
  <c r="V7" i="20" s="1"/>
  <c r="V4" i="20" a="1"/>
  <c r="V4" i="20"/>
  <c r="U18" i="20" a="1"/>
  <c r="U18" i="20" s="1"/>
  <c r="U17" i="20" a="1"/>
  <c r="U17" i="20"/>
  <c r="U16" i="20" a="1"/>
  <c r="U16" i="20" s="1"/>
  <c r="U15" i="20" a="1"/>
  <c r="U15" i="20" s="1"/>
  <c r="U14" i="20" a="1"/>
  <c r="U14" i="20" s="1"/>
  <c r="U13" i="20" a="1"/>
  <c r="U13" i="20"/>
  <c r="U12" i="20" a="1"/>
  <c r="U12" i="20" s="1"/>
  <c r="U11" i="20" a="1"/>
  <c r="U11" i="20"/>
  <c r="U10" i="20" a="1"/>
  <c r="U10" i="20" s="1"/>
  <c r="U9" i="20" a="1"/>
  <c r="U9" i="20"/>
  <c r="U8" i="20" a="1"/>
  <c r="U8" i="20" s="1"/>
  <c r="U7" i="20" a="1"/>
  <c r="U7" i="20" s="1"/>
  <c r="U4" i="20" a="1"/>
  <c r="U4" i="20" s="1"/>
  <c r="T18" i="20" a="1"/>
  <c r="T18" i="20"/>
  <c r="T17" i="20" a="1"/>
  <c r="T17" i="20" s="1"/>
  <c r="T16" i="20" a="1"/>
  <c r="T16" i="20" s="1"/>
  <c r="T15" i="20" a="1"/>
  <c r="T15" i="20" s="1"/>
  <c r="T14" i="20" a="1"/>
  <c r="T14" i="20"/>
  <c r="T13" i="20" a="1"/>
  <c r="T13" i="20" s="1"/>
  <c r="T12" i="20" a="1"/>
  <c r="T12" i="20"/>
  <c r="T11" i="20" a="1"/>
  <c r="T11" i="20" s="1"/>
  <c r="T10" i="20" a="1"/>
  <c r="T10" i="20"/>
  <c r="T9" i="20" a="1"/>
  <c r="T9" i="20" s="1"/>
  <c r="T8" i="20" a="1"/>
  <c r="T8" i="20" s="1"/>
  <c r="T7" i="20" a="1"/>
  <c r="T7" i="20" s="1"/>
  <c r="T4" i="20" a="1"/>
  <c r="T4" i="20"/>
  <c r="S18" i="20" a="1"/>
  <c r="S18" i="20" s="1"/>
  <c r="S17" i="20" a="1"/>
  <c r="S17" i="20" s="1"/>
  <c r="S16" i="20" a="1"/>
  <c r="S16" i="20" s="1"/>
  <c r="S15" i="20" a="1"/>
  <c r="S15" i="20"/>
  <c r="S14" i="20" a="1"/>
  <c r="S14" i="20" s="1"/>
  <c r="S13" i="20" a="1"/>
  <c r="S13" i="20"/>
  <c r="S12" i="20" a="1"/>
  <c r="S12" i="20" s="1"/>
  <c r="S11" i="20" a="1"/>
  <c r="S11" i="20"/>
  <c r="S10" i="20" a="1"/>
  <c r="S10" i="20" s="1"/>
  <c r="S9" i="20" a="1"/>
  <c r="S9" i="20" s="1"/>
  <c r="S8" i="20" a="1"/>
  <c r="S8" i="20" s="1"/>
  <c r="S7" i="20" a="1"/>
  <c r="S7" i="20"/>
  <c r="S4" i="20" a="1"/>
  <c r="S4" i="20" s="1"/>
  <c r="R18" i="20" a="1"/>
  <c r="R18" i="20" s="1"/>
  <c r="R17" i="20" a="1"/>
  <c r="R17" i="20" s="1"/>
  <c r="R16" i="20" a="1"/>
  <c r="R16" i="20"/>
  <c r="R15" i="20" a="1"/>
  <c r="R15" i="20" s="1"/>
  <c r="R14" i="20" a="1"/>
  <c r="R14" i="20"/>
  <c r="R13" i="20" a="1"/>
  <c r="R13" i="20" s="1"/>
  <c r="R12" i="20" a="1"/>
  <c r="R12" i="20"/>
  <c r="R11" i="20" a="1"/>
  <c r="R11" i="20" s="1"/>
  <c r="R10" i="20" a="1"/>
  <c r="R10" i="20" s="1"/>
  <c r="R9" i="20" a="1"/>
  <c r="R9" i="20" s="1"/>
  <c r="R8" i="20" a="1"/>
  <c r="R8" i="20"/>
  <c r="R7" i="20" a="1"/>
  <c r="R7" i="20" s="1"/>
  <c r="R4" i="20" a="1"/>
  <c r="R4" i="20" s="1"/>
  <c r="Q18" i="20" a="1"/>
  <c r="Q18" i="20" s="1"/>
  <c r="Q17" i="20" a="1"/>
  <c r="Q17" i="20"/>
  <c r="Q16" i="20" a="1"/>
  <c r="Q16" i="20" s="1"/>
  <c r="Q15" i="20"/>
  <c r="Q14" i="20" a="1"/>
  <c r="Q14" i="20" s="1"/>
  <c r="Q13" i="20" a="1"/>
  <c r="Q13" i="20"/>
  <c r="Q12" i="20" a="1"/>
  <c r="Q12" i="20" s="1"/>
  <c r="Q11" i="20" a="1"/>
  <c r="Q11" i="20"/>
  <c r="Q10" i="20" a="1"/>
  <c r="Q10" i="20" s="1"/>
  <c r="Q9" i="20" a="1"/>
  <c r="Q9" i="20"/>
  <c r="Q8" i="20" a="1"/>
  <c r="Q8" i="20" s="1"/>
  <c r="Q7" i="20" a="1"/>
  <c r="Q7" i="20"/>
  <c r="Q4" i="20" a="1"/>
  <c r="Q4" i="20" s="1"/>
  <c r="P18" i="20" a="1"/>
  <c r="P18" i="20"/>
  <c r="P17" i="20" a="1"/>
  <c r="P17" i="20" s="1"/>
  <c r="P16" i="20" a="1"/>
  <c r="P16" i="20"/>
  <c r="P15" i="20" a="1"/>
  <c r="P15" i="20" s="1"/>
  <c r="P14" i="20" a="1"/>
  <c r="P14" i="20"/>
  <c r="P13" i="20" a="1"/>
  <c r="P13" i="20" s="1"/>
  <c r="P12" i="20" a="1"/>
  <c r="P12" i="20"/>
  <c r="P11" i="20" a="1"/>
  <c r="P11" i="20" s="1"/>
  <c r="P10" i="20" a="1"/>
  <c r="P10" i="20"/>
  <c r="P9" i="20" a="1"/>
  <c r="P9" i="20" s="1"/>
  <c r="P8" i="20" a="1"/>
  <c r="P8" i="20"/>
  <c r="P7" i="20" a="1"/>
  <c r="P7" i="20" s="1"/>
  <c r="P4" i="20" a="1"/>
  <c r="P4" i="20"/>
  <c r="O18" i="20" a="1"/>
  <c r="O18" i="20" s="1"/>
  <c r="O17" i="20" a="1"/>
  <c r="O17" i="20"/>
  <c r="O16" i="20" a="1"/>
  <c r="O16" i="20" s="1"/>
  <c r="O15" i="20" a="1"/>
  <c r="O15" i="20"/>
  <c r="O14" i="20" a="1"/>
  <c r="O14" i="20" s="1"/>
  <c r="O13" i="20" a="1"/>
  <c r="O13" i="20"/>
  <c r="O12" i="20" a="1"/>
  <c r="O12" i="20" s="1"/>
  <c r="O11" i="20" a="1"/>
  <c r="O11" i="20"/>
  <c r="O10" i="20" a="1"/>
  <c r="O10" i="20" s="1"/>
  <c r="O9" i="20" a="1"/>
  <c r="O9" i="20"/>
  <c r="O8" i="20" a="1"/>
  <c r="O8" i="20" s="1"/>
  <c r="O7" i="20" a="1"/>
  <c r="O7" i="20"/>
  <c r="O4" i="20" a="1"/>
  <c r="O4" i="20" s="1"/>
  <c r="N18" i="20" a="1"/>
  <c r="N18" i="20"/>
  <c r="N17" i="20" a="1"/>
  <c r="N17" i="20" s="1"/>
  <c r="N16" i="20" a="1"/>
  <c r="N16" i="20"/>
  <c r="N15" i="20" a="1"/>
  <c r="N15" i="20" s="1"/>
  <c r="N14" i="20" a="1"/>
  <c r="N14" i="20"/>
  <c r="N13" i="20" a="1"/>
  <c r="N13" i="20" s="1"/>
  <c r="N12" i="20" a="1"/>
  <c r="N12" i="20"/>
  <c r="N11" i="20" a="1"/>
  <c r="N11" i="20" s="1"/>
  <c r="N10" i="20" a="1"/>
  <c r="N10" i="20"/>
  <c r="N9" i="20" a="1"/>
  <c r="N9" i="20" s="1"/>
  <c r="N8" i="20" a="1"/>
  <c r="N8" i="20"/>
  <c r="N7" i="20" a="1"/>
  <c r="N7" i="20" s="1"/>
  <c r="N4" i="20" a="1"/>
  <c r="N4" i="20"/>
  <c r="M18" i="20" a="1"/>
  <c r="M18" i="20"/>
  <c r="M17" i="20" a="1"/>
  <c r="M17" i="20"/>
  <c r="M16" i="20" a="1"/>
  <c r="M16" i="20"/>
  <c r="M15" i="20" a="1"/>
  <c r="M15" i="20" s="1"/>
  <c r="M14" i="20" a="1"/>
  <c r="M14" i="20"/>
  <c r="M13" i="20" a="1"/>
  <c r="M13" i="20" s="1"/>
  <c r="M12" i="20" a="1"/>
  <c r="M12" i="20"/>
  <c r="M11" i="20" a="1"/>
  <c r="M11" i="20" s="1"/>
  <c r="M10" i="20" a="1"/>
  <c r="M10" i="20" s="1"/>
  <c r="M9" i="20" a="1"/>
  <c r="M9" i="20" s="1"/>
  <c r="M8" i="20" a="1"/>
  <c r="M8" i="20"/>
  <c r="M7" i="20" a="1"/>
  <c r="M7" i="20" s="1"/>
  <c r="M4" i="20" a="1"/>
  <c r="M4" i="20" s="1"/>
  <c r="L18" i="20" a="1"/>
  <c r="L18" i="20" s="1"/>
  <c r="L17" i="20" a="1"/>
  <c r="L17" i="20"/>
  <c r="L16" i="20" a="1"/>
  <c r="L16" i="20" s="1"/>
  <c r="L15" i="20" a="1"/>
  <c r="L15" i="20"/>
  <c r="L14" i="20" a="1"/>
  <c r="L14" i="20" s="1"/>
  <c r="L13" i="20" a="1"/>
  <c r="L13" i="20"/>
  <c r="L12" i="20" a="1"/>
  <c r="L12" i="20" s="1"/>
  <c r="L11" i="20" a="1"/>
  <c r="L11" i="20" s="1"/>
  <c r="L10" i="20" a="1"/>
  <c r="L10" i="20" s="1"/>
  <c r="L9" i="20" a="1"/>
  <c r="L9" i="20"/>
  <c r="L8" i="20" a="1"/>
  <c r="L8" i="20" s="1"/>
  <c r="L7" i="20"/>
  <c r="L4" i="20" a="1"/>
  <c r="L4" i="20"/>
  <c r="K18" i="20" a="1"/>
  <c r="K18" i="20" s="1"/>
  <c r="K17" i="20" a="1"/>
  <c r="K17" i="20" s="1"/>
  <c r="K16" i="20" a="1"/>
  <c r="K16" i="20" s="1"/>
  <c r="K15" i="20" a="1"/>
  <c r="K15" i="20"/>
  <c r="K14" i="20" a="1"/>
  <c r="K14" i="20" s="1"/>
  <c r="K13" i="20" a="1"/>
  <c r="K13" i="20"/>
  <c r="K12" i="20" a="1"/>
  <c r="K12" i="20" s="1"/>
  <c r="K11" i="20" a="1"/>
  <c r="K11" i="20"/>
  <c r="K10" i="20" a="1"/>
  <c r="K10" i="20" s="1"/>
  <c r="K9" i="20" a="1"/>
  <c r="K9" i="20" s="1"/>
  <c r="K8" i="20" a="1"/>
  <c r="K8" i="20" s="1"/>
  <c r="K7" i="20" a="1"/>
  <c r="K7" i="20"/>
  <c r="K4" i="20" a="1"/>
  <c r="K4" i="20" s="1"/>
  <c r="J18" i="20" a="1"/>
  <c r="J18" i="20"/>
  <c r="J17" i="20" a="1"/>
  <c r="J17" i="20" s="1"/>
  <c r="J16" i="20" a="1"/>
  <c r="J16" i="20" s="1"/>
  <c r="J15" i="20" a="1"/>
  <c r="J15" i="20" s="1"/>
  <c r="J14" i="20" a="1"/>
  <c r="J14" i="20"/>
  <c r="J13" i="20" a="1"/>
  <c r="J13" i="20" s="1"/>
  <c r="J12" i="20" a="1"/>
  <c r="J12" i="20"/>
  <c r="J11" i="20" a="1"/>
  <c r="J11" i="20" s="1"/>
  <c r="J10" i="20" a="1"/>
  <c r="J10" i="20"/>
  <c r="J9" i="20" a="1"/>
  <c r="J9" i="20" s="1"/>
  <c r="J8" i="20" a="1"/>
  <c r="J8" i="20" s="1"/>
  <c r="J7" i="20" a="1"/>
  <c r="J7" i="20" s="1"/>
  <c r="J4" i="20" a="1"/>
  <c r="J4" i="20"/>
  <c r="I18" i="20" a="1"/>
  <c r="I18" i="20" s="1"/>
  <c r="I17" i="20" a="1"/>
  <c r="I17" i="20"/>
  <c r="I16" i="20" a="1"/>
  <c r="I16" i="20" s="1"/>
  <c r="I15" i="20" a="1"/>
  <c r="I15" i="20" s="1"/>
  <c r="I14" i="20" a="1"/>
  <c r="I14" i="20" s="1"/>
  <c r="I13" i="20" a="1"/>
  <c r="I13" i="20"/>
  <c r="I12" i="20" a="1"/>
  <c r="I12" i="20" s="1"/>
  <c r="I11" i="20" a="1"/>
  <c r="I11" i="20"/>
  <c r="I10" i="20" a="1"/>
  <c r="I10" i="20" s="1"/>
  <c r="I9" i="20" a="1"/>
  <c r="I9" i="20"/>
  <c r="I8" i="20" a="1"/>
  <c r="I8" i="20" s="1"/>
  <c r="I7" i="20" a="1"/>
  <c r="I7" i="20" s="1"/>
  <c r="I4" i="20" a="1"/>
  <c r="I4" i="20" s="1"/>
  <c r="H18" i="20" a="1"/>
  <c r="H18" i="20"/>
  <c r="H17" i="20" a="1"/>
  <c r="H17" i="20" s="1"/>
  <c r="H16" i="20" a="1"/>
  <c r="H16" i="20"/>
  <c r="H15" i="20" a="1"/>
  <c r="H15" i="20"/>
  <c r="H14" i="20" a="1"/>
  <c r="H14" i="20"/>
  <c r="H13" i="20" a="1"/>
  <c r="H13" i="20"/>
  <c r="H12" i="20" a="1"/>
  <c r="H12" i="20"/>
  <c r="H11" i="20" a="1"/>
  <c r="H11" i="20"/>
  <c r="H10" i="20" a="1"/>
  <c r="H10" i="20" s="1"/>
  <c r="H9" i="20" a="1"/>
  <c r="H9" i="20"/>
  <c r="H8" i="20" a="1"/>
  <c r="H8" i="20" s="1"/>
  <c r="H7" i="20" a="1"/>
  <c r="H7" i="20"/>
  <c r="G18" i="20" a="1"/>
  <c r="G18" i="20" s="1"/>
  <c r="G17" i="20" a="1"/>
  <c r="G17" i="20"/>
  <c r="G16" i="20" a="1"/>
  <c r="G16" i="20" s="1"/>
  <c r="G15" i="20" a="1"/>
  <c r="G15" i="20"/>
  <c r="G14" i="20" a="1"/>
  <c r="G14" i="20" s="1"/>
  <c r="G13" i="20" a="1"/>
  <c r="G13" i="20"/>
  <c r="G12" i="20" a="1"/>
  <c r="G12" i="20" s="1"/>
  <c r="G11" i="20" a="1"/>
  <c r="G11" i="20"/>
  <c r="G10" i="20" a="1"/>
  <c r="G10" i="20" s="1"/>
  <c r="G9" i="20" a="1"/>
  <c r="G9" i="20"/>
  <c r="G8" i="20" a="1"/>
  <c r="G8" i="20" s="1"/>
  <c r="G7" i="20" a="1"/>
  <c r="G7" i="20"/>
  <c r="G4" i="20" a="1"/>
  <c r="G4" i="20" s="1"/>
  <c r="H4" i="20" a="1"/>
  <c r="H4" i="20"/>
  <c r="F1166" i="20" l="1" a="1"/>
  <c r="F1166" i="20" s="1"/>
  <c r="F1165" i="20" a="1"/>
  <c r="F1165" i="20" s="1"/>
  <c r="Y1165" i="20" l="1" a="1"/>
  <c r="Y1165" i="20" s="1"/>
  <c r="F1164" i="20" a="1"/>
  <c r="F1164" i="20" s="1"/>
  <c r="AA1164" i="20" s="1" a="1"/>
  <c r="AA1164" i="20" s="1"/>
  <c r="F1163" i="20" a="1"/>
  <c r="F1163" i="20" s="1"/>
  <c r="AB1163" i="20" s="1" a="1"/>
  <c r="AB1163" i="20" s="1"/>
  <c r="F1162" i="20" a="1"/>
  <c r="F1162" i="20" s="1"/>
  <c r="AA1162" i="20" s="1" a="1"/>
  <c r="AA1162" i="20" s="1"/>
  <c r="F1161" i="20" a="1"/>
  <c r="F1161" i="20" s="1"/>
  <c r="AB1161" i="20" s="1" a="1"/>
  <c r="AB1161" i="20" s="1"/>
  <c r="F1160" i="20" a="1"/>
  <c r="F1160" i="20" s="1"/>
  <c r="AA1160" i="20" s="1" a="1"/>
  <c r="AA1160" i="20" s="1"/>
  <c r="F1159" i="20" a="1"/>
  <c r="F1159" i="20" s="1"/>
  <c r="AB1159" i="20" s="1" a="1"/>
  <c r="AB1159" i="20" s="1"/>
  <c r="F1158" i="20" a="1"/>
  <c r="F1158" i="20" s="1"/>
  <c r="F1157" i="20" a="1"/>
  <c r="F1157" i="20" s="1"/>
  <c r="AA1157" i="20" s="1" a="1"/>
  <c r="AA1157" i="20" s="1"/>
  <c r="F1156" i="20" a="1"/>
  <c r="F1156" i="20" s="1"/>
  <c r="F1155" i="20" a="1"/>
  <c r="F1155" i="20" s="1"/>
  <c r="AA1155" i="20" s="1" a="1"/>
  <c r="AA1155" i="20" s="1"/>
  <c r="F1154" i="20" a="1"/>
  <c r="F1154" i="20" s="1"/>
  <c r="AA1154" i="20" s="1" a="1"/>
  <c r="AA1154" i="20" s="1"/>
  <c r="F1153" i="20" a="1"/>
  <c r="F1153" i="20" s="1"/>
  <c r="F1152" i="20" a="1"/>
  <c r="F1152" i="20" s="1"/>
  <c r="K1152" i="20" s="1"/>
  <c r="AB1153" i="20" l="1" a="1"/>
  <c r="AB1153" i="20" s="1"/>
  <c r="Z1153" i="20" a="1"/>
  <c r="Z1153" i="20" s="1"/>
  <c r="X1153" i="20" a="1"/>
  <c r="X1153" i="20" s="1"/>
  <c r="V1153" i="20" a="1"/>
  <c r="V1153" i="20" s="1"/>
  <c r="T1153" i="20" a="1"/>
  <c r="T1153" i="20" s="1"/>
  <c r="R1153" i="20" a="1"/>
  <c r="R1153" i="20" s="1"/>
  <c r="P1153" i="20" a="1"/>
  <c r="P1153" i="20" s="1"/>
  <c r="N1153" i="20" a="1"/>
  <c r="N1153" i="20" s="1"/>
  <c r="L1153" i="20" a="1"/>
  <c r="L1153" i="20" s="1"/>
  <c r="H1153" i="20" a="1"/>
  <c r="H1153" i="20" s="1"/>
  <c r="J1153" i="20" a="1"/>
  <c r="J1153" i="20" s="1"/>
  <c r="M1153" i="20" a="1"/>
  <c r="M1153" i="20" s="1"/>
  <c r="Q1153" i="20" a="1"/>
  <c r="Q1153" i="20" s="1"/>
  <c r="U1153" i="20" a="1"/>
  <c r="U1153" i="20" s="1"/>
  <c r="Y1153" i="20" a="1"/>
  <c r="Y1153" i="20" s="1"/>
  <c r="AB1156" i="20" a="1"/>
  <c r="AB1156" i="20" s="1"/>
  <c r="Z1156" i="20" a="1"/>
  <c r="Z1156" i="20" s="1"/>
  <c r="X1156" i="20" a="1"/>
  <c r="X1156" i="20" s="1"/>
  <c r="V1156" i="20" a="1"/>
  <c r="V1156" i="20" s="1"/>
  <c r="T1156" i="20" a="1"/>
  <c r="T1156" i="20" s="1"/>
  <c r="R1156" i="20" a="1"/>
  <c r="R1156" i="20" s="1"/>
  <c r="P1156" i="20" a="1"/>
  <c r="P1156" i="20" s="1"/>
  <c r="N1156" i="20" a="1"/>
  <c r="N1156" i="20" s="1"/>
  <c r="L1156" i="20" a="1"/>
  <c r="L1156" i="20" s="1"/>
  <c r="H1156" i="20" a="1"/>
  <c r="H1156" i="20" s="1"/>
  <c r="J1156" i="20" a="1"/>
  <c r="J1156" i="20" s="1"/>
  <c r="M1156" i="20" a="1"/>
  <c r="M1156" i="20" s="1"/>
  <c r="Q1156" i="20" a="1"/>
  <c r="Q1156" i="20" s="1"/>
  <c r="U1156" i="20" a="1"/>
  <c r="U1156" i="20" s="1"/>
  <c r="Y1156" i="20" a="1"/>
  <c r="Y1156" i="20" s="1"/>
  <c r="G1152" i="20" a="1"/>
  <c r="G1152" i="20" s="1"/>
  <c r="I1152" i="20" a="1"/>
  <c r="I1152" i="20" s="1"/>
  <c r="G1153" i="20" a="1"/>
  <c r="G1153" i="20" s="1"/>
  <c r="I1153" i="20" a="1"/>
  <c r="I1153" i="20" s="1"/>
  <c r="K1153" i="20"/>
  <c r="O1153" i="20" a="1"/>
  <c r="O1153" i="20" s="1"/>
  <c r="S1153" i="20" a="1"/>
  <c r="S1153" i="20" s="1"/>
  <c r="W1153" i="20" a="1"/>
  <c r="W1153" i="20" s="1"/>
  <c r="AA1153" i="20" a="1"/>
  <c r="AA1153" i="20" s="1"/>
  <c r="G1154" i="20" a="1"/>
  <c r="G1154" i="20" s="1"/>
  <c r="I1154" i="20" a="1"/>
  <c r="I1154" i="20" s="1"/>
  <c r="K1154" i="20"/>
  <c r="O1154" i="20" a="1"/>
  <c r="O1154" i="20" s="1"/>
  <c r="S1154" i="20" a="1"/>
  <c r="S1154" i="20" s="1"/>
  <c r="W1154" i="20" a="1"/>
  <c r="W1154" i="20" s="1"/>
  <c r="G1155" i="20" a="1"/>
  <c r="G1155" i="20" s="1"/>
  <c r="I1155" i="20" a="1"/>
  <c r="I1155" i="20" s="1"/>
  <c r="K1155" i="20"/>
  <c r="O1155" i="20" a="1"/>
  <c r="O1155" i="20" s="1"/>
  <c r="S1155" i="20" a="1"/>
  <c r="S1155" i="20" s="1"/>
  <c r="W1155" i="20" a="1"/>
  <c r="W1155" i="20" s="1"/>
  <c r="G1156" i="20" a="1"/>
  <c r="G1156" i="20" s="1"/>
  <c r="I1156" i="20" a="1"/>
  <c r="I1156" i="20" s="1"/>
  <c r="K1156" i="20"/>
  <c r="O1156" i="20" a="1"/>
  <c r="O1156" i="20" s="1"/>
  <c r="S1156" i="20" a="1"/>
  <c r="S1156" i="20" s="1"/>
  <c r="W1156" i="20" a="1"/>
  <c r="W1156" i="20" s="1"/>
  <c r="AA1156" i="20" a="1"/>
  <c r="AA1156" i="20" s="1"/>
  <c r="G1157" i="20" a="1"/>
  <c r="G1157" i="20" s="1"/>
  <c r="I1157" i="20" a="1"/>
  <c r="I1157" i="20" s="1"/>
  <c r="K1157" i="20"/>
  <c r="O1157" i="20" a="1"/>
  <c r="O1157" i="20" s="1"/>
  <c r="S1157" i="20" a="1"/>
  <c r="S1157" i="20" s="1"/>
  <c r="W1157" i="20" a="1"/>
  <c r="W1157" i="20" s="1"/>
  <c r="F1167" i="20" a="1"/>
  <c r="F1167" i="20" s="1"/>
  <c r="AB1152" i="20" a="1"/>
  <c r="AB1152" i="20" s="1"/>
  <c r="AA1152" i="20" a="1"/>
  <c r="AA1152" i="20" s="1"/>
  <c r="Z1152" i="20" a="1"/>
  <c r="Z1152" i="20" s="1"/>
  <c r="Y1152" i="20" a="1"/>
  <c r="Y1152" i="20" s="1"/>
  <c r="X1152" i="20" a="1"/>
  <c r="X1152" i="20" s="1"/>
  <c r="W1152" i="20" a="1"/>
  <c r="W1152" i="20" s="1"/>
  <c r="V1152" i="20" a="1"/>
  <c r="V1152" i="20" s="1"/>
  <c r="U1152" i="20" a="1"/>
  <c r="U1152" i="20" s="1"/>
  <c r="T1152" i="20" a="1"/>
  <c r="T1152" i="20" s="1"/>
  <c r="S1152" i="20" a="1"/>
  <c r="S1152" i="20" s="1"/>
  <c r="R1152" i="20" a="1"/>
  <c r="R1152" i="20" s="1"/>
  <c r="Q1152" i="20" a="1"/>
  <c r="Q1152" i="20" s="1"/>
  <c r="P1152" i="20" a="1"/>
  <c r="P1152" i="20" s="1"/>
  <c r="O1152" i="20" a="1"/>
  <c r="O1152" i="20" s="1"/>
  <c r="N1152" i="20" a="1"/>
  <c r="N1152" i="20" s="1"/>
  <c r="H1152" i="20" a="1"/>
  <c r="H1152" i="20" s="1"/>
  <c r="J1152" i="20" a="1"/>
  <c r="J1152" i="20" s="1"/>
  <c r="L1152" i="20" a="1"/>
  <c r="L1152" i="20" s="1"/>
  <c r="M1152" i="20" a="1"/>
  <c r="M1152" i="20" s="1"/>
  <c r="AB1154" i="20" a="1"/>
  <c r="AB1154" i="20" s="1"/>
  <c r="Z1154" i="20" a="1"/>
  <c r="Z1154" i="20" s="1"/>
  <c r="X1154" i="20" a="1"/>
  <c r="X1154" i="20" s="1"/>
  <c r="V1154" i="20" a="1"/>
  <c r="V1154" i="20" s="1"/>
  <c r="T1154" i="20" a="1"/>
  <c r="T1154" i="20" s="1"/>
  <c r="R1154" i="20" a="1"/>
  <c r="R1154" i="20" s="1"/>
  <c r="P1154" i="20" a="1"/>
  <c r="P1154" i="20" s="1"/>
  <c r="N1154" i="20" a="1"/>
  <c r="N1154" i="20" s="1"/>
  <c r="L1154" i="20" a="1"/>
  <c r="L1154" i="20" s="1"/>
  <c r="H1154" i="20" a="1"/>
  <c r="H1154" i="20" s="1"/>
  <c r="J1154" i="20" a="1"/>
  <c r="J1154" i="20" s="1"/>
  <c r="M1154" i="20" a="1"/>
  <c r="M1154" i="20" s="1"/>
  <c r="Q1154" i="20" a="1"/>
  <c r="Q1154" i="20" s="1"/>
  <c r="U1154" i="20" a="1"/>
  <c r="U1154" i="20" s="1"/>
  <c r="Y1154" i="20" a="1"/>
  <c r="Y1154" i="20" s="1"/>
  <c r="AB1155" i="20" a="1"/>
  <c r="AB1155" i="20" s="1"/>
  <c r="Z1155" i="20" a="1"/>
  <c r="Z1155" i="20" s="1"/>
  <c r="X1155" i="20" a="1"/>
  <c r="X1155" i="20" s="1"/>
  <c r="V1155" i="20" a="1"/>
  <c r="V1155" i="20" s="1"/>
  <c r="T1155" i="20" a="1"/>
  <c r="T1155" i="20" s="1"/>
  <c r="R1155" i="20" a="1"/>
  <c r="R1155" i="20" s="1"/>
  <c r="P1155" i="20" a="1"/>
  <c r="P1155" i="20" s="1"/>
  <c r="N1155" i="20" a="1"/>
  <c r="N1155" i="20" s="1"/>
  <c r="L1155" i="20" a="1"/>
  <c r="L1155" i="20" s="1"/>
  <c r="H1155" i="20" a="1"/>
  <c r="H1155" i="20" s="1"/>
  <c r="J1155" i="20" a="1"/>
  <c r="J1155" i="20" s="1"/>
  <c r="M1155" i="20" a="1"/>
  <c r="M1155" i="20" s="1"/>
  <c r="Q1155" i="20" a="1"/>
  <c r="Q1155" i="20" s="1"/>
  <c r="U1155" i="20" a="1"/>
  <c r="U1155" i="20" s="1"/>
  <c r="Y1155" i="20" a="1"/>
  <c r="Y1155" i="20" s="1"/>
  <c r="AB1157" i="20" a="1"/>
  <c r="AB1157" i="20" s="1"/>
  <c r="Z1157" i="20" a="1"/>
  <c r="Z1157" i="20" s="1"/>
  <c r="X1157" i="20" a="1"/>
  <c r="X1157" i="20" s="1"/>
  <c r="V1157" i="20" a="1"/>
  <c r="V1157" i="20" s="1"/>
  <c r="T1157" i="20" a="1"/>
  <c r="T1157" i="20" s="1"/>
  <c r="R1157" i="20" a="1"/>
  <c r="R1157" i="20" s="1"/>
  <c r="P1157" i="20" a="1"/>
  <c r="P1157" i="20" s="1"/>
  <c r="N1157" i="20" a="1"/>
  <c r="N1157" i="20" s="1"/>
  <c r="L1157" i="20" a="1"/>
  <c r="L1157" i="20" s="1"/>
  <c r="H1157" i="20" a="1"/>
  <c r="H1157" i="20" s="1"/>
  <c r="J1157" i="20" a="1"/>
  <c r="J1157" i="20" s="1"/>
  <c r="M1157" i="20" a="1"/>
  <c r="M1157" i="20" s="1"/>
  <c r="Q1157" i="20" a="1"/>
  <c r="Q1157" i="20" s="1"/>
  <c r="U1157" i="20" a="1"/>
  <c r="U1157" i="20" s="1"/>
  <c r="Y1157" i="20" a="1"/>
  <c r="Y1157" i="20" s="1"/>
  <c r="AA1158" i="20" a="1"/>
  <c r="AA1158" i="20" s="1"/>
  <c r="AA1167" i="20" s="1" a="1"/>
  <c r="Y1158" i="20" a="1"/>
  <c r="Y1158" i="20" s="1"/>
  <c r="Y1167" i="20" s="1" a="1"/>
  <c r="W1158" i="20" a="1"/>
  <c r="W1158" i="20" s="1"/>
  <c r="W1167" i="20" s="1" a="1"/>
  <c r="U1158" i="20" a="1"/>
  <c r="U1158" i="20" s="1"/>
  <c r="U1167" i="20" s="1" a="1"/>
  <c r="S1158" i="20" a="1"/>
  <c r="S1158" i="20" s="1"/>
  <c r="S1167" i="20" s="1" a="1"/>
  <c r="Q1158" i="20" a="1"/>
  <c r="Q1158" i="20" s="1"/>
  <c r="Q1167" i="20" s="1" a="1"/>
  <c r="O1158" i="20" a="1"/>
  <c r="O1158" i="20" s="1"/>
  <c r="O1167" i="20" s="1" a="1"/>
  <c r="M1158" i="20" a="1"/>
  <c r="M1158" i="20" s="1"/>
  <c r="M1167" i="20" s="1" a="1"/>
  <c r="K1158" i="20" a="1"/>
  <c r="K1158" i="20" s="1"/>
  <c r="K1167" i="20" s="1" a="1"/>
  <c r="AB1158" i="20" a="1"/>
  <c r="AB1158" i="20" s="1"/>
  <c r="AB1167" i="20" s="1" a="1"/>
  <c r="Z1158" i="20" a="1"/>
  <c r="Z1158" i="20" s="1"/>
  <c r="Z1167" i="20" s="1" a="1"/>
  <c r="X1158" i="20" a="1"/>
  <c r="X1158" i="20" s="1"/>
  <c r="V1158" i="20" a="1"/>
  <c r="V1158" i="20" s="1"/>
  <c r="V1167" i="20" s="1" a="1"/>
  <c r="T1158" i="20" a="1"/>
  <c r="T1158" i="20" s="1"/>
  <c r="R1158" i="20" a="1"/>
  <c r="R1158" i="20" s="1"/>
  <c r="R1167" i="20" s="1" a="1"/>
  <c r="P1158" i="20" a="1"/>
  <c r="P1158" i="20" s="1"/>
  <c r="N1158" i="20" a="1"/>
  <c r="N1158" i="20" s="1"/>
  <c r="N1167" i="20" s="1" a="1"/>
  <c r="L1158" i="20" a="1"/>
  <c r="L1158" i="20" s="1"/>
  <c r="J1158" i="20" a="1"/>
  <c r="J1158" i="20" s="1"/>
  <c r="J1167" i="20" s="1" a="1"/>
  <c r="I1158" i="20" a="1"/>
  <c r="I1158" i="20" s="1"/>
  <c r="I1167" i="20" s="1" a="1"/>
  <c r="H1158" i="20" a="1"/>
  <c r="H1158" i="20" s="1"/>
  <c r="H1167" i="20" s="1" a="1"/>
  <c r="G1158" i="20" a="1"/>
  <c r="G1158" i="20" s="1"/>
  <c r="G1159" i="20" a="1"/>
  <c r="G1159" i="20" s="1"/>
  <c r="G1167" i="20" s="1" a="1"/>
  <c r="I1159" i="20" a="1"/>
  <c r="I1159" i="20" s="1"/>
  <c r="K1159" i="20" a="1"/>
  <c r="K1159" i="20" s="1"/>
  <c r="M1159" i="20" a="1"/>
  <c r="M1159" i="20" s="1"/>
  <c r="O1159" i="20" a="1"/>
  <c r="O1159" i="20" s="1"/>
  <c r="Q1159" i="20" a="1"/>
  <c r="Q1159" i="20" s="1"/>
  <c r="S1159" i="20" a="1"/>
  <c r="S1159" i="20" s="1"/>
  <c r="U1159" i="20" a="1"/>
  <c r="U1159" i="20" s="1"/>
  <c r="W1159" i="20" a="1"/>
  <c r="W1159" i="20" s="1"/>
  <c r="Y1159" i="20" a="1"/>
  <c r="Y1159" i="20" s="1"/>
  <c r="AA1159" i="20" a="1"/>
  <c r="AA1159" i="20" s="1"/>
  <c r="H1160" i="20" a="1"/>
  <c r="H1160" i="20" s="1"/>
  <c r="J1160" i="20" a="1"/>
  <c r="J1160" i="20" s="1"/>
  <c r="L1160" i="20" a="1"/>
  <c r="L1160" i="20" s="1"/>
  <c r="N1160" i="20" a="1"/>
  <c r="N1160" i="20" s="1"/>
  <c r="P1160" i="20" a="1"/>
  <c r="P1160" i="20" s="1"/>
  <c r="R1160" i="20" a="1"/>
  <c r="R1160" i="20" s="1"/>
  <c r="T1160" i="20" a="1"/>
  <c r="T1160" i="20" s="1"/>
  <c r="V1160" i="20" a="1"/>
  <c r="V1160" i="20" s="1"/>
  <c r="X1160" i="20" a="1"/>
  <c r="X1160" i="20" s="1"/>
  <c r="Z1160" i="20" a="1"/>
  <c r="Z1160" i="20" s="1"/>
  <c r="AB1160" i="20" a="1"/>
  <c r="AB1160" i="20" s="1"/>
  <c r="G1161" i="20" a="1"/>
  <c r="G1161" i="20" s="1"/>
  <c r="I1161" i="20" a="1"/>
  <c r="I1161" i="20" s="1"/>
  <c r="K1161" i="20" a="1"/>
  <c r="K1161" i="20" s="1"/>
  <c r="M1161" i="20" a="1"/>
  <c r="M1161" i="20" s="1"/>
  <c r="O1161" i="20" a="1"/>
  <c r="O1161" i="20" s="1"/>
  <c r="Q1161" i="20" a="1"/>
  <c r="Q1161" i="20" s="1"/>
  <c r="S1161" i="20" a="1"/>
  <c r="S1161" i="20" s="1"/>
  <c r="U1161" i="20" a="1"/>
  <c r="U1161" i="20" s="1"/>
  <c r="W1161" i="20" a="1"/>
  <c r="W1161" i="20" s="1"/>
  <c r="Y1161" i="20" a="1"/>
  <c r="Y1161" i="20" s="1"/>
  <c r="AA1161" i="20" a="1"/>
  <c r="AA1161" i="20" s="1"/>
  <c r="H1162" i="20" a="1"/>
  <c r="H1162" i="20" s="1"/>
  <c r="J1162" i="20" a="1"/>
  <c r="J1162" i="20" s="1"/>
  <c r="L1162" i="20" a="1"/>
  <c r="L1162" i="20" s="1"/>
  <c r="N1162" i="20" a="1"/>
  <c r="N1162" i="20" s="1"/>
  <c r="P1162" i="20" a="1"/>
  <c r="P1162" i="20" s="1"/>
  <c r="R1162" i="20" a="1"/>
  <c r="R1162" i="20" s="1"/>
  <c r="T1162" i="20" a="1"/>
  <c r="T1162" i="20" s="1"/>
  <c r="V1162" i="20" a="1"/>
  <c r="V1162" i="20" s="1"/>
  <c r="X1162" i="20" a="1"/>
  <c r="X1162" i="20" s="1"/>
  <c r="Z1162" i="20" a="1"/>
  <c r="Z1162" i="20" s="1"/>
  <c r="AB1162" i="20" a="1"/>
  <c r="AB1162" i="20" s="1"/>
  <c r="G1163" i="20" a="1"/>
  <c r="G1163" i="20" s="1"/>
  <c r="I1163" i="20" a="1"/>
  <c r="I1163" i="20" s="1"/>
  <c r="K1163" i="20" a="1"/>
  <c r="K1163" i="20" s="1"/>
  <c r="M1163" i="20" a="1"/>
  <c r="M1163" i="20" s="1"/>
  <c r="O1163" i="20" a="1"/>
  <c r="O1163" i="20" s="1"/>
  <c r="Q1163" i="20" a="1"/>
  <c r="Q1163" i="20" s="1"/>
  <c r="S1163" i="20" a="1"/>
  <c r="S1163" i="20" s="1"/>
  <c r="U1163" i="20" a="1"/>
  <c r="U1163" i="20" s="1"/>
  <c r="W1163" i="20" a="1"/>
  <c r="W1163" i="20" s="1"/>
  <c r="Y1163" i="20" a="1"/>
  <c r="Y1163" i="20" s="1"/>
  <c r="AA1163" i="20" a="1"/>
  <c r="AA1163" i="20" s="1"/>
  <c r="H1164" i="20" a="1"/>
  <c r="H1164" i="20" s="1"/>
  <c r="J1164" i="20" a="1"/>
  <c r="J1164" i="20" s="1"/>
  <c r="L1164" i="20" a="1"/>
  <c r="L1164" i="20" s="1"/>
  <c r="N1164" i="20" a="1"/>
  <c r="N1164" i="20" s="1"/>
  <c r="P1164" i="20" a="1"/>
  <c r="P1164" i="20" s="1"/>
  <c r="R1164" i="20" a="1"/>
  <c r="R1164" i="20" s="1"/>
  <c r="T1164" i="20" a="1"/>
  <c r="T1164" i="20" s="1"/>
  <c r="V1164" i="20" a="1"/>
  <c r="V1164" i="20" s="1"/>
  <c r="X1164" i="20" a="1"/>
  <c r="X1164" i="20" s="1"/>
  <c r="Z1164" i="20" a="1"/>
  <c r="Z1164" i="20" s="1"/>
  <c r="AB1164" i="20" a="1"/>
  <c r="AB1164" i="20" s="1"/>
  <c r="G1165" i="20" a="1"/>
  <c r="G1165" i="20" s="1"/>
  <c r="I1165" i="20" a="1"/>
  <c r="I1165" i="20" s="1"/>
  <c r="M1165" i="20" a="1"/>
  <c r="M1165" i="20" s="1"/>
  <c r="Q1165" i="20" a="1"/>
  <c r="Q1165" i="20" s="1"/>
  <c r="U1165" i="20" a="1"/>
  <c r="U1165" i="20" s="1"/>
  <c r="H1159" i="20" a="1"/>
  <c r="H1159" i="20" s="1"/>
  <c r="J1159" i="20" a="1"/>
  <c r="J1159" i="20" s="1"/>
  <c r="L1159" i="20" a="1"/>
  <c r="L1159" i="20" s="1"/>
  <c r="L1167" i="20" s="1" a="1"/>
  <c r="N1159" i="20" a="1"/>
  <c r="N1159" i="20" s="1"/>
  <c r="P1159" i="20" a="1"/>
  <c r="P1159" i="20" s="1"/>
  <c r="P1167" i="20" s="1" a="1"/>
  <c r="R1159" i="20" a="1"/>
  <c r="R1159" i="20" s="1"/>
  <c r="T1159" i="20" a="1"/>
  <c r="T1159" i="20" s="1"/>
  <c r="T1167" i="20" s="1" a="1"/>
  <c r="V1159" i="20" a="1"/>
  <c r="V1159" i="20" s="1"/>
  <c r="X1159" i="20" a="1"/>
  <c r="X1159" i="20" s="1"/>
  <c r="X1167" i="20" s="1" a="1"/>
  <c r="Z1159" i="20" a="1"/>
  <c r="Z1159" i="20" s="1"/>
  <c r="G1160" i="20" a="1"/>
  <c r="G1160" i="20" s="1"/>
  <c r="I1160" i="20" a="1"/>
  <c r="I1160" i="20" s="1"/>
  <c r="K1160" i="20" a="1"/>
  <c r="K1160" i="20" s="1"/>
  <c r="M1160" i="20" a="1"/>
  <c r="M1160" i="20" s="1"/>
  <c r="O1160" i="20" a="1"/>
  <c r="O1160" i="20" s="1"/>
  <c r="Q1160" i="20" a="1"/>
  <c r="Q1160" i="20" s="1"/>
  <c r="S1160" i="20" a="1"/>
  <c r="S1160" i="20" s="1"/>
  <c r="U1160" i="20" a="1"/>
  <c r="U1160" i="20" s="1"/>
  <c r="W1160" i="20" a="1"/>
  <c r="W1160" i="20" s="1"/>
  <c r="Y1160" i="20" a="1"/>
  <c r="Y1160" i="20" s="1"/>
  <c r="H1161" i="20" a="1"/>
  <c r="H1161" i="20" s="1"/>
  <c r="J1161" i="20" a="1"/>
  <c r="J1161" i="20" s="1"/>
  <c r="L1161" i="20" a="1"/>
  <c r="L1161" i="20" s="1"/>
  <c r="N1161" i="20" a="1"/>
  <c r="N1161" i="20" s="1"/>
  <c r="P1161" i="20" a="1"/>
  <c r="P1161" i="20" s="1"/>
  <c r="R1161" i="20" a="1"/>
  <c r="R1161" i="20" s="1"/>
  <c r="T1161" i="20" a="1"/>
  <c r="T1161" i="20" s="1"/>
  <c r="V1161" i="20" a="1"/>
  <c r="V1161" i="20" s="1"/>
  <c r="X1161" i="20" a="1"/>
  <c r="X1161" i="20" s="1"/>
  <c r="Z1161" i="20" a="1"/>
  <c r="Z1161" i="20" s="1"/>
  <c r="G1162" i="20" a="1"/>
  <c r="G1162" i="20" s="1"/>
  <c r="I1162" i="20" a="1"/>
  <c r="I1162" i="20" s="1"/>
  <c r="K1162" i="20" a="1"/>
  <c r="K1162" i="20" s="1"/>
  <c r="M1162" i="20" a="1"/>
  <c r="M1162" i="20" s="1"/>
  <c r="O1162" i="20" a="1"/>
  <c r="O1162" i="20" s="1"/>
  <c r="Q1162" i="20" a="1"/>
  <c r="Q1162" i="20" s="1"/>
  <c r="S1162" i="20" a="1"/>
  <c r="S1162" i="20" s="1"/>
  <c r="U1162" i="20" a="1"/>
  <c r="U1162" i="20" s="1"/>
  <c r="W1162" i="20" a="1"/>
  <c r="W1162" i="20" s="1"/>
  <c r="Y1162" i="20" a="1"/>
  <c r="Y1162" i="20" s="1"/>
  <c r="H1163" i="20" a="1"/>
  <c r="H1163" i="20" s="1"/>
  <c r="J1163" i="20" a="1"/>
  <c r="J1163" i="20" s="1"/>
  <c r="L1163" i="20" a="1"/>
  <c r="L1163" i="20" s="1"/>
  <c r="N1163" i="20" a="1"/>
  <c r="N1163" i="20" s="1"/>
  <c r="P1163" i="20" a="1"/>
  <c r="P1163" i="20" s="1"/>
  <c r="R1163" i="20" a="1"/>
  <c r="R1163" i="20" s="1"/>
  <c r="T1163" i="20" a="1"/>
  <c r="T1163" i="20" s="1"/>
  <c r="V1163" i="20" a="1"/>
  <c r="V1163" i="20" s="1"/>
  <c r="X1163" i="20" a="1"/>
  <c r="X1163" i="20" s="1"/>
  <c r="Z1163" i="20" a="1"/>
  <c r="Z1163" i="20" s="1"/>
  <c r="G1164" i="20" a="1"/>
  <c r="G1164" i="20" s="1"/>
  <c r="I1164" i="20" a="1"/>
  <c r="I1164" i="20" s="1"/>
  <c r="K1164" i="20" a="1"/>
  <c r="K1164" i="20" s="1"/>
  <c r="M1164" i="20" a="1"/>
  <c r="M1164" i="20" s="1"/>
  <c r="O1164" i="20" a="1"/>
  <c r="O1164" i="20" s="1"/>
  <c r="Q1164" i="20" a="1"/>
  <c r="Q1164" i="20" s="1"/>
  <c r="S1164" i="20" a="1"/>
  <c r="S1164" i="20" s="1"/>
  <c r="U1164" i="20" a="1"/>
  <c r="U1164" i="20" s="1"/>
  <c r="W1164" i="20" a="1"/>
  <c r="W1164" i="20" s="1"/>
  <c r="Y1164" i="20" a="1"/>
  <c r="Y1164" i="20" s="1"/>
  <c r="AA1165" i="20" a="1"/>
  <c r="AA1165" i="20" s="1"/>
  <c r="AB1165" i="20" a="1"/>
  <c r="AB1165" i="20" s="1"/>
  <c r="Z1165" i="20" a="1"/>
  <c r="Z1165" i="20" s="1"/>
  <c r="X1165" i="20" a="1"/>
  <c r="X1165" i="20" s="1"/>
  <c r="V1165" i="20" a="1"/>
  <c r="V1165" i="20" s="1"/>
  <c r="T1165" i="20" a="1"/>
  <c r="T1165" i="20" s="1"/>
  <c r="R1165" i="20" a="1"/>
  <c r="R1165" i="20" s="1"/>
  <c r="P1165" i="20" a="1"/>
  <c r="P1165" i="20" s="1"/>
  <c r="N1165" i="20" a="1"/>
  <c r="N1165" i="20" s="1"/>
  <c r="L1165" i="20" a="1"/>
  <c r="L1165" i="20" s="1"/>
  <c r="J1165" i="20" a="1"/>
  <c r="J1165" i="20" s="1"/>
  <c r="H1165" i="20" a="1"/>
  <c r="H1165" i="20" s="1"/>
  <c r="K1165" i="20" a="1"/>
  <c r="K1165" i="20" s="1"/>
  <c r="O1165" i="20" a="1"/>
  <c r="O1165" i="20" s="1"/>
  <c r="S1165" i="20" a="1"/>
  <c r="S1165" i="20" s="1"/>
  <c r="W1165" i="20" a="1"/>
  <c r="W1165" i="20" s="1"/>
  <c r="AB1166" i="20" a="1"/>
  <c r="AB1166" i="20" s="1"/>
  <c r="AA1166" i="20" a="1"/>
  <c r="AA1166" i="20" s="1"/>
  <c r="Z1166" i="20" a="1"/>
  <c r="Z1166" i="20" s="1"/>
  <c r="Y1166" i="20" a="1"/>
  <c r="Y1166" i="20" s="1"/>
  <c r="X1166" i="20" a="1"/>
  <c r="X1166" i="20" s="1"/>
  <c r="W1166" i="20" a="1"/>
  <c r="W1166" i="20" s="1"/>
  <c r="V1166" i="20" a="1"/>
  <c r="V1166" i="20" s="1"/>
  <c r="U1166" i="20" a="1"/>
  <c r="U1166" i="20" s="1"/>
  <c r="T1166" i="20" a="1"/>
  <c r="T1166" i="20" s="1"/>
  <c r="S1166" i="20" a="1"/>
  <c r="S1166" i="20" s="1"/>
  <c r="R1166" i="20" a="1"/>
  <c r="R1166" i="20" s="1"/>
  <c r="Q1166" i="20" a="1"/>
  <c r="Q1166" i="20" s="1"/>
  <c r="P1166" i="20" a="1"/>
  <c r="P1166" i="20" s="1"/>
  <c r="O1166" i="20" a="1"/>
  <c r="O1166" i="20" s="1"/>
  <c r="N1166" i="20" a="1"/>
  <c r="N1166" i="20" s="1"/>
  <c r="M1166" i="20" a="1"/>
  <c r="M1166" i="20" s="1"/>
  <c r="L1166" i="20" a="1"/>
  <c r="L1166" i="20" s="1"/>
  <c r="K1166" i="20" a="1"/>
  <c r="K1166" i="20" s="1"/>
  <c r="J1166" i="20" a="1"/>
  <c r="J1166" i="20" s="1"/>
  <c r="I1166" i="20" a="1"/>
  <c r="I1166" i="20" s="1"/>
  <c r="H1166" i="20" a="1"/>
  <c r="H1166" i="20" s="1"/>
  <c r="G1166" i="20" a="1"/>
  <c r="G1166" i="20" s="1"/>
  <c r="AB943" i="20" a="1"/>
  <c r="AA943" i="20" a="1"/>
  <c r="AB887" i="20" a="1"/>
  <c r="AA887" i="20" a="1"/>
  <c r="AB831" i="20" a="1"/>
  <c r="AA831" i="20" a="1"/>
  <c r="AB47" i="20" a="1"/>
  <c r="AA47" i="20" a="1"/>
  <c r="AA19" i="20" a="1"/>
  <c r="AB19" i="20" a="1"/>
  <c r="G1167" i="20" l="1"/>
  <c r="B1153" i="20" s="1"/>
  <c r="H1167" i="20"/>
  <c r="B1154" i="20" s="1"/>
  <c r="J1167" i="20"/>
  <c r="B1157" i="20" s="1"/>
  <c r="N1167" i="20"/>
  <c r="R1167" i="20"/>
  <c r="R1168" i="20" s="1" a="1"/>
  <c r="R1168" i="20" s="1"/>
  <c r="V1167" i="20"/>
  <c r="V1168" i="20" s="1" a="1"/>
  <c r="V1168" i="20" s="1"/>
  <c r="Z1167" i="20"/>
  <c r="Z1168" i="20" s="1" a="1"/>
  <c r="Z1168" i="20" s="1"/>
  <c r="K1167" i="20"/>
  <c r="O1167" i="20"/>
  <c r="S1167" i="20"/>
  <c r="S1168" i="20" s="1" a="1"/>
  <c r="S1168" i="20" s="1"/>
  <c r="W1167" i="20"/>
  <c r="AA1167" i="20"/>
  <c r="X1167" i="20"/>
  <c r="T1167" i="20"/>
  <c r="T1168" i="20" s="1" a="1"/>
  <c r="T1168" i="20" s="1"/>
  <c r="P1167" i="20"/>
  <c r="L1167" i="20"/>
  <c r="I1167" i="20"/>
  <c r="B1156" i="20" s="1"/>
  <c r="AB1167" i="20"/>
  <c r="M1167" i="20"/>
  <c r="Q1167" i="20"/>
  <c r="Q1168" i="20" s="1" a="1"/>
  <c r="Q1168" i="20" s="1"/>
  <c r="U1167" i="20"/>
  <c r="U1168" i="20" s="1" a="1"/>
  <c r="U1168" i="20" s="1"/>
  <c r="Y1167" i="20"/>
  <c r="C1175" i="20" s="1" a="1"/>
  <c r="C1175" i="20" s="1"/>
  <c r="C1173" i="20" a="1"/>
  <c r="X1168" i="20" a="1"/>
  <c r="J1168" i="20" a="1"/>
  <c r="C1172" i="20" a="1"/>
  <c r="W1168" i="20" a="1"/>
  <c r="G1142" i="20" a="1"/>
  <c r="G1114" i="20" a="1"/>
  <c r="G1086" i="20" a="1"/>
  <c r="G1058" i="20" a="1"/>
  <c r="G1030" i="20" a="1"/>
  <c r="G1002" i="20" a="1"/>
  <c r="G974" i="20" a="1"/>
  <c r="G946" i="20" a="1"/>
  <c r="G918" i="20" a="1"/>
  <c r="G890" i="20" a="1"/>
  <c r="G862" i="20" a="1"/>
  <c r="G834" i="20" a="1"/>
  <c r="G806" i="20" a="1"/>
  <c r="G778" i="20" a="1"/>
  <c r="G750" i="20" a="1"/>
  <c r="G722" i="20" a="1"/>
  <c r="G694" i="20" a="1"/>
  <c r="G666" i="20" a="1"/>
  <c r="G638" i="20" a="1"/>
  <c r="G610" i="20" a="1"/>
  <c r="G582" i="20" a="1"/>
  <c r="G554" i="20" a="1"/>
  <c r="G526" i="20" a="1"/>
  <c r="G498" i="20" a="1"/>
  <c r="G470" i="20" a="1"/>
  <c r="G442" i="20" a="1"/>
  <c r="G414" i="20" a="1"/>
  <c r="G386" i="20" a="1"/>
  <c r="G358" i="20" a="1"/>
  <c r="G330" i="20" a="1"/>
  <c r="G302" i="20" a="1"/>
  <c r="G274" i="20" a="1"/>
  <c r="G246" i="20" a="1"/>
  <c r="G218" i="20" a="1"/>
  <c r="G190" i="20" a="1"/>
  <c r="G162" i="20" a="1"/>
  <c r="G134" i="20" a="1"/>
  <c r="G106" i="20" a="1"/>
  <c r="G78" i="20" a="1"/>
  <c r="G50" i="20" a="1"/>
  <c r="Z20" i="20" a="1"/>
  <c r="Z19" i="20" a="1"/>
  <c r="F186" i="20" a="1"/>
  <c r="F186" i="20" s="1"/>
  <c r="F185" i="20" a="1"/>
  <c r="F185" i="20" s="1"/>
  <c r="F184" i="20" a="1"/>
  <c r="F184" i="20" s="1"/>
  <c r="F183" i="20" a="1"/>
  <c r="F183" i="20" s="1"/>
  <c r="F182" i="20" a="1"/>
  <c r="F182" i="20" s="1"/>
  <c r="F214" i="20" a="1"/>
  <c r="F214" i="20" s="1"/>
  <c r="F213" i="20" a="1"/>
  <c r="F213" i="20" s="1"/>
  <c r="F212" i="20" a="1"/>
  <c r="F212" i="20" s="1"/>
  <c r="F211" i="20" a="1"/>
  <c r="F211" i="20" s="1"/>
  <c r="F210" i="20" a="1"/>
  <c r="F210" i="20" s="1"/>
  <c r="F242" i="20" a="1"/>
  <c r="F242" i="20" s="1"/>
  <c r="F241" i="20" a="1"/>
  <c r="F241" i="20" s="1"/>
  <c r="F240" i="20" a="1"/>
  <c r="F240" i="20" s="1"/>
  <c r="F239" i="20" a="1"/>
  <c r="F239" i="20" s="1"/>
  <c r="F238" i="20" a="1"/>
  <c r="F238" i="20" s="1"/>
  <c r="Z238" i="20" s="1" a="1"/>
  <c r="Z238" i="20" s="1"/>
  <c r="F270" i="20" a="1"/>
  <c r="F270" i="20" s="1"/>
  <c r="F269" i="20" a="1"/>
  <c r="F269" i="20" s="1"/>
  <c r="F268" i="20" a="1"/>
  <c r="F268" i="20" s="1"/>
  <c r="F267" i="20" a="1"/>
  <c r="F267" i="20" s="1"/>
  <c r="Z267" i="20" s="1" a="1"/>
  <c r="Z267" i="20" s="1"/>
  <c r="F266" i="20" a="1"/>
  <c r="F266" i="20" s="1"/>
  <c r="F298" i="20" a="1"/>
  <c r="F298" i="20" s="1"/>
  <c r="F297" i="20" a="1"/>
  <c r="F297" i="20" s="1"/>
  <c r="F296" i="20" a="1"/>
  <c r="F296" i="20" s="1"/>
  <c r="F295" i="20" a="1"/>
  <c r="F295" i="20" s="1"/>
  <c r="F294" i="20" a="1"/>
  <c r="F294" i="20" s="1"/>
  <c r="F326" i="20" a="1"/>
  <c r="F326" i="20" s="1"/>
  <c r="F325" i="20" a="1"/>
  <c r="F325" i="20" s="1"/>
  <c r="Z325" i="20" s="1" a="1"/>
  <c r="Z325" i="20" s="1"/>
  <c r="F324" i="20" a="1"/>
  <c r="F324" i="20" s="1"/>
  <c r="F323" i="20" a="1"/>
  <c r="F323" i="20" s="1"/>
  <c r="F322" i="20" a="1"/>
  <c r="F322" i="20" s="1"/>
  <c r="F354" i="20" a="1"/>
  <c r="F354" i="20" s="1"/>
  <c r="Z354" i="20" s="1" a="1"/>
  <c r="Z354" i="20" s="1"/>
  <c r="F353" i="20" a="1"/>
  <c r="F353" i="20" s="1"/>
  <c r="F352" i="20" a="1"/>
  <c r="F352" i="20" s="1"/>
  <c r="F351" i="20" a="1"/>
  <c r="F351" i="20" s="1"/>
  <c r="F350" i="20" a="1"/>
  <c r="F350" i="20" s="1"/>
  <c r="F382" i="20" a="1"/>
  <c r="F382" i="20" s="1"/>
  <c r="F381" i="20" a="1"/>
  <c r="F381" i="20" s="1"/>
  <c r="F380" i="20" a="1"/>
  <c r="F380" i="20" s="1"/>
  <c r="F379" i="20" a="1"/>
  <c r="F379" i="20" s="1"/>
  <c r="F378" i="20" a="1"/>
  <c r="F378" i="20" s="1"/>
  <c r="F410" i="20" a="1"/>
  <c r="F410" i="20" s="1"/>
  <c r="F409" i="20" a="1"/>
  <c r="F409" i="20" s="1"/>
  <c r="F408" i="20" a="1"/>
  <c r="F408" i="20" s="1"/>
  <c r="F407" i="20" a="1"/>
  <c r="F407" i="20" s="1"/>
  <c r="F406" i="20" a="1"/>
  <c r="F406" i="20" s="1"/>
  <c r="F438" i="20" a="1"/>
  <c r="F438" i="20" s="1"/>
  <c r="F437" i="20" a="1"/>
  <c r="F437" i="20" s="1"/>
  <c r="F436" i="20" a="1"/>
  <c r="F436" i="20" s="1"/>
  <c r="F435" i="20" a="1"/>
  <c r="F435" i="20" s="1"/>
  <c r="F434" i="20" a="1"/>
  <c r="F434" i="20" s="1"/>
  <c r="F466" i="20" a="1"/>
  <c r="F466" i="20" s="1"/>
  <c r="F465" i="20" a="1"/>
  <c r="F465" i="20" s="1"/>
  <c r="F464" i="20" a="1"/>
  <c r="F464" i="20" s="1"/>
  <c r="F463" i="20" a="1"/>
  <c r="F463" i="20" s="1"/>
  <c r="F462" i="20" a="1"/>
  <c r="F462" i="20" s="1"/>
  <c r="F494" i="20" a="1"/>
  <c r="F494" i="20" s="1"/>
  <c r="F493" i="20" a="1"/>
  <c r="F493" i="20" s="1"/>
  <c r="F492" i="20" a="1"/>
  <c r="F492" i="20" s="1"/>
  <c r="F491" i="20" a="1"/>
  <c r="F491" i="20" s="1"/>
  <c r="F490" i="20" a="1"/>
  <c r="F490" i="20" s="1"/>
  <c r="F522" i="20" a="1"/>
  <c r="F522" i="20" s="1"/>
  <c r="F521" i="20" a="1"/>
  <c r="F521" i="20" s="1"/>
  <c r="F520" i="20" a="1"/>
  <c r="F520" i="20" s="1"/>
  <c r="F519" i="20" a="1"/>
  <c r="F519" i="20" s="1"/>
  <c r="F518" i="20" a="1"/>
  <c r="F518" i="20" s="1"/>
  <c r="F550" i="20" a="1"/>
  <c r="F550" i="20" s="1"/>
  <c r="F549" i="20" a="1"/>
  <c r="F549" i="20" s="1"/>
  <c r="F548" i="20" a="1"/>
  <c r="F548" i="20" s="1"/>
  <c r="F547" i="20" a="1"/>
  <c r="F547" i="20" s="1"/>
  <c r="F546" i="20" a="1"/>
  <c r="F546" i="20" s="1"/>
  <c r="F578" i="20" a="1"/>
  <c r="F578" i="20" s="1"/>
  <c r="F577" i="20" a="1"/>
  <c r="F577" i="20" s="1"/>
  <c r="F576" i="20" a="1"/>
  <c r="F576" i="20" s="1"/>
  <c r="F575" i="20" a="1"/>
  <c r="F575" i="20" s="1"/>
  <c r="F574" i="20" a="1"/>
  <c r="F574" i="20" s="1"/>
  <c r="F606" i="20" a="1"/>
  <c r="F606" i="20" s="1"/>
  <c r="F605" i="20" a="1"/>
  <c r="F605" i="20" s="1"/>
  <c r="F604" i="20" a="1"/>
  <c r="F604" i="20" s="1"/>
  <c r="F603" i="20" a="1"/>
  <c r="F603" i="20" s="1"/>
  <c r="F602" i="20" a="1"/>
  <c r="F602" i="20" s="1"/>
  <c r="F634" i="20" a="1"/>
  <c r="F634" i="20" s="1"/>
  <c r="F633" i="20" a="1"/>
  <c r="F633" i="20" s="1"/>
  <c r="F632" i="20" a="1"/>
  <c r="F632" i="20" s="1"/>
  <c r="F631" i="20" a="1"/>
  <c r="F631" i="20" s="1"/>
  <c r="F630" i="20" a="1"/>
  <c r="F630" i="20" s="1"/>
  <c r="F662" i="20" a="1"/>
  <c r="F662" i="20" s="1"/>
  <c r="F661" i="20" a="1"/>
  <c r="F661" i="20" s="1"/>
  <c r="F660" i="20" a="1"/>
  <c r="F660" i="20" s="1"/>
  <c r="F659" i="20" a="1"/>
  <c r="F659" i="20" s="1"/>
  <c r="F658" i="20" a="1"/>
  <c r="F658" i="20" s="1"/>
  <c r="F690" i="20" a="1"/>
  <c r="F690" i="20" s="1"/>
  <c r="F689" i="20" a="1"/>
  <c r="F689" i="20" s="1"/>
  <c r="F688" i="20" a="1"/>
  <c r="F688" i="20" s="1"/>
  <c r="F687" i="20" a="1"/>
  <c r="F687" i="20" s="1"/>
  <c r="F686" i="20" a="1"/>
  <c r="F686" i="20" s="1"/>
  <c r="F718" i="20" a="1"/>
  <c r="F718" i="20" s="1"/>
  <c r="F717" i="20" a="1"/>
  <c r="F717" i="20" s="1"/>
  <c r="F716" i="20" a="1"/>
  <c r="F716" i="20" s="1"/>
  <c r="F715" i="20" a="1"/>
  <c r="F715" i="20" s="1"/>
  <c r="F714" i="20" a="1"/>
  <c r="F714" i="20" s="1"/>
  <c r="F746" i="20" a="1"/>
  <c r="F746" i="20" s="1"/>
  <c r="F745" i="20" a="1"/>
  <c r="F745" i="20" s="1"/>
  <c r="F744" i="20" a="1"/>
  <c r="F744" i="20" s="1"/>
  <c r="F743" i="20" a="1"/>
  <c r="F743" i="20" s="1"/>
  <c r="F742" i="20" a="1"/>
  <c r="F742" i="20" s="1"/>
  <c r="F774" i="20" a="1"/>
  <c r="F774" i="20" s="1"/>
  <c r="F773" i="20" a="1"/>
  <c r="F773" i="20" s="1"/>
  <c r="F772" i="20" a="1"/>
  <c r="F772" i="20" s="1"/>
  <c r="F771" i="20" a="1"/>
  <c r="F771" i="20" s="1"/>
  <c r="F770" i="20" a="1"/>
  <c r="F770" i="20" s="1"/>
  <c r="F802" i="20" a="1"/>
  <c r="F802" i="20" s="1"/>
  <c r="F801" i="20" a="1"/>
  <c r="F801" i="20" s="1"/>
  <c r="F800" i="20" a="1"/>
  <c r="F800" i="20" s="1"/>
  <c r="F799" i="20" a="1"/>
  <c r="F799" i="20" s="1"/>
  <c r="F798" i="20" a="1"/>
  <c r="F798" i="20" s="1"/>
  <c r="F830" i="20" a="1"/>
  <c r="F830" i="20" s="1"/>
  <c r="F829" i="20" a="1"/>
  <c r="F829" i="20" s="1"/>
  <c r="F828" i="20" a="1"/>
  <c r="F828" i="20" s="1"/>
  <c r="F827" i="20" a="1"/>
  <c r="F827" i="20" s="1"/>
  <c r="F826" i="20" a="1"/>
  <c r="F826" i="20" s="1"/>
  <c r="F858" i="20" a="1"/>
  <c r="F858" i="20" s="1"/>
  <c r="F857" i="20" a="1"/>
  <c r="F857" i="20" s="1"/>
  <c r="F856" i="20" a="1"/>
  <c r="F856" i="20" s="1"/>
  <c r="F855" i="20" a="1"/>
  <c r="F855" i="20" s="1"/>
  <c r="F854" i="20" a="1"/>
  <c r="F854" i="20" s="1"/>
  <c r="F886" i="20" a="1"/>
  <c r="F886" i="20" s="1"/>
  <c r="F885" i="20" a="1"/>
  <c r="F885" i="20" s="1"/>
  <c r="F884" i="20" a="1"/>
  <c r="F884" i="20" s="1"/>
  <c r="F883" i="20" a="1"/>
  <c r="F883" i="20" s="1"/>
  <c r="F882" i="20" a="1"/>
  <c r="F882" i="20" s="1"/>
  <c r="F914" i="20" a="1"/>
  <c r="F914" i="20" s="1"/>
  <c r="F913" i="20" a="1"/>
  <c r="F913" i="20" s="1"/>
  <c r="F912" i="20" a="1"/>
  <c r="F912" i="20" s="1"/>
  <c r="F911" i="20" a="1"/>
  <c r="F911" i="20" s="1"/>
  <c r="F910" i="20" a="1"/>
  <c r="F910" i="20" s="1"/>
  <c r="F942" i="20" a="1"/>
  <c r="F942" i="20" s="1"/>
  <c r="F941" i="20" a="1"/>
  <c r="F941" i="20" s="1"/>
  <c r="F940" i="20" a="1"/>
  <c r="F940" i="20" s="1"/>
  <c r="F939" i="20" a="1"/>
  <c r="F939" i="20" s="1"/>
  <c r="F938" i="20" a="1"/>
  <c r="F938" i="20" s="1"/>
  <c r="F970" i="20" a="1"/>
  <c r="F970" i="20" s="1"/>
  <c r="F969" i="20" a="1"/>
  <c r="F969" i="20" s="1"/>
  <c r="F968" i="20" a="1"/>
  <c r="F968" i="20" s="1"/>
  <c r="F967" i="20" a="1"/>
  <c r="F967" i="20" s="1"/>
  <c r="F966" i="20" a="1"/>
  <c r="F966" i="20" s="1"/>
  <c r="F998" i="20" a="1"/>
  <c r="F998" i="20" s="1"/>
  <c r="F997" i="20" a="1"/>
  <c r="F997" i="20" s="1"/>
  <c r="F996" i="20" a="1"/>
  <c r="F996" i="20" s="1"/>
  <c r="F995" i="20" a="1"/>
  <c r="F995" i="20" s="1"/>
  <c r="F994" i="20" a="1"/>
  <c r="F994" i="20" s="1"/>
  <c r="F1026" i="20" a="1"/>
  <c r="F1026" i="20" s="1"/>
  <c r="F1025" i="20" a="1"/>
  <c r="F1025" i="20" s="1"/>
  <c r="F1024" i="20" a="1"/>
  <c r="F1024" i="20" s="1"/>
  <c r="F1023" i="20" a="1"/>
  <c r="F1023" i="20" s="1"/>
  <c r="F1022" i="20" a="1"/>
  <c r="F1022" i="20" s="1"/>
  <c r="F1054" i="20" a="1"/>
  <c r="F1054" i="20" s="1"/>
  <c r="F1053" i="20" a="1"/>
  <c r="F1053" i="20" s="1"/>
  <c r="F1052" i="20" a="1"/>
  <c r="F1052" i="20" s="1"/>
  <c r="F1051" i="20" a="1"/>
  <c r="F1051" i="20" s="1"/>
  <c r="F1050" i="20" a="1"/>
  <c r="F1050" i="20" s="1"/>
  <c r="F1082" i="20" a="1"/>
  <c r="F1082" i="20" s="1"/>
  <c r="F1081" i="20" a="1"/>
  <c r="F1081" i="20" s="1"/>
  <c r="F1080" i="20" a="1"/>
  <c r="F1080" i="20" s="1"/>
  <c r="F1079" i="20" a="1"/>
  <c r="F1079" i="20" s="1"/>
  <c r="F1078" i="20" a="1"/>
  <c r="F1078" i="20" s="1"/>
  <c r="F1110" i="20" a="1"/>
  <c r="F1110" i="20" s="1"/>
  <c r="F1109" i="20" a="1"/>
  <c r="F1109" i="20" s="1"/>
  <c r="F1108" i="20" a="1"/>
  <c r="F1108" i="20" s="1"/>
  <c r="F1107" i="20" a="1"/>
  <c r="F1107" i="20" s="1"/>
  <c r="F1106" i="20" a="1"/>
  <c r="F1106" i="20" s="1"/>
  <c r="F1138" i="20" a="1"/>
  <c r="F1138" i="20" s="1"/>
  <c r="F1137" i="20" a="1"/>
  <c r="F1137" i="20" s="1"/>
  <c r="F1136" i="20" a="1"/>
  <c r="F1136" i="20" s="1"/>
  <c r="F1135" i="20" a="1"/>
  <c r="F1135" i="20" s="1"/>
  <c r="F1134" i="20" a="1"/>
  <c r="F1134" i="20" s="1"/>
  <c r="F158" i="20" a="1"/>
  <c r="F158" i="20" s="1"/>
  <c r="F157" i="20" a="1"/>
  <c r="F157" i="20" s="1"/>
  <c r="F156" i="20" a="1"/>
  <c r="F156" i="20" s="1"/>
  <c r="F155" i="20" a="1"/>
  <c r="F155" i="20" s="1"/>
  <c r="Z155" i="20" s="1" a="1"/>
  <c r="Z155" i="20" s="1"/>
  <c r="F154" i="20" a="1"/>
  <c r="F154" i="20" s="1"/>
  <c r="F130" i="20" a="1"/>
  <c r="F130" i="20" s="1"/>
  <c r="Z130" i="20" s="1" a="1"/>
  <c r="Z130" i="20" s="1"/>
  <c r="F129" i="20" a="1"/>
  <c r="F129" i="20" s="1"/>
  <c r="F128" i="20" a="1"/>
  <c r="F128" i="20" s="1"/>
  <c r="F127" i="20" a="1"/>
  <c r="F127" i="20" s="1"/>
  <c r="F126" i="20" a="1"/>
  <c r="F126" i="20" s="1"/>
  <c r="Z126" i="20" s="1" a="1"/>
  <c r="Z126" i="20" s="1"/>
  <c r="F102" i="20" a="1"/>
  <c r="F102" i="20" s="1"/>
  <c r="F101" i="20" a="1"/>
  <c r="F101" i="20" s="1"/>
  <c r="F100" i="20" a="1"/>
  <c r="F100" i="20" s="1"/>
  <c r="F99" i="20" a="1"/>
  <c r="F99" i="20" s="1"/>
  <c r="F98" i="20" a="1"/>
  <c r="F98" i="20" s="1"/>
  <c r="Z98" i="20" s="1" a="1"/>
  <c r="Z98" i="20" s="1"/>
  <c r="F74" i="20" a="1"/>
  <c r="F74" i="20" s="1"/>
  <c r="F73" i="20" a="1"/>
  <c r="F73" i="20" s="1"/>
  <c r="Z73" i="20" s="1" a="1"/>
  <c r="Z73" i="20" s="1"/>
  <c r="F72" i="20" a="1"/>
  <c r="F72" i="20" s="1"/>
  <c r="F71" i="20" a="1"/>
  <c r="F71" i="20" s="1"/>
  <c r="Z71" i="20" s="1" a="1"/>
  <c r="Z71" i="20" s="1"/>
  <c r="F70" i="20" a="1"/>
  <c r="F70" i="20" s="1"/>
  <c r="F46" i="20" a="1"/>
  <c r="F46" i="20" s="1"/>
  <c r="F45" i="20" a="1"/>
  <c r="F45" i="20" s="1"/>
  <c r="F44" i="20" a="1"/>
  <c r="F44" i="20" s="1"/>
  <c r="F43" i="20" a="1"/>
  <c r="F43" i="20" s="1"/>
  <c r="F42" i="20" a="1"/>
  <c r="F42" i="20" s="1"/>
  <c r="C1155" i="20" l="1"/>
  <c r="X1168" i="20"/>
  <c r="C1167" i="20"/>
  <c r="C1173" i="20"/>
  <c r="C1169" i="20" a="1"/>
  <c r="C1169" i="20" s="1"/>
  <c r="C1172" i="20"/>
  <c r="C1170" i="20" a="1"/>
  <c r="C1170" i="20" s="1"/>
  <c r="M98" i="20" a="1"/>
  <c r="M98" i="20" s="1"/>
  <c r="J1168" i="20"/>
  <c r="W1168" i="20"/>
  <c r="C1168" i="20" a="1"/>
  <c r="C1168" i="20" s="1"/>
  <c r="Z1079" i="20" a="1"/>
  <c r="Z1079" i="20" s="1"/>
  <c r="AB1079" i="20" a="1"/>
  <c r="AB1079" i="20" s="1"/>
  <c r="AA1079" i="20" a="1"/>
  <c r="AA1079" i="20" s="1"/>
  <c r="X1079" i="20" a="1"/>
  <c r="X1079" i="20" s="1"/>
  <c r="V1079" i="20" a="1"/>
  <c r="V1079" i="20" s="1"/>
  <c r="T1079" i="20" a="1"/>
  <c r="T1079" i="20" s="1"/>
  <c r="R1079" i="20" a="1"/>
  <c r="R1079" i="20" s="1"/>
  <c r="P1079" i="20" a="1"/>
  <c r="P1079" i="20" s="1"/>
  <c r="N1079" i="20" a="1"/>
  <c r="N1079" i="20" s="1"/>
  <c r="L1079" i="20" a="1"/>
  <c r="L1079" i="20" s="1"/>
  <c r="J1079" i="20" a="1"/>
  <c r="J1079" i="20" s="1"/>
  <c r="H1079" i="20" a="1"/>
  <c r="H1079" i="20" s="1"/>
  <c r="Y1079" i="20" a="1"/>
  <c r="Y1079" i="20" s="1"/>
  <c r="W1079" i="20" a="1"/>
  <c r="W1079" i="20" s="1"/>
  <c r="U1079" i="20" a="1"/>
  <c r="U1079" i="20" s="1"/>
  <c r="S1079" i="20" a="1"/>
  <c r="S1079" i="20" s="1"/>
  <c r="Q1079" i="20" a="1"/>
  <c r="Q1079" i="20" s="1"/>
  <c r="O1079" i="20" a="1"/>
  <c r="O1079" i="20" s="1"/>
  <c r="M1079" i="20" a="1"/>
  <c r="M1079" i="20" s="1"/>
  <c r="K1079" i="20" a="1"/>
  <c r="K1079" i="20" s="1"/>
  <c r="I1079" i="20" a="1"/>
  <c r="I1079" i="20" s="1"/>
  <c r="G1079" i="20" a="1"/>
  <c r="G1079" i="20" s="1"/>
  <c r="Z1081" i="20" a="1"/>
  <c r="Z1081" i="20" s="1"/>
  <c r="AB1081" i="20" a="1"/>
  <c r="AB1081" i="20" s="1"/>
  <c r="AA1081" i="20" a="1"/>
  <c r="AA1081" i="20" s="1"/>
  <c r="X1081" i="20" a="1"/>
  <c r="X1081" i="20" s="1"/>
  <c r="V1081" i="20" a="1"/>
  <c r="V1081" i="20" s="1"/>
  <c r="T1081" i="20" a="1"/>
  <c r="T1081" i="20" s="1"/>
  <c r="R1081" i="20" a="1"/>
  <c r="R1081" i="20" s="1"/>
  <c r="P1081" i="20" a="1"/>
  <c r="P1081" i="20" s="1"/>
  <c r="N1081" i="20" a="1"/>
  <c r="N1081" i="20" s="1"/>
  <c r="L1081" i="20" a="1"/>
  <c r="L1081" i="20" s="1"/>
  <c r="J1081" i="20" a="1"/>
  <c r="J1081" i="20" s="1"/>
  <c r="H1081" i="20" a="1"/>
  <c r="H1081" i="20" s="1"/>
  <c r="Y1081" i="20" a="1"/>
  <c r="Y1081" i="20" s="1"/>
  <c r="W1081" i="20" a="1"/>
  <c r="W1081" i="20" s="1"/>
  <c r="U1081" i="20" a="1"/>
  <c r="U1081" i="20" s="1"/>
  <c r="S1081" i="20" a="1"/>
  <c r="S1081" i="20" s="1"/>
  <c r="Q1081" i="20" a="1"/>
  <c r="Q1081" i="20" s="1"/>
  <c r="O1081" i="20" a="1"/>
  <c r="O1081" i="20" s="1"/>
  <c r="M1081" i="20" a="1"/>
  <c r="M1081" i="20" s="1"/>
  <c r="K1081" i="20" a="1"/>
  <c r="K1081" i="20" s="1"/>
  <c r="I1081" i="20" a="1"/>
  <c r="I1081" i="20" s="1"/>
  <c r="G1081" i="20" a="1"/>
  <c r="G1081" i="20" s="1"/>
  <c r="T43" i="20" a="1"/>
  <c r="T43" i="20" s="1"/>
  <c r="AB43" i="20" a="1"/>
  <c r="AB43" i="20" s="1"/>
  <c r="AA43" i="20" a="1"/>
  <c r="AA43" i="20" s="1"/>
  <c r="AB45" i="20" a="1"/>
  <c r="AB45" i="20" s="1"/>
  <c r="AA45" i="20" a="1"/>
  <c r="AA45" i="20" s="1"/>
  <c r="AB70" i="20" a="1"/>
  <c r="AB70" i="20" s="1"/>
  <c r="AA70" i="20" a="1"/>
  <c r="AA70" i="20" s="1"/>
  <c r="AB72" i="20" a="1"/>
  <c r="AB72" i="20" s="1"/>
  <c r="AA72" i="20" a="1"/>
  <c r="AA72" i="20" s="1"/>
  <c r="AB74" i="20" a="1"/>
  <c r="AB74" i="20" s="1"/>
  <c r="AA74" i="20" a="1"/>
  <c r="AA74" i="20" s="1"/>
  <c r="T100" i="20" a="1"/>
  <c r="T100" i="20" s="1"/>
  <c r="AA100" i="20" a="1"/>
  <c r="AA100" i="20" s="1"/>
  <c r="AB100" i="20" a="1"/>
  <c r="AB100" i="20" s="1"/>
  <c r="Z102" i="20" a="1"/>
  <c r="Z102" i="20" s="1"/>
  <c r="AA102" i="20" a="1"/>
  <c r="AA102" i="20" s="1"/>
  <c r="AB102" i="20" a="1"/>
  <c r="AB102" i="20" s="1"/>
  <c r="AB127" i="20" a="1"/>
  <c r="AB127" i="20" s="1"/>
  <c r="AA127" i="20" a="1"/>
  <c r="AA127" i="20" s="1"/>
  <c r="T129" i="20" a="1"/>
  <c r="T129" i="20" s="1"/>
  <c r="AB129" i="20" a="1"/>
  <c r="AB129" i="20" s="1"/>
  <c r="AA129" i="20" a="1"/>
  <c r="AA129" i="20" s="1"/>
  <c r="X154" i="20" a="1"/>
  <c r="X154" i="20" s="1"/>
  <c r="AA154" i="20" a="1"/>
  <c r="AA154" i="20" s="1"/>
  <c r="AB154" i="20" a="1"/>
  <c r="AB154" i="20" s="1"/>
  <c r="Z156" i="20" a="1"/>
  <c r="Z156" i="20" s="1"/>
  <c r="AA156" i="20" a="1"/>
  <c r="AA156" i="20" s="1"/>
  <c r="AB156" i="20" a="1"/>
  <c r="AB156" i="20" s="1"/>
  <c r="AA158" i="20" a="1"/>
  <c r="AA158" i="20" s="1"/>
  <c r="AB158" i="20" a="1"/>
  <c r="AB158" i="20" s="1"/>
  <c r="AB1135" i="20" a="1"/>
  <c r="AB1135" i="20" s="1"/>
  <c r="AA1135" i="20" a="1"/>
  <c r="AA1135" i="20" s="1"/>
  <c r="Z1137" i="20" a="1"/>
  <c r="Z1137" i="20" s="1"/>
  <c r="AB1137" i="20" a="1"/>
  <c r="AB1137" i="20" s="1"/>
  <c r="AA1137" i="20" a="1"/>
  <c r="AA1137" i="20" s="1"/>
  <c r="Z1106" i="20" a="1"/>
  <c r="Z1106" i="20" s="1"/>
  <c r="AB1106" i="20" a="1"/>
  <c r="AB1106" i="20" s="1"/>
  <c r="AA1106" i="20" a="1"/>
  <c r="AA1106" i="20" s="1"/>
  <c r="Z1108" i="20" a="1"/>
  <c r="Z1108" i="20" s="1"/>
  <c r="AB1108" i="20" a="1"/>
  <c r="AB1108" i="20" s="1"/>
  <c r="AA1108" i="20" a="1"/>
  <c r="AA1108" i="20" s="1"/>
  <c r="Z1110" i="20" a="1"/>
  <c r="Z1110" i="20" s="1"/>
  <c r="AB1110" i="20" a="1"/>
  <c r="AB1110" i="20" s="1"/>
  <c r="AA1110" i="20" a="1"/>
  <c r="AA1110" i="20" s="1"/>
  <c r="Z1078" i="20" a="1"/>
  <c r="Z1078" i="20" s="1"/>
  <c r="AB1078" i="20" a="1"/>
  <c r="AB1078" i="20" s="1"/>
  <c r="AA1078" i="20" a="1"/>
  <c r="AA1078" i="20" s="1"/>
  <c r="H1078" i="20" a="1"/>
  <c r="H1078" i="20" s="1"/>
  <c r="J1078" i="20" a="1"/>
  <c r="J1078" i="20" s="1"/>
  <c r="L1078" i="20" a="1"/>
  <c r="L1078" i="20" s="1"/>
  <c r="N1078" i="20" a="1"/>
  <c r="N1078" i="20" s="1"/>
  <c r="P1078" i="20" a="1"/>
  <c r="P1078" i="20" s="1"/>
  <c r="R1078" i="20" a="1"/>
  <c r="R1078" i="20" s="1"/>
  <c r="T1078" i="20" a="1"/>
  <c r="T1078" i="20" s="1"/>
  <c r="V1078" i="20" a="1"/>
  <c r="V1078" i="20" s="1"/>
  <c r="X1078" i="20" a="1"/>
  <c r="X1078" i="20" s="1"/>
  <c r="Z1080" i="20" a="1"/>
  <c r="Z1080" i="20" s="1"/>
  <c r="AB1080" i="20" a="1"/>
  <c r="AB1080" i="20" s="1"/>
  <c r="AA1080" i="20" a="1"/>
  <c r="AA1080" i="20" s="1"/>
  <c r="H1080" i="20" a="1"/>
  <c r="H1080" i="20" s="1"/>
  <c r="J1080" i="20" a="1"/>
  <c r="J1080" i="20" s="1"/>
  <c r="L1080" i="20" a="1"/>
  <c r="L1080" i="20" s="1"/>
  <c r="N1080" i="20" a="1"/>
  <c r="N1080" i="20" s="1"/>
  <c r="P1080" i="20" a="1"/>
  <c r="P1080" i="20" s="1"/>
  <c r="R1080" i="20" a="1"/>
  <c r="R1080" i="20" s="1"/>
  <c r="T1080" i="20" a="1"/>
  <c r="T1080" i="20" s="1"/>
  <c r="V1080" i="20" a="1"/>
  <c r="V1080" i="20" s="1"/>
  <c r="X1080" i="20" a="1"/>
  <c r="X1080" i="20" s="1"/>
  <c r="Z1082" i="20" a="1"/>
  <c r="Z1082" i="20" s="1"/>
  <c r="AA1082" i="20" a="1"/>
  <c r="AA1082" i="20" s="1"/>
  <c r="AB1082" i="20" a="1"/>
  <c r="AB1082" i="20" s="1"/>
  <c r="H1082" i="20" a="1"/>
  <c r="H1082" i="20" s="1"/>
  <c r="J1082" i="20" a="1"/>
  <c r="J1082" i="20" s="1"/>
  <c r="L1082" i="20" a="1"/>
  <c r="L1082" i="20" s="1"/>
  <c r="N1082" i="20" a="1"/>
  <c r="N1082" i="20" s="1"/>
  <c r="P1082" i="20" a="1"/>
  <c r="P1082" i="20" s="1"/>
  <c r="R1082" i="20" a="1"/>
  <c r="R1082" i="20" s="1"/>
  <c r="T1082" i="20" a="1"/>
  <c r="T1082" i="20" s="1"/>
  <c r="V1082" i="20" a="1"/>
  <c r="V1082" i="20" s="1"/>
  <c r="X1082" i="20" a="1"/>
  <c r="X1082" i="20" s="1"/>
  <c r="AB1050" i="20" a="1"/>
  <c r="AB1050" i="20" s="1"/>
  <c r="AA1050" i="20" a="1"/>
  <c r="AA1050" i="20" s="1"/>
  <c r="AB1052" i="20" a="1"/>
  <c r="AB1052" i="20" s="1"/>
  <c r="AA1052" i="20" a="1"/>
  <c r="AA1052" i="20" s="1"/>
  <c r="AA1054" i="20" a="1"/>
  <c r="AA1054" i="20" s="1"/>
  <c r="AB1054" i="20" a="1"/>
  <c r="AB1054" i="20" s="1"/>
  <c r="Z1023" i="20" a="1"/>
  <c r="Z1023" i="20" s="1"/>
  <c r="AB1023" i="20" a="1"/>
  <c r="AB1023" i="20" s="1"/>
  <c r="AA1023" i="20" a="1"/>
  <c r="AA1023" i="20" s="1"/>
  <c r="Z1025" i="20" a="1"/>
  <c r="Z1025" i="20" s="1"/>
  <c r="AB1025" i="20" a="1"/>
  <c r="AB1025" i="20" s="1"/>
  <c r="AA1025" i="20" a="1"/>
  <c r="AA1025" i="20" s="1"/>
  <c r="AA994" i="20" a="1"/>
  <c r="AA994" i="20" s="1"/>
  <c r="AB994" i="20" a="1"/>
  <c r="AB994" i="20" s="1"/>
  <c r="AA996" i="20" a="1"/>
  <c r="AA996" i="20" s="1"/>
  <c r="AB996" i="20" a="1"/>
  <c r="AB996" i="20" s="1"/>
  <c r="Z998" i="20" a="1"/>
  <c r="Z998" i="20" s="1"/>
  <c r="AA998" i="20" a="1"/>
  <c r="AA998" i="20" s="1"/>
  <c r="AB998" i="20" a="1"/>
  <c r="AB998" i="20" s="1"/>
  <c r="Z967" i="20" a="1"/>
  <c r="Z967" i="20" s="1"/>
  <c r="AA967" i="20" a="1"/>
  <c r="AA967" i="20" s="1"/>
  <c r="AB967" i="20" a="1"/>
  <c r="AB967" i="20" s="1"/>
  <c r="Z969" i="20" a="1"/>
  <c r="Z969" i="20" s="1"/>
  <c r="AA969" i="20" a="1"/>
  <c r="AA969" i="20" s="1"/>
  <c r="AB969" i="20" a="1"/>
  <c r="AB969" i="20" s="1"/>
  <c r="Z938" i="20" a="1"/>
  <c r="Z938" i="20" s="1"/>
  <c r="AB938" i="20" a="1"/>
  <c r="AB938" i="20" s="1"/>
  <c r="AA938" i="20" a="1"/>
  <c r="AA938" i="20" s="1"/>
  <c r="Z940" i="20" a="1"/>
  <c r="Z940" i="20" s="1"/>
  <c r="AB940" i="20" a="1"/>
  <c r="AB940" i="20" s="1"/>
  <c r="AA940" i="20" a="1"/>
  <c r="AA940" i="20" s="1"/>
  <c r="Z942" i="20" a="1"/>
  <c r="Z942" i="20" s="1"/>
  <c r="AB942" i="20" a="1"/>
  <c r="AB942" i="20" s="1"/>
  <c r="AA942" i="20" a="1"/>
  <c r="AA942" i="20" s="1"/>
  <c r="Z911" i="20" a="1"/>
  <c r="Z911" i="20" s="1"/>
  <c r="AA911" i="20" a="1"/>
  <c r="AA911" i="20" s="1"/>
  <c r="AB911" i="20" a="1"/>
  <c r="AB911" i="20" s="1"/>
  <c r="Z913" i="20" a="1"/>
  <c r="Z913" i="20" s="1"/>
  <c r="AA913" i="20" a="1"/>
  <c r="AA913" i="20" s="1"/>
  <c r="AB913" i="20" a="1"/>
  <c r="AB913" i="20" s="1"/>
  <c r="AB882" i="20" a="1"/>
  <c r="AB882" i="20" s="1"/>
  <c r="AA882" i="20" a="1"/>
  <c r="AA882" i="20" s="1"/>
  <c r="Z884" i="20" a="1"/>
  <c r="Z884" i="20" s="1"/>
  <c r="AB884" i="20" a="1"/>
  <c r="AB884" i="20" s="1"/>
  <c r="AA884" i="20" a="1"/>
  <c r="AA884" i="20" s="1"/>
  <c r="Z886" i="20" a="1"/>
  <c r="Z886" i="20" s="1"/>
  <c r="AB886" i="20" a="1"/>
  <c r="AB886" i="20" s="1"/>
  <c r="AA886" i="20" a="1"/>
  <c r="AA886" i="20" s="1"/>
  <c r="AA855" i="20" a="1"/>
  <c r="AA855" i="20" s="1"/>
  <c r="AB855" i="20" a="1"/>
  <c r="AB855" i="20" s="1"/>
  <c r="Z857" i="20" a="1"/>
  <c r="Z857" i="20" s="1"/>
  <c r="AA857" i="20" a="1"/>
  <c r="AA857" i="20" s="1"/>
  <c r="AB857" i="20" a="1"/>
  <c r="AB857" i="20" s="1"/>
  <c r="Z826" i="20" a="1"/>
  <c r="Z826" i="20" s="1"/>
  <c r="AA826" i="20" a="1"/>
  <c r="AA826" i="20" s="1"/>
  <c r="AB826" i="20" a="1"/>
  <c r="AB826" i="20" s="1"/>
  <c r="Z828" i="20" a="1"/>
  <c r="Z828" i="20" s="1"/>
  <c r="AA828" i="20" a="1"/>
  <c r="AA828" i="20" s="1"/>
  <c r="AB828" i="20" a="1"/>
  <c r="AB828" i="20" s="1"/>
  <c r="Z830" i="20" a="1"/>
  <c r="Z830" i="20" s="1"/>
  <c r="AB830" i="20" a="1"/>
  <c r="AB830" i="20" s="1"/>
  <c r="AA830" i="20" a="1"/>
  <c r="AA830" i="20" s="1"/>
  <c r="Z799" i="20" a="1"/>
  <c r="Z799" i="20" s="1"/>
  <c r="AA799" i="20" a="1"/>
  <c r="AA799" i="20" s="1"/>
  <c r="AB799" i="20" a="1"/>
  <c r="AB799" i="20" s="1"/>
  <c r="Z801" i="20" a="1"/>
  <c r="Z801" i="20" s="1"/>
  <c r="AA801" i="20" a="1"/>
  <c r="AA801" i="20" s="1"/>
  <c r="AB801" i="20" a="1"/>
  <c r="AB801" i="20" s="1"/>
  <c r="Z770" i="20" a="1"/>
  <c r="Z770" i="20" s="1"/>
  <c r="AB770" i="20" a="1"/>
  <c r="AB770" i="20" s="1"/>
  <c r="AA770" i="20" a="1"/>
  <c r="AA770" i="20" s="1"/>
  <c r="Z772" i="20" a="1"/>
  <c r="Z772" i="20" s="1"/>
  <c r="AB772" i="20" a="1"/>
  <c r="AB772" i="20" s="1"/>
  <c r="AA772" i="20" a="1"/>
  <c r="AA772" i="20" s="1"/>
  <c r="Z774" i="20" a="1"/>
  <c r="Z774" i="20" s="1"/>
  <c r="AB774" i="20" a="1"/>
  <c r="AB774" i="20" s="1"/>
  <c r="AA774" i="20" a="1"/>
  <c r="AA774" i="20" s="1"/>
  <c r="Z743" i="20" a="1"/>
  <c r="Z743" i="20" s="1"/>
  <c r="AA743" i="20" a="1"/>
  <c r="AA743" i="20" s="1"/>
  <c r="AB743" i="20" a="1"/>
  <c r="AB743" i="20" s="1"/>
  <c r="Z745" i="20" a="1"/>
  <c r="Z745" i="20" s="1"/>
  <c r="AA745" i="20" a="1"/>
  <c r="AA745" i="20" s="1"/>
  <c r="AB745" i="20" a="1"/>
  <c r="AB745" i="20" s="1"/>
  <c r="Z714" i="20" a="1"/>
  <c r="Z714" i="20" s="1"/>
  <c r="AA714" i="20" a="1"/>
  <c r="AA714" i="20" s="1"/>
  <c r="AB714" i="20" a="1"/>
  <c r="AB714" i="20" s="1"/>
  <c r="Z716" i="20" a="1"/>
  <c r="Z716" i="20" s="1"/>
  <c r="AA716" i="20" a="1"/>
  <c r="AA716" i="20" s="1"/>
  <c r="AB716" i="20" a="1"/>
  <c r="AB716" i="20" s="1"/>
  <c r="Z718" i="20" a="1"/>
  <c r="Z718" i="20" s="1"/>
  <c r="AB718" i="20" a="1"/>
  <c r="AB718" i="20" s="1"/>
  <c r="AA718" i="20" a="1"/>
  <c r="AA718" i="20" s="1"/>
  <c r="Z687" i="20" a="1"/>
  <c r="Z687" i="20" s="1"/>
  <c r="AB687" i="20" a="1"/>
  <c r="AB687" i="20" s="1"/>
  <c r="AA687" i="20" a="1"/>
  <c r="AA687" i="20" s="1"/>
  <c r="Z689" i="20" a="1"/>
  <c r="Z689" i="20" s="1"/>
  <c r="AB689" i="20" a="1"/>
  <c r="AB689" i="20" s="1"/>
  <c r="AA689" i="20" a="1"/>
  <c r="AA689" i="20" s="1"/>
  <c r="Z658" i="20" a="1"/>
  <c r="Z658" i="20" s="1"/>
  <c r="AB658" i="20" a="1"/>
  <c r="AB658" i="20" s="1"/>
  <c r="AA658" i="20" a="1"/>
  <c r="AA658" i="20" s="1"/>
  <c r="Z660" i="20" a="1"/>
  <c r="Z660" i="20" s="1"/>
  <c r="AB660" i="20" a="1"/>
  <c r="AB660" i="20" s="1"/>
  <c r="AA660" i="20" a="1"/>
  <c r="AA660" i="20" s="1"/>
  <c r="Z662" i="20" a="1"/>
  <c r="Z662" i="20" s="1"/>
  <c r="AB662" i="20" a="1"/>
  <c r="AB662" i="20" s="1"/>
  <c r="AA662" i="20" a="1"/>
  <c r="AA662" i="20" s="1"/>
  <c r="Z631" i="20" a="1"/>
  <c r="Z631" i="20" s="1"/>
  <c r="AB631" i="20" a="1"/>
  <c r="AB631" i="20" s="1"/>
  <c r="AA631" i="20" a="1"/>
  <c r="AA631" i="20" s="1"/>
  <c r="Z633" i="20" a="1"/>
  <c r="Z633" i="20" s="1"/>
  <c r="AB633" i="20" a="1"/>
  <c r="AB633" i="20" s="1"/>
  <c r="AA633" i="20" a="1"/>
  <c r="AA633" i="20" s="1"/>
  <c r="Z602" i="20" a="1"/>
  <c r="Z602" i="20" s="1"/>
  <c r="AB602" i="20" a="1"/>
  <c r="AB602" i="20" s="1"/>
  <c r="AA602" i="20" a="1"/>
  <c r="AA602" i="20" s="1"/>
  <c r="Z604" i="20" a="1"/>
  <c r="Z604" i="20" s="1"/>
  <c r="AB604" i="20" a="1"/>
  <c r="AB604" i="20" s="1"/>
  <c r="AA604" i="20" a="1"/>
  <c r="AA604" i="20" s="1"/>
  <c r="Z606" i="20" a="1"/>
  <c r="Z606" i="20" s="1"/>
  <c r="AB606" i="20" a="1"/>
  <c r="AB606" i="20" s="1"/>
  <c r="AA606" i="20" a="1"/>
  <c r="AA606" i="20" s="1"/>
  <c r="Z575" i="20" a="1"/>
  <c r="Z575" i="20" s="1"/>
  <c r="AA575" i="20" a="1"/>
  <c r="AA575" i="20" s="1"/>
  <c r="AB575" i="20" a="1"/>
  <c r="AB575" i="20" s="1"/>
  <c r="Z577" i="20" a="1"/>
  <c r="Z577" i="20" s="1"/>
  <c r="AA577" i="20" a="1"/>
  <c r="AA577" i="20" s="1"/>
  <c r="AB577" i="20" a="1"/>
  <c r="AB577" i="20" s="1"/>
  <c r="Z546" i="20" a="1"/>
  <c r="Z546" i="20" s="1"/>
  <c r="AA546" i="20" a="1"/>
  <c r="AA546" i="20" s="1"/>
  <c r="AB546" i="20" a="1"/>
  <c r="AB546" i="20" s="1"/>
  <c r="Z548" i="20" a="1"/>
  <c r="Z548" i="20" s="1"/>
  <c r="AA548" i="20" a="1"/>
  <c r="AA548" i="20" s="1"/>
  <c r="AB548" i="20" a="1"/>
  <c r="AB548" i="20" s="1"/>
  <c r="Z550" i="20" a="1"/>
  <c r="Z550" i="20" s="1"/>
  <c r="AA550" i="20" a="1"/>
  <c r="AA550" i="20" s="1"/>
  <c r="AB550" i="20" a="1"/>
  <c r="AB550" i="20" s="1"/>
  <c r="Z519" i="20" a="1"/>
  <c r="Z519" i="20" s="1"/>
  <c r="AA519" i="20" a="1"/>
  <c r="AA519" i="20" s="1"/>
  <c r="AB519" i="20" a="1"/>
  <c r="AB519" i="20" s="1"/>
  <c r="Z521" i="20" a="1"/>
  <c r="Z521" i="20" s="1"/>
  <c r="AB521" i="20" a="1"/>
  <c r="AB521" i="20" s="1"/>
  <c r="AA521" i="20" a="1"/>
  <c r="AA521" i="20" s="1"/>
  <c r="Z490" i="20" a="1"/>
  <c r="Z490" i="20" s="1"/>
  <c r="AA490" i="20" a="1"/>
  <c r="AA490" i="20" s="1"/>
  <c r="AB490" i="20" a="1"/>
  <c r="AB490" i="20" s="1"/>
  <c r="Z492" i="20" a="1"/>
  <c r="Z492" i="20" s="1"/>
  <c r="AA492" i="20" a="1"/>
  <c r="AA492" i="20" s="1"/>
  <c r="AB492" i="20" a="1"/>
  <c r="AB492" i="20" s="1"/>
  <c r="Z494" i="20" a="1"/>
  <c r="Z494" i="20" s="1"/>
  <c r="AB494" i="20" a="1"/>
  <c r="AB494" i="20" s="1"/>
  <c r="AA494" i="20" a="1"/>
  <c r="AA494" i="20" s="1"/>
  <c r="AA463" i="20" a="1"/>
  <c r="AA463" i="20" s="1"/>
  <c r="AB463" i="20" a="1"/>
  <c r="AB463" i="20" s="1"/>
  <c r="Z465" i="20" a="1"/>
  <c r="Z465" i="20" s="1"/>
  <c r="AA465" i="20" a="1"/>
  <c r="AA465" i="20" s="1"/>
  <c r="AB465" i="20" a="1"/>
  <c r="AB465" i="20" s="1"/>
  <c r="Z434" i="20" a="1"/>
  <c r="Z434" i="20" s="1"/>
  <c r="AA434" i="20" a="1"/>
  <c r="AA434" i="20" s="1"/>
  <c r="AB434" i="20" a="1"/>
  <c r="AB434" i="20" s="1"/>
  <c r="Z436" i="20" a="1"/>
  <c r="Z436" i="20" s="1"/>
  <c r="AA436" i="20" a="1"/>
  <c r="AA436" i="20" s="1"/>
  <c r="AB436" i="20" a="1"/>
  <c r="AB436" i="20" s="1"/>
  <c r="Z438" i="20" a="1"/>
  <c r="Z438" i="20" s="1"/>
  <c r="AB438" i="20" a="1"/>
  <c r="AB438" i="20" s="1"/>
  <c r="AA438" i="20" a="1"/>
  <c r="AA438" i="20" s="1"/>
  <c r="Z407" i="20" a="1"/>
  <c r="Z407" i="20" s="1"/>
  <c r="AA407" i="20" a="1"/>
  <c r="AA407" i="20" s="1"/>
  <c r="AB407" i="20" a="1"/>
  <c r="AB407" i="20" s="1"/>
  <c r="Z409" i="20" a="1"/>
  <c r="Z409" i="20" s="1"/>
  <c r="AA409" i="20" a="1"/>
  <c r="AA409" i="20" s="1"/>
  <c r="AB409" i="20" a="1"/>
  <c r="AB409" i="20" s="1"/>
  <c r="Z378" i="20" a="1"/>
  <c r="Z378" i="20" s="1"/>
  <c r="AB378" i="20" a="1"/>
  <c r="AB378" i="20" s="1"/>
  <c r="AA378" i="20" a="1"/>
  <c r="AA378" i="20" s="1"/>
  <c r="Z380" i="20" a="1"/>
  <c r="Z380" i="20" s="1"/>
  <c r="AB380" i="20" a="1"/>
  <c r="AB380" i="20" s="1"/>
  <c r="AA380" i="20" a="1"/>
  <c r="AA380" i="20" s="1"/>
  <c r="Z382" i="20" a="1"/>
  <c r="Z382" i="20" s="1"/>
  <c r="AB382" i="20" a="1"/>
  <c r="AB382" i="20" s="1"/>
  <c r="AA382" i="20" a="1"/>
  <c r="AA382" i="20" s="1"/>
  <c r="Z351" i="20" a="1"/>
  <c r="Z351" i="20" s="1"/>
  <c r="AB351" i="20" a="1"/>
  <c r="AB351" i="20" s="1"/>
  <c r="AA351" i="20" a="1"/>
  <c r="AA351" i="20" s="1"/>
  <c r="Z353" i="20" a="1"/>
  <c r="Z353" i="20" s="1"/>
  <c r="AB353" i="20" a="1"/>
  <c r="AB353" i="20" s="1"/>
  <c r="AA353" i="20" a="1"/>
  <c r="AA353" i="20" s="1"/>
  <c r="Z322" i="20" a="1"/>
  <c r="Z322" i="20" s="1"/>
  <c r="AB322" i="20" a="1"/>
  <c r="AB322" i="20" s="1"/>
  <c r="AA322" i="20" a="1"/>
  <c r="AA322" i="20" s="1"/>
  <c r="Z324" i="20" a="1"/>
  <c r="Z324" i="20" s="1"/>
  <c r="AB324" i="20" a="1"/>
  <c r="AB324" i="20" s="1"/>
  <c r="AA324" i="20" a="1"/>
  <c r="AA324" i="20" s="1"/>
  <c r="Z326" i="20" a="1"/>
  <c r="Z326" i="20" s="1"/>
  <c r="AB326" i="20" a="1"/>
  <c r="AB326" i="20" s="1"/>
  <c r="AA326" i="20" a="1"/>
  <c r="AA326" i="20" s="1"/>
  <c r="Z295" i="20" a="1"/>
  <c r="Z295" i="20" s="1"/>
  <c r="AA295" i="20" a="1"/>
  <c r="AA295" i="20" s="1"/>
  <c r="AB295" i="20" a="1"/>
  <c r="AB295" i="20" s="1"/>
  <c r="Z297" i="20" a="1"/>
  <c r="Z297" i="20" s="1"/>
  <c r="AA297" i="20" a="1"/>
  <c r="AA297" i="20" s="1"/>
  <c r="AB297" i="20" a="1"/>
  <c r="AB297" i="20" s="1"/>
  <c r="Z266" i="20" a="1"/>
  <c r="Z266" i="20" s="1"/>
  <c r="AA266" i="20" a="1"/>
  <c r="AA266" i="20" s="1"/>
  <c r="AB266" i="20" a="1"/>
  <c r="AB266" i="20" s="1"/>
  <c r="Z268" i="20" a="1"/>
  <c r="Z268" i="20" s="1"/>
  <c r="AA268" i="20" a="1"/>
  <c r="AA268" i="20" s="1"/>
  <c r="AB268" i="20" a="1"/>
  <c r="AB268" i="20" s="1"/>
  <c r="Z270" i="20" a="1"/>
  <c r="Z270" i="20" s="1"/>
  <c r="AA270" i="20" a="1"/>
  <c r="AA270" i="20" s="1"/>
  <c r="AB270" i="20" a="1"/>
  <c r="AB270" i="20" s="1"/>
  <c r="Z239" i="20" a="1"/>
  <c r="Z239" i="20" s="1"/>
  <c r="AB239" i="20" a="1"/>
  <c r="AB239" i="20" s="1"/>
  <c r="AA239" i="20" a="1"/>
  <c r="AA239" i="20" s="1"/>
  <c r="Z241" i="20" a="1"/>
  <c r="Z241" i="20" s="1"/>
  <c r="AB241" i="20" a="1"/>
  <c r="AB241" i="20" s="1"/>
  <c r="AA241" i="20" a="1"/>
  <c r="AA241" i="20" s="1"/>
  <c r="Z210" i="20" a="1"/>
  <c r="Z210" i="20" s="1"/>
  <c r="AB210" i="20" a="1"/>
  <c r="AB210" i="20" s="1"/>
  <c r="AA210" i="20" a="1"/>
  <c r="AA210" i="20" s="1"/>
  <c r="AB212" i="20" a="1"/>
  <c r="AB212" i="20" s="1"/>
  <c r="AA212" i="20" a="1"/>
  <c r="AA212" i="20" s="1"/>
  <c r="Z214" i="20" a="1"/>
  <c r="Z214" i="20" s="1"/>
  <c r="AB214" i="20" a="1"/>
  <c r="AB214" i="20" s="1"/>
  <c r="AA214" i="20" a="1"/>
  <c r="AA214" i="20" s="1"/>
  <c r="AB183" i="20" a="1"/>
  <c r="AB183" i="20" s="1"/>
  <c r="AA183" i="20" a="1"/>
  <c r="AA183" i="20" s="1"/>
  <c r="Z185" i="20" a="1"/>
  <c r="Z185" i="20" s="1"/>
  <c r="AB185" i="20" a="1"/>
  <c r="AB185" i="20" s="1"/>
  <c r="AA185" i="20" a="1"/>
  <c r="AA185" i="20" s="1"/>
  <c r="Z45" i="20" a="1"/>
  <c r="Z45" i="20" s="1"/>
  <c r="Z100" i="20" a="1"/>
  <c r="Z100" i="20" s="1"/>
  <c r="Z183" i="20" a="1"/>
  <c r="Z183" i="20" s="1"/>
  <c r="Z212" i="20" a="1"/>
  <c r="Z212" i="20" s="1"/>
  <c r="X42" i="20" a="1"/>
  <c r="X42" i="20" s="1"/>
  <c r="AB42" i="20" a="1"/>
  <c r="AB42" i="20" s="1"/>
  <c r="AA42" i="20" a="1"/>
  <c r="AA42" i="20" s="1"/>
  <c r="Z44" i="20" a="1"/>
  <c r="Z44" i="20" s="1"/>
  <c r="AB44" i="20" a="1"/>
  <c r="AB44" i="20" s="1"/>
  <c r="AA44" i="20" a="1"/>
  <c r="AA44" i="20" s="1"/>
  <c r="Z46" i="20" a="1"/>
  <c r="Z46" i="20" s="1"/>
  <c r="AB46" i="20" a="1"/>
  <c r="AB46" i="20" s="1"/>
  <c r="AA46" i="20" a="1"/>
  <c r="AA46" i="20" s="1"/>
  <c r="AB71" i="20" a="1"/>
  <c r="AB71" i="20" s="1"/>
  <c r="AA71" i="20" a="1"/>
  <c r="AA71" i="20" s="1"/>
  <c r="AB73" i="20" a="1"/>
  <c r="AB73" i="20" s="1"/>
  <c r="AA73" i="20" a="1"/>
  <c r="AA73" i="20" s="1"/>
  <c r="Y98" i="20" a="1"/>
  <c r="Y98" i="20" s="1"/>
  <c r="AA98" i="20" a="1"/>
  <c r="AA98" i="20" s="1"/>
  <c r="AB98" i="20" a="1"/>
  <c r="AB98" i="20" s="1"/>
  <c r="AA99" i="20" a="1"/>
  <c r="AA99" i="20" s="1"/>
  <c r="AB99" i="20" a="1"/>
  <c r="AB99" i="20" s="1"/>
  <c r="T101" i="20" a="1"/>
  <c r="T101" i="20" s="1"/>
  <c r="AA101" i="20" a="1"/>
  <c r="AA101" i="20" s="1"/>
  <c r="AB101" i="20" a="1"/>
  <c r="AB101" i="20" s="1"/>
  <c r="Q126" i="20" a="1"/>
  <c r="Q126" i="20" s="1"/>
  <c r="AB126" i="20" a="1"/>
  <c r="AB126" i="20" s="1"/>
  <c r="AA126" i="20" a="1"/>
  <c r="AA126" i="20" s="1"/>
  <c r="AB128" i="20" a="1"/>
  <c r="AB128" i="20" s="1"/>
  <c r="AA128" i="20" a="1"/>
  <c r="AA128" i="20" s="1"/>
  <c r="AB130" i="20" a="1"/>
  <c r="AB130" i="20" s="1"/>
  <c r="AA130" i="20" a="1"/>
  <c r="AA130" i="20" s="1"/>
  <c r="T155" i="20" a="1"/>
  <c r="T155" i="20" s="1"/>
  <c r="AA155" i="20" a="1"/>
  <c r="AA155" i="20" s="1"/>
  <c r="AB155" i="20" a="1"/>
  <c r="AB155" i="20" s="1"/>
  <c r="Z157" i="20" a="1"/>
  <c r="Z157" i="20" s="1"/>
  <c r="AA157" i="20" a="1"/>
  <c r="AA157" i="20" s="1"/>
  <c r="AB157" i="20" a="1"/>
  <c r="AB157" i="20" s="1"/>
  <c r="Z1134" i="20" a="1"/>
  <c r="Z1134" i="20" s="1"/>
  <c r="AB1134" i="20" a="1"/>
  <c r="AB1134" i="20" s="1"/>
  <c r="AA1134" i="20" a="1"/>
  <c r="AA1134" i="20" s="1"/>
  <c r="Z1136" i="20" a="1"/>
  <c r="Z1136" i="20" s="1"/>
  <c r="AB1136" i="20" a="1"/>
  <c r="AB1136" i="20" s="1"/>
  <c r="AA1136" i="20" a="1"/>
  <c r="AA1136" i="20" s="1"/>
  <c r="Z1138" i="20" a="1"/>
  <c r="Z1138" i="20" s="1"/>
  <c r="AB1138" i="20" a="1"/>
  <c r="AB1138" i="20" s="1"/>
  <c r="AA1138" i="20" a="1"/>
  <c r="AA1138" i="20" s="1"/>
  <c r="Z1107" i="20" a="1"/>
  <c r="Z1107" i="20" s="1"/>
  <c r="AB1107" i="20" a="1"/>
  <c r="AB1107" i="20" s="1"/>
  <c r="AA1107" i="20" a="1"/>
  <c r="AA1107" i="20" s="1"/>
  <c r="Z1109" i="20" a="1"/>
  <c r="Z1109" i="20" s="1"/>
  <c r="AB1109" i="20" a="1"/>
  <c r="AB1109" i="20" s="1"/>
  <c r="AA1109" i="20" a="1"/>
  <c r="AA1109" i="20" s="1"/>
  <c r="G1078" i="20" a="1"/>
  <c r="G1078" i="20" s="1"/>
  <c r="I1078" i="20" a="1"/>
  <c r="I1078" i="20" s="1"/>
  <c r="K1078" i="20" a="1"/>
  <c r="K1078" i="20" s="1"/>
  <c r="M1078" i="20" a="1"/>
  <c r="M1078" i="20" s="1"/>
  <c r="O1078" i="20" a="1"/>
  <c r="O1078" i="20" s="1"/>
  <c r="Q1078" i="20" a="1"/>
  <c r="Q1078" i="20" s="1"/>
  <c r="S1078" i="20" a="1"/>
  <c r="S1078" i="20" s="1"/>
  <c r="U1078" i="20" a="1"/>
  <c r="U1078" i="20" s="1"/>
  <c r="W1078" i="20" a="1"/>
  <c r="W1078" i="20" s="1"/>
  <c r="Y1078" i="20" a="1"/>
  <c r="Y1078" i="20" s="1"/>
  <c r="G1080" i="20" a="1"/>
  <c r="G1080" i="20" s="1"/>
  <c r="I1080" i="20" a="1"/>
  <c r="I1080" i="20" s="1"/>
  <c r="K1080" i="20" a="1"/>
  <c r="K1080" i="20" s="1"/>
  <c r="M1080" i="20" a="1"/>
  <c r="M1080" i="20" s="1"/>
  <c r="O1080" i="20" a="1"/>
  <c r="O1080" i="20" s="1"/>
  <c r="Q1080" i="20" a="1"/>
  <c r="Q1080" i="20" s="1"/>
  <c r="S1080" i="20" a="1"/>
  <c r="S1080" i="20" s="1"/>
  <c r="U1080" i="20" a="1"/>
  <c r="U1080" i="20" s="1"/>
  <c r="W1080" i="20" a="1"/>
  <c r="W1080" i="20" s="1"/>
  <c r="Y1080" i="20" a="1"/>
  <c r="Y1080" i="20" s="1"/>
  <c r="G1082" i="20" a="1"/>
  <c r="G1082" i="20" s="1"/>
  <c r="I1082" i="20" a="1"/>
  <c r="I1082" i="20" s="1"/>
  <c r="K1082" i="20" a="1"/>
  <c r="K1082" i="20" s="1"/>
  <c r="M1082" i="20" a="1"/>
  <c r="M1082" i="20" s="1"/>
  <c r="O1082" i="20" a="1"/>
  <c r="O1082" i="20" s="1"/>
  <c r="Q1082" i="20" a="1"/>
  <c r="Q1082" i="20" s="1"/>
  <c r="S1082" i="20" a="1"/>
  <c r="S1082" i="20" s="1"/>
  <c r="U1082" i="20" a="1"/>
  <c r="U1082" i="20" s="1"/>
  <c r="W1082" i="20" a="1"/>
  <c r="W1082" i="20" s="1"/>
  <c r="Y1082" i="20" a="1"/>
  <c r="Y1082" i="20" s="1"/>
  <c r="AB1051" i="20" a="1"/>
  <c r="AB1051" i="20" s="1"/>
  <c r="AA1051" i="20" a="1"/>
  <c r="AA1051" i="20" s="1"/>
  <c r="AB1053" i="20" a="1"/>
  <c r="AB1053" i="20" s="1"/>
  <c r="AA1053" i="20" a="1"/>
  <c r="AA1053" i="20" s="1"/>
  <c r="AB1022" i="20" a="1"/>
  <c r="AB1022" i="20" s="1"/>
  <c r="AA1022" i="20" a="1"/>
  <c r="AA1022" i="20" s="1"/>
  <c r="AB1024" i="20" a="1"/>
  <c r="AB1024" i="20" s="1"/>
  <c r="AA1024" i="20" a="1"/>
  <c r="AA1024" i="20" s="1"/>
  <c r="Z1026" i="20" a="1"/>
  <c r="Z1026" i="20" s="1"/>
  <c r="AB1026" i="20" a="1"/>
  <c r="AB1026" i="20" s="1"/>
  <c r="AA1026" i="20" a="1"/>
  <c r="AA1026" i="20" s="1"/>
  <c r="Z995" i="20" a="1"/>
  <c r="Z995" i="20" s="1"/>
  <c r="AA995" i="20" a="1"/>
  <c r="AA995" i="20" s="1"/>
  <c r="AB995" i="20" a="1"/>
  <c r="AB995" i="20" s="1"/>
  <c r="Z997" i="20" a="1"/>
  <c r="Z997" i="20" s="1"/>
  <c r="AA997" i="20" a="1"/>
  <c r="AA997" i="20" s="1"/>
  <c r="AB997" i="20" a="1"/>
  <c r="AB997" i="20" s="1"/>
  <c r="AA966" i="20" a="1"/>
  <c r="AA966" i="20" s="1"/>
  <c r="AB966" i="20" a="1"/>
  <c r="AB966" i="20" s="1"/>
  <c r="Z968" i="20" a="1"/>
  <c r="Z968" i="20" s="1"/>
  <c r="AA968" i="20" a="1"/>
  <c r="AA968" i="20" s="1"/>
  <c r="AB968" i="20" a="1"/>
  <c r="AB968" i="20" s="1"/>
  <c r="Z970" i="20" a="1"/>
  <c r="Z970" i="20" s="1"/>
  <c r="AA970" i="20" a="1"/>
  <c r="AA970" i="20" s="1"/>
  <c r="AB970" i="20" a="1"/>
  <c r="AB970" i="20" s="1"/>
  <c r="Z939" i="20" a="1"/>
  <c r="Z939" i="20" s="1"/>
  <c r="AB939" i="20" a="1"/>
  <c r="AB939" i="20" s="1"/>
  <c r="AA939" i="20" a="1"/>
  <c r="AA939" i="20" s="1"/>
  <c r="Z941" i="20" a="1"/>
  <c r="Z941" i="20" s="1"/>
  <c r="AB941" i="20" a="1"/>
  <c r="AB941" i="20" s="1"/>
  <c r="AA941" i="20" a="1"/>
  <c r="AA941" i="20" s="1"/>
  <c r="Z910" i="20" a="1"/>
  <c r="Z910" i="20" s="1"/>
  <c r="AA910" i="20" a="1"/>
  <c r="AA910" i="20" s="1"/>
  <c r="AB910" i="20" a="1"/>
  <c r="AB910" i="20" s="1"/>
  <c r="Z912" i="20" a="1"/>
  <c r="Z912" i="20" s="1"/>
  <c r="AA912" i="20" a="1"/>
  <c r="AA912" i="20" s="1"/>
  <c r="AB912" i="20" a="1"/>
  <c r="AB912" i="20" s="1"/>
  <c r="Z914" i="20" a="1"/>
  <c r="Z914" i="20" s="1"/>
  <c r="AA914" i="20" a="1"/>
  <c r="AA914" i="20" s="1"/>
  <c r="AB914" i="20" a="1"/>
  <c r="AB914" i="20" s="1"/>
  <c r="Z883" i="20" a="1"/>
  <c r="Z883" i="20" s="1"/>
  <c r="AB883" i="20" a="1"/>
  <c r="AB883" i="20" s="1"/>
  <c r="AA883" i="20" a="1"/>
  <c r="AA883" i="20" s="1"/>
  <c r="Z885" i="20" a="1"/>
  <c r="Z885" i="20" s="1"/>
  <c r="AB885" i="20" a="1"/>
  <c r="AB885" i="20" s="1"/>
  <c r="AA885" i="20" a="1"/>
  <c r="AA885" i="20" s="1"/>
  <c r="AA854" i="20" a="1"/>
  <c r="AA854" i="20" s="1"/>
  <c r="AB854" i="20" a="1"/>
  <c r="AB854" i="20" s="1"/>
  <c r="Z856" i="20" a="1"/>
  <c r="Z856" i="20" s="1"/>
  <c r="AA856" i="20" a="1"/>
  <c r="AA856" i="20" s="1"/>
  <c r="AB856" i="20" a="1"/>
  <c r="AB856" i="20" s="1"/>
  <c r="Z858" i="20" a="1"/>
  <c r="Z858" i="20" s="1"/>
  <c r="AA858" i="20" a="1"/>
  <c r="AA858" i="20" s="1"/>
  <c r="AB858" i="20" a="1"/>
  <c r="AB858" i="20" s="1"/>
  <c r="Z827" i="20" a="1"/>
  <c r="Z827" i="20" s="1"/>
  <c r="AA827" i="20" a="1"/>
  <c r="AA827" i="20" s="1"/>
  <c r="AB827" i="20" a="1"/>
  <c r="AB827" i="20" s="1"/>
  <c r="Z829" i="20" a="1"/>
  <c r="Z829" i="20" s="1"/>
  <c r="AB829" i="20" a="1"/>
  <c r="AB829" i="20" s="1"/>
  <c r="AA829" i="20" a="1"/>
  <c r="AA829" i="20" s="1"/>
  <c r="Z798" i="20" a="1"/>
  <c r="Z798" i="20" s="1"/>
  <c r="AA798" i="20" a="1"/>
  <c r="AA798" i="20" s="1"/>
  <c r="AB798" i="20" a="1"/>
  <c r="AB798" i="20" s="1"/>
  <c r="Z800" i="20" a="1"/>
  <c r="Z800" i="20" s="1"/>
  <c r="AA800" i="20" a="1"/>
  <c r="AA800" i="20" s="1"/>
  <c r="AB800" i="20" a="1"/>
  <c r="AB800" i="20" s="1"/>
  <c r="Z802" i="20" a="1"/>
  <c r="Z802" i="20" s="1"/>
  <c r="AA802" i="20" a="1"/>
  <c r="AA802" i="20" s="1"/>
  <c r="AB802" i="20" a="1"/>
  <c r="AB802" i="20" s="1"/>
  <c r="Z771" i="20" a="1"/>
  <c r="Z771" i="20" s="1"/>
  <c r="AB771" i="20" a="1"/>
  <c r="AB771" i="20" s="1"/>
  <c r="AA771" i="20" a="1"/>
  <c r="AA771" i="20" s="1"/>
  <c r="Z773" i="20" a="1"/>
  <c r="Z773" i="20" s="1"/>
  <c r="AB773" i="20" a="1"/>
  <c r="AB773" i="20" s="1"/>
  <c r="AA773" i="20" a="1"/>
  <c r="AA773" i="20" s="1"/>
  <c r="Z742" i="20" a="1"/>
  <c r="Z742" i="20" s="1"/>
  <c r="AA742" i="20" a="1"/>
  <c r="AA742" i="20" s="1"/>
  <c r="AB742" i="20" a="1"/>
  <c r="AB742" i="20" s="1"/>
  <c r="Z744" i="20" a="1"/>
  <c r="Z744" i="20" s="1"/>
  <c r="AA744" i="20" a="1"/>
  <c r="AA744" i="20" s="1"/>
  <c r="AB744" i="20" a="1"/>
  <c r="AB744" i="20" s="1"/>
  <c r="Z746" i="20" a="1"/>
  <c r="Z746" i="20" s="1"/>
  <c r="AA746" i="20" a="1"/>
  <c r="AA746" i="20" s="1"/>
  <c r="AB746" i="20" a="1"/>
  <c r="AB746" i="20" s="1"/>
  <c r="Z715" i="20" a="1"/>
  <c r="Z715" i="20" s="1"/>
  <c r="AA715" i="20" a="1"/>
  <c r="AA715" i="20" s="1"/>
  <c r="AB715" i="20" a="1"/>
  <c r="AB715" i="20" s="1"/>
  <c r="Z717" i="20" a="1"/>
  <c r="Z717" i="20" s="1"/>
  <c r="AA717" i="20" a="1"/>
  <c r="AA717" i="20" s="1"/>
  <c r="AB717" i="20" a="1"/>
  <c r="AB717" i="20" s="1"/>
  <c r="Z686" i="20" a="1"/>
  <c r="Z686" i="20" s="1"/>
  <c r="AB686" i="20" a="1"/>
  <c r="AB686" i="20" s="1"/>
  <c r="AA686" i="20" a="1"/>
  <c r="AA686" i="20" s="1"/>
  <c r="Z688" i="20" a="1"/>
  <c r="Z688" i="20" s="1"/>
  <c r="AB688" i="20" a="1"/>
  <c r="AB688" i="20" s="1"/>
  <c r="AA688" i="20" a="1"/>
  <c r="AA688" i="20" s="1"/>
  <c r="Z690" i="20" a="1"/>
  <c r="Z690" i="20" s="1"/>
  <c r="AB690" i="20" a="1"/>
  <c r="AB690" i="20" s="1"/>
  <c r="AA690" i="20" a="1"/>
  <c r="AA690" i="20" s="1"/>
  <c r="Z659" i="20" a="1"/>
  <c r="Z659" i="20" s="1"/>
  <c r="AB659" i="20" a="1"/>
  <c r="AB659" i="20" s="1"/>
  <c r="AA659" i="20" a="1"/>
  <c r="AA659" i="20" s="1"/>
  <c r="Z661" i="20" a="1"/>
  <c r="Z661" i="20" s="1"/>
  <c r="AB661" i="20" a="1"/>
  <c r="AB661" i="20" s="1"/>
  <c r="AA661" i="20" a="1"/>
  <c r="AA661" i="20" s="1"/>
  <c r="Z630" i="20" a="1"/>
  <c r="Z630" i="20" s="1"/>
  <c r="AB630" i="20" a="1"/>
  <c r="AB630" i="20" s="1"/>
  <c r="AA630" i="20" a="1"/>
  <c r="AA630" i="20" s="1"/>
  <c r="Z632" i="20" a="1"/>
  <c r="Z632" i="20" s="1"/>
  <c r="AB632" i="20" a="1"/>
  <c r="AB632" i="20" s="1"/>
  <c r="AA632" i="20" a="1"/>
  <c r="AA632" i="20" s="1"/>
  <c r="Z634" i="20" a="1"/>
  <c r="Z634" i="20" s="1"/>
  <c r="AB634" i="20" a="1"/>
  <c r="AB634" i="20" s="1"/>
  <c r="AA634" i="20" a="1"/>
  <c r="AA634" i="20" s="1"/>
  <c r="Z603" i="20" a="1"/>
  <c r="Z603" i="20" s="1"/>
  <c r="AB603" i="20" a="1"/>
  <c r="AB603" i="20" s="1"/>
  <c r="AA603" i="20" a="1"/>
  <c r="AA603" i="20" s="1"/>
  <c r="Z605" i="20" a="1"/>
  <c r="Z605" i="20" s="1"/>
  <c r="AB605" i="20" a="1"/>
  <c r="AB605" i="20" s="1"/>
  <c r="AA605" i="20" a="1"/>
  <c r="AA605" i="20" s="1"/>
  <c r="Z574" i="20" a="1"/>
  <c r="Z574" i="20" s="1"/>
  <c r="AA574" i="20" a="1"/>
  <c r="AA574" i="20" s="1"/>
  <c r="AB574" i="20" a="1"/>
  <c r="AB574" i="20" s="1"/>
  <c r="Z576" i="20" a="1"/>
  <c r="Z576" i="20" s="1"/>
  <c r="AA576" i="20" a="1"/>
  <c r="AA576" i="20" s="1"/>
  <c r="AB576" i="20" a="1"/>
  <c r="AB576" i="20" s="1"/>
  <c r="Z578" i="20" a="1"/>
  <c r="Z578" i="20" s="1"/>
  <c r="AA578" i="20" a="1"/>
  <c r="AA578" i="20" s="1"/>
  <c r="AB578" i="20" a="1"/>
  <c r="AB578" i="20" s="1"/>
  <c r="Z547" i="20" a="1"/>
  <c r="Z547" i="20" s="1"/>
  <c r="AA547" i="20" a="1"/>
  <c r="AA547" i="20" s="1"/>
  <c r="AB547" i="20" a="1"/>
  <c r="AB547" i="20" s="1"/>
  <c r="Z549" i="20" a="1"/>
  <c r="Z549" i="20" s="1"/>
  <c r="AA549" i="20" a="1"/>
  <c r="AA549" i="20" s="1"/>
  <c r="AB549" i="20" a="1"/>
  <c r="AB549" i="20" s="1"/>
  <c r="Z518" i="20" a="1"/>
  <c r="Z518" i="20" s="1"/>
  <c r="AA518" i="20" a="1"/>
  <c r="AA518" i="20" s="1"/>
  <c r="AB518" i="20" a="1"/>
  <c r="AB518" i="20" s="1"/>
  <c r="Z520" i="20" a="1"/>
  <c r="Z520" i="20" s="1"/>
  <c r="AA520" i="20" a="1"/>
  <c r="AA520" i="20" s="1"/>
  <c r="AB520" i="20" a="1"/>
  <c r="AB520" i="20" s="1"/>
  <c r="Z522" i="20" a="1"/>
  <c r="Z522" i="20" s="1"/>
  <c r="AB522" i="20" a="1"/>
  <c r="AB522" i="20" s="1"/>
  <c r="AA522" i="20" a="1"/>
  <c r="AA522" i="20" s="1"/>
  <c r="Z491" i="20" a="1"/>
  <c r="Z491" i="20" s="1"/>
  <c r="AA491" i="20" a="1"/>
  <c r="AA491" i="20" s="1"/>
  <c r="AB491" i="20" a="1"/>
  <c r="AB491" i="20" s="1"/>
  <c r="Z493" i="20" a="1"/>
  <c r="Z493" i="20" s="1"/>
  <c r="AA493" i="20" a="1"/>
  <c r="AA493" i="20" s="1"/>
  <c r="AB493" i="20" a="1"/>
  <c r="AB493" i="20" s="1"/>
  <c r="Z462" i="20" a="1"/>
  <c r="Z462" i="20" s="1"/>
  <c r="AA462" i="20" a="1"/>
  <c r="AA462" i="20" s="1"/>
  <c r="AB462" i="20" a="1"/>
  <c r="AB462" i="20" s="1"/>
  <c r="Z464" i="20" a="1"/>
  <c r="Z464" i="20" s="1"/>
  <c r="AA464" i="20" a="1"/>
  <c r="AA464" i="20" s="1"/>
  <c r="AB464" i="20" a="1"/>
  <c r="AB464" i="20" s="1"/>
  <c r="Z466" i="20" a="1"/>
  <c r="Z466" i="20" s="1"/>
  <c r="AB466" i="20" a="1"/>
  <c r="AB466" i="20" s="1"/>
  <c r="AA466" i="20" a="1"/>
  <c r="AA466" i="20" s="1"/>
  <c r="Z435" i="20" a="1"/>
  <c r="Z435" i="20" s="1"/>
  <c r="AA435" i="20" a="1"/>
  <c r="AA435" i="20" s="1"/>
  <c r="AB435" i="20" a="1"/>
  <c r="AB435" i="20" s="1"/>
  <c r="Z437" i="20" a="1"/>
  <c r="Z437" i="20" s="1"/>
  <c r="AA437" i="20" a="1"/>
  <c r="AA437" i="20" s="1"/>
  <c r="AB437" i="20" a="1"/>
  <c r="AB437" i="20" s="1"/>
  <c r="Z406" i="20" a="1"/>
  <c r="Z406" i="20" s="1"/>
  <c r="AA406" i="20" a="1"/>
  <c r="AA406" i="20" s="1"/>
  <c r="AB406" i="20" a="1"/>
  <c r="AB406" i="20" s="1"/>
  <c r="Z408" i="20" a="1"/>
  <c r="Z408" i="20" s="1"/>
  <c r="AA408" i="20" a="1"/>
  <c r="AA408" i="20" s="1"/>
  <c r="AB408" i="20" a="1"/>
  <c r="AB408" i="20" s="1"/>
  <c r="Z410" i="20" a="1"/>
  <c r="Z410" i="20" s="1"/>
  <c r="AA410" i="20" a="1"/>
  <c r="AA410" i="20" s="1"/>
  <c r="AB410" i="20" a="1"/>
  <c r="AB410" i="20" s="1"/>
  <c r="AB379" i="20" a="1"/>
  <c r="AB379" i="20" s="1"/>
  <c r="AA379" i="20" a="1"/>
  <c r="AA379" i="20" s="1"/>
  <c r="Z381" i="20" a="1"/>
  <c r="Z381" i="20" s="1"/>
  <c r="AB381" i="20" a="1"/>
  <c r="AB381" i="20" s="1"/>
  <c r="AA381" i="20" a="1"/>
  <c r="AA381" i="20" s="1"/>
  <c r="AB350" i="20" a="1"/>
  <c r="AB350" i="20" s="1"/>
  <c r="AA350" i="20" a="1"/>
  <c r="AA350" i="20" s="1"/>
  <c r="Z352" i="20" a="1"/>
  <c r="Z352" i="20" s="1"/>
  <c r="AB352" i="20" a="1"/>
  <c r="AB352" i="20" s="1"/>
  <c r="AA352" i="20" a="1"/>
  <c r="AA352" i="20" s="1"/>
  <c r="AB354" i="20" a="1"/>
  <c r="AB354" i="20" s="1"/>
  <c r="AA354" i="20" a="1"/>
  <c r="AA354" i="20" s="1"/>
  <c r="Z323" i="20" a="1"/>
  <c r="Z323" i="20" s="1"/>
  <c r="AB323" i="20" a="1"/>
  <c r="AB323" i="20" s="1"/>
  <c r="AA323" i="20" a="1"/>
  <c r="AA323" i="20" s="1"/>
  <c r="AB325" i="20" a="1"/>
  <c r="AB325" i="20" s="1"/>
  <c r="AA325" i="20" a="1"/>
  <c r="AA325" i="20" s="1"/>
  <c r="AA294" i="20" a="1"/>
  <c r="AA294" i="20" s="1"/>
  <c r="AB294" i="20" a="1"/>
  <c r="AB294" i="20" s="1"/>
  <c r="AA296" i="20" a="1"/>
  <c r="AA296" i="20" s="1"/>
  <c r="AB296" i="20" a="1"/>
  <c r="AB296" i="20" s="1"/>
  <c r="Z298" i="20" a="1"/>
  <c r="Z298" i="20" s="1"/>
  <c r="AA298" i="20" a="1"/>
  <c r="AA298" i="20" s="1"/>
  <c r="AB298" i="20" a="1"/>
  <c r="AB298" i="20" s="1"/>
  <c r="AA267" i="20" a="1"/>
  <c r="AA267" i="20" s="1"/>
  <c r="AB267" i="20" a="1"/>
  <c r="AB267" i="20" s="1"/>
  <c r="Z269" i="20" a="1"/>
  <c r="Z269" i="20" s="1"/>
  <c r="AA269" i="20" a="1"/>
  <c r="AA269" i="20" s="1"/>
  <c r="AB269" i="20" a="1"/>
  <c r="AB269" i="20" s="1"/>
  <c r="AB238" i="20" a="1"/>
  <c r="AB238" i="20" s="1"/>
  <c r="AA238" i="20" a="1"/>
  <c r="AA238" i="20" s="1"/>
  <c r="Z240" i="20" a="1"/>
  <c r="Z240" i="20" s="1"/>
  <c r="AB240" i="20" a="1"/>
  <c r="AB240" i="20" s="1"/>
  <c r="AA240" i="20" a="1"/>
  <c r="AA240" i="20" s="1"/>
  <c r="AB242" i="20" a="1"/>
  <c r="AB242" i="20" s="1"/>
  <c r="AA242" i="20" a="1"/>
  <c r="AA242" i="20" s="1"/>
  <c r="Z211" i="20" a="1"/>
  <c r="Z211" i="20" s="1"/>
  <c r="AB211" i="20" a="1"/>
  <c r="AB211" i="20" s="1"/>
  <c r="AA211" i="20" a="1"/>
  <c r="AA211" i="20" s="1"/>
  <c r="AB213" i="20" a="1"/>
  <c r="AB213" i="20" s="1"/>
  <c r="AA213" i="20" a="1"/>
  <c r="AA213" i="20" s="1"/>
  <c r="Z182" i="20" a="1"/>
  <c r="Z182" i="20" s="1"/>
  <c r="AB182" i="20" a="1"/>
  <c r="AB182" i="20" s="1"/>
  <c r="AA182" i="20" a="1"/>
  <c r="AA182" i="20" s="1"/>
  <c r="AB184" i="20" a="1"/>
  <c r="AB184" i="20" s="1"/>
  <c r="AA184" i="20" a="1"/>
  <c r="AA184" i="20" s="1"/>
  <c r="Z186" i="20" a="1"/>
  <c r="Z186" i="20" s="1"/>
  <c r="AB186" i="20" a="1"/>
  <c r="AB186" i="20" s="1"/>
  <c r="AA186" i="20" a="1"/>
  <c r="AA186" i="20" s="1"/>
  <c r="Z70" i="20" a="1"/>
  <c r="Z70" i="20" s="1"/>
  <c r="Z72" i="20" a="1"/>
  <c r="Z72" i="20" s="1"/>
  <c r="Z74" i="20" a="1"/>
  <c r="Z74" i="20" s="1"/>
  <c r="Z99" i="20" a="1"/>
  <c r="Z99" i="20" s="1"/>
  <c r="Z101" i="20" a="1"/>
  <c r="Z101" i="20" s="1"/>
  <c r="Z129" i="20" a="1"/>
  <c r="Z129" i="20" s="1"/>
  <c r="Z154" i="20" a="1"/>
  <c r="Z154" i="20" s="1"/>
  <c r="Z158" i="20" a="1"/>
  <c r="Z158" i="20" s="1"/>
  <c r="Z184" i="20" a="1"/>
  <c r="Z184" i="20" s="1"/>
  <c r="Z213" i="20" a="1"/>
  <c r="Z213" i="20" s="1"/>
  <c r="Z242" i="20" a="1"/>
  <c r="Z242" i="20" s="1"/>
  <c r="Z296" i="20" a="1"/>
  <c r="Z296" i="20" s="1"/>
  <c r="Z350" i="20" a="1"/>
  <c r="Z350" i="20" s="1"/>
  <c r="Z379" i="20" a="1"/>
  <c r="Z379" i="20" s="1"/>
  <c r="C1171" i="20" a="1"/>
  <c r="C1171" i="20" s="1"/>
  <c r="G1170" i="20" a="1"/>
  <c r="C1174" i="20" a="1"/>
  <c r="Z42" i="20" a="1"/>
  <c r="Z42" i="20" s="1"/>
  <c r="Z43" i="20" a="1"/>
  <c r="Z43" i="20" s="1"/>
  <c r="T127" i="20" a="1"/>
  <c r="T127" i="20" s="1"/>
  <c r="Z127" i="20" a="1"/>
  <c r="Z127" i="20" s="1"/>
  <c r="T128" i="20" a="1"/>
  <c r="T128" i="20" s="1"/>
  <c r="Z128" i="20" a="1"/>
  <c r="Z128" i="20" s="1"/>
  <c r="T1135" i="20" a="1"/>
  <c r="T1135" i="20" s="1"/>
  <c r="Z1135" i="20" a="1"/>
  <c r="Z1135" i="20" s="1"/>
  <c r="W1050" i="20" a="1"/>
  <c r="W1050" i="20" s="1"/>
  <c r="Z1050" i="20" a="1"/>
  <c r="Z1050" i="20" s="1"/>
  <c r="W1051" i="20" a="1"/>
  <c r="W1051" i="20" s="1"/>
  <c r="Z1051" i="20" a="1"/>
  <c r="Z1051" i="20" s="1"/>
  <c r="W1052" i="20" a="1"/>
  <c r="W1052" i="20" s="1"/>
  <c r="Z1052" i="20" a="1"/>
  <c r="Z1052" i="20" s="1"/>
  <c r="W1053" i="20" a="1"/>
  <c r="W1053" i="20" s="1"/>
  <c r="Z1053" i="20" a="1"/>
  <c r="Z1053" i="20" s="1"/>
  <c r="W1054" i="20" a="1"/>
  <c r="W1054" i="20" s="1"/>
  <c r="Z1054" i="20" a="1"/>
  <c r="Z1054" i="20" s="1"/>
  <c r="T1022" i="20" a="1"/>
  <c r="T1022" i="20" s="1"/>
  <c r="Z1022" i="20" a="1"/>
  <c r="Z1022" i="20" s="1"/>
  <c r="T1024" i="20" a="1"/>
  <c r="T1024" i="20" s="1"/>
  <c r="Z1024" i="20" a="1"/>
  <c r="Z1024" i="20" s="1"/>
  <c r="T994" i="20" a="1"/>
  <c r="T994" i="20" s="1"/>
  <c r="Z994" i="20" a="1"/>
  <c r="Z994" i="20" s="1"/>
  <c r="T996" i="20" a="1"/>
  <c r="T996" i="20" s="1"/>
  <c r="Z996" i="20" a="1"/>
  <c r="Z996" i="20" s="1"/>
  <c r="L966" i="20" a="1"/>
  <c r="L966" i="20" s="1"/>
  <c r="Z966" i="20" a="1"/>
  <c r="Z966" i="20" s="1"/>
  <c r="X882" i="20" a="1"/>
  <c r="X882" i="20" s="1"/>
  <c r="Z882" i="20" a="1"/>
  <c r="Z882" i="20" s="1"/>
  <c r="T854" i="20" a="1"/>
  <c r="T854" i="20" s="1"/>
  <c r="Z854" i="20" a="1"/>
  <c r="Z854" i="20" s="1"/>
  <c r="T855" i="20" a="1"/>
  <c r="T855" i="20" s="1"/>
  <c r="Z855" i="20" a="1"/>
  <c r="Z855" i="20" s="1"/>
  <c r="T463" i="20" a="1"/>
  <c r="T463" i="20" s="1"/>
  <c r="Z463" i="20" a="1"/>
  <c r="Z463" i="20" s="1"/>
  <c r="X294" i="20" a="1"/>
  <c r="X294" i="20" s="1"/>
  <c r="Z294" i="20" a="1"/>
  <c r="Z294" i="20" s="1"/>
  <c r="Z859" i="20" a="1"/>
  <c r="Z439" i="20" a="1"/>
  <c r="Z411" i="20" a="1"/>
  <c r="Z495" i="20" a="1"/>
  <c r="Z467" i="20" a="1"/>
  <c r="Z383" i="20" a="1"/>
  <c r="U126" i="20" a="1"/>
  <c r="U126" i="20" s="1"/>
  <c r="Q98" i="20" a="1"/>
  <c r="Q98" i="20" s="1"/>
  <c r="I126" i="20" a="1"/>
  <c r="I126" i="20" s="1"/>
  <c r="Y126" i="20" a="1"/>
  <c r="Y126" i="20" s="1"/>
  <c r="U98" i="20" a="1"/>
  <c r="U98" i="20" s="1"/>
  <c r="M126" i="20" a="1"/>
  <c r="M126" i="20" s="1"/>
  <c r="I98" i="20" a="1"/>
  <c r="I98" i="20" s="1"/>
  <c r="Y183" i="20" a="1"/>
  <c r="Y183" i="20" s="1"/>
  <c r="W183" i="20" a="1"/>
  <c r="W183" i="20" s="1"/>
  <c r="U183" i="20" a="1"/>
  <c r="U183" i="20" s="1"/>
  <c r="S183" i="20" a="1"/>
  <c r="S183" i="20" s="1"/>
  <c r="Q183" i="20" a="1"/>
  <c r="Q183" i="20" s="1"/>
  <c r="O183" i="20" a="1"/>
  <c r="O183" i="20" s="1"/>
  <c r="M183" i="20" a="1"/>
  <c r="M183" i="20" s="1"/>
  <c r="K183" i="20" a="1"/>
  <c r="K183" i="20" s="1"/>
  <c r="I183" i="20" a="1"/>
  <c r="I183" i="20" s="1"/>
  <c r="G183" i="20" a="1"/>
  <c r="G183" i="20" s="1"/>
  <c r="X183" i="20" a="1"/>
  <c r="X183" i="20" s="1"/>
  <c r="V183" i="20" a="1"/>
  <c r="V183" i="20" s="1"/>
  <c r="T183" i="20" a="1"/>
  <c r="T183" i="20" s="1"/>
  <c r="R183" i="20" a="1"/>
  <c r="R183" i="20" s="1"/>
  <c r="P183" i="20" a="1"/>
  <c r="P183" i="20" s="1"/>
  <c r="N183" i="20" a="1"/>
  <c r="N183" i="20" s="1"/>
  <c r="L183" i="20" a="1"/>
  <c r="L183" i="20" s="1"/>
  <c r="J183" i="20" a="1"/>
  <c r="J183" i="20" s="1"/>
  <c r="H183" i="20" a="1"/>
  <c r="H183" i="20" s="1"/>
  <c r="Y184" i="20" a="1"/>
  <c r="Y184" i="20" s="1"/>
  <c r="W184" i="20" a="1"/>
  <c r="W184" i="20" s="1"/>
  <c r="U184" i="20" a="1"/>
  <c r="U184" i="20" s="1"/>
  <c r="S184" i="20" a="1"/>
  <c r="S184" i="20" s="1"/>
  <c r="Q184" i="20" a="1"/>
  <c r="Q184" i="20" s="1"/>
  <c r="O184" i="20" a="1"/>
  <c r="O184" i="20" s="1"/>
  <c r="M184" i="20" a="1"/>
  <c r="M184" i="20" s="1"/>
  <c r="K184" i="20" a="1"/>
  <c r="K184" i="20" s="1"/>
  <c r="I184" i="20" a="1"/>
  <c r="I184" i="20" s="1"/>
  <c r="G184" i="20" a="1"/>
  <c r="G184" i="20" s="1"/>
  <c r="X184" i="20" a="1"/>
  <c r="X184" i="20" s="1"/>
  <c r="V184" i="20" a="1"/>
  <c r="V184" i="20" s="1"/>
  <c r="T184" i="20" a="1"/>
  <c r="T184" i="20" s="1"/>
  <c r="R184" i="20" a="1"/>
  <c r="R184" i="20" s="1"/>
  <c r="P184" i="20" a="1"/>
  <c r="P184" i="20" s="1"/>
  <c r="N184" i="20" a="1"/>
  <c r="N184" i="20" s="1"/>
  <c r="L184" i="20" a="1"/>
  <c r="L184" i="20" s="1"/>
  <c r="J184" i="20" a="1"/>
  <c r="J184" i="20" s="1"/>
  <c r="H184" i="20" a="1"/>
  <c r="H184" i="20" s="1"/>
  <c r="X185" i="20" a="1"/>
  <c r="X185" i="20" s="1"/>
  <c r="V185" i="20" a="1"/>
  <c r="V185" i="20" s="1"/>
  <c r="T185" i="20" a="1"/>
  <c r="T185" i="20" s="1"/>
  <c r="R185" i="20" a="1"/>
  <c r="R185" i="20" s="1"/>
  <c r="P185" i="20" a="1"/>
  <c r="P185" i="20" s="1"/>
  <c r="N185" i="20" a="1"/>
  <c r="N185" i="20" s="1"/>
  <c r="L185" i="20" a="1"/>
  <c r="L185" i="20" s="1"/>
  <c r="J185" i="20" a="1"/>
  <c r="J185" i="20" s="1"/>
  <c r="H185" i="20" a="1"/>
  <c r="H185" i="20" s="1"/>
  <c r="Y185" i="20" a="1"/>
  <c r="Y185" i="20" s="1"/>
  <c r="W185" i="20" a="1"/>
  <c r="W185" i="20" s="1"/>
  <c r="U185" i="20" a="1"/>
  <c r="U185" i="20" s="1"/>
  <c r="S185" i="20" a="1"/>
  <c r="S185" i="20" s="1"/>
  <c r="Q185" i="20" a="1"/>
  <c r="Q185" i="20" s="1"/>
  <c r="O185" i="20" a="1"/>
  <c r="O185" i="20" s="1"/>
  <c r="M185" i="20" a="1"/>
  <c r="M185" i="20" s="1"/>
  <c r="K185" i="20" a="1"/>
  <c r="K185" i="20" s="1"/>
  <c r="I185" i="20" a="1"/>
  <c r="I185" i="20" s="1"/>
  <c r="G185" i="20" a="1"/>
  <c r="G185" i="20" s="1"/>
  <c r="Y182" i="20" a="1"/>
  <c r="Y182" i="20" s="1"/>
  <c r="W182" i="20" a="1"/>
  <c r="W182" i="20" s="1"/>
  <c r="U182" i="20" a="1"/>
  <c r="U182" i="20" s="1"/>
  <c r="S182" i="20" a="1"/>
  <c r="S182" i="20" s="1"/>
  <c r="Q182" i="20" a="1"/>
  <c r="Q182" i="20" s="1"/>
  <c r="O182" i="20" a="1"/>
  <c r="O182" i="20" s="1"/>
  <c r="M182" i="20" a="1"/>
  <c r="M182" i="20" s="1"/>
  <c r="K182" i="20" a="1"/>
  <c r="K182" i="20" s="1"/>
  <c r="I182" i="20" a="1"/>
  <c r="I182" i="20" s="1"/>
  <c r="G182" i="20" a="1"/>
  <c r="G182" i="20" s="1"/>
  <c r="F187" i="20" a="1"/>
  <c r="X182" i="20" a="1"/>
  <c r="X182" i="20" s="1"/>
  <c r="V182" i="20" a="1"/>
  <c r="V182" i="20" s="1"/>
  <c r="T182" i="20" a="1"/>
  <c r="T182" i="20" s="1"/>
  <c r="R182" i="20" a="1"/>
  <c r="R182" i="20" s="1"/>
  <c r="P182" i="20" a="1"/>
  <c r="P182" i="20" s="1"/>
  <c r="N182" i="20" a="1"/>
  <c r="N182" i="20" s="1"/>
  <c r="L182" i="20" a="1"/>
  <c r="L182" i="20" s="1"/>
  <c r="J182" i="20" a="1"/>
  <c r="J182" i="20" s="1"/>
  <c r="H182" i="20" a="1"/>
  <c r="H182" i="20" s="1"/>
  <c r="X186" i="20" a="1"/>
  <c r="X186" i="20" s="1"/>
  <c r="T186" i="20" a="1"/>
  <c r="T186" i="20" s="1"/>
  <c r="R186" i="20" a="1"/>
  <c r="R186" i="20" s="1"/>
  <c r="N186" i="20" a="1"/>
  <c r="N186" i="20" s="1"/>
  <c r="J186" i="20" a="1"/>
  <c r="J186" i="20" s="1"/>
  <c r="Y186" i="20" a="1"/>
  <c r="Y186" i="20" s="1"/>
  <c r="W186" i="20" a="1"/>
  <c r="W186" i="20" s="1"/>
  <c r="U186" i="20" a="1"/>
  <c r="U186" i="20" s="1"/>
  <c r="S186" i="20" a="1"/>
  <c r="S186" i="20" s="1"/>
  <c r="Q186" i="20" a="1"/>
  <c r="Q186" i="20" s="1"/>
  <c r="O186" i="20" a="1"/>
  <c r="O186" i="20" s="1"/>
  <c r="M186" i="20" a="1"/>
  <c r="M186" i="20" s="1"/>
  <c r="K186" i="20" a="1"/>
  <c r="K186" i="20" s="1"/>
  <c r="I186" i="20" a="1"/>
  <c r="I186" i="20" s="1"/>
  <c r="G186" i="20" a="1"/>
  <c r="G186" i="20" s="1"/>
  <c r="V186" i="20" a="1"/>
  <c r="V186" i="20" s="1"/>
  <c r="P186" i="20" a="1"/>
  <c r="P186" i="20" s="1"/>
  <c r="L186" i="20" a="1"/>
  <c r="L186" i="20" s="1"/>
  <c r="H186" i="20" a="1"/>
  <c r="H186" i="20" s="1"/>
  <c r="Y211" i="20" a="1"/>
  <c r="Y211" i="20" s="1"/>
  <c r="W211" i="20" a="1"/>
  <c r="W211" i="20" s="1"/>
  <c r="U211" i="20" a="1"/>
  <c r="U211" i="20" s="1"/>
  <c r="S211" i="20" a="1"/>
  <c r="S211" i="20" s="1"/>
  <c r="Q211" i="20" a="1"/>
  <c r="Q211" i="20" s="1"/>
  <c r="O211" i="20" a="1"/>
  <c r="O211" i="20" s="1"/>
  <c r="M211" i="20" a="1"/>
  <c r="M211" i="20" s="1"/>
  <c r="K211" i="20" a="1"/>
  <c r="K211" i="20" s="1"/>
  <c r="I211" i="20" a="1"/>
  <c r="I211" i="20" s="1"/>
  <c r="G211" i="20" a="1"/>
  <c r="G211" i="20" s="1"/>
  <c r="X211" i="20" a="1"/>
  <c r="X211" i="20" s="1"/>
  <c r="V211" i="20" a="1"/>
  <c r="V211" i="20" s="1"/>
  <c r="T211" i="20" a="1"/>
  <c r="T211" i="20" s="1"/>
  <c r="R211" i="20" a="1"/>
  <c r="R211" i="20" s="1"/>
  <c r="P211" i="20" a="1"/>
  <c r="P211" i="20" s="1"/>
  <c r="N211" i="20" a="1"/>
  <c r="N211" i="20" s="1"/>
  <c r="L211" i="20" a="1"/>
  <c r="L211" i="20" s="1"/>
  <c r="J211" i="20" a="1"/>
  <c r="J211" i="20" s="1"/>
  <c r="H211" i="20" a="1"/>
  <c r="H211" i="20" s="1"/>
  <c r="Y212" i="20" a="1"/>
  <c r="Y212" i="20" s="1"/>
  <c r="W212" i="20" a="1"/>
  <c r="W212" i="20" s="1"/>
  <c r="U212" i="20" a="1"/>
  <c r="U212" i="20" s="1"/>
  <c r="S212" i="20" a="1"/>
  <c r="S212" i="20" s="1"/>
  <c r="Q212" i="20" a="1"/>
  <c r="Q212" i="20" s="1"/>
  <c r="O212" i="20" a="1"/>
  <c r="O212" i="20" s="1"/>
  <c r="M212" i="20" a="1"/>
  <c r="M212" i="20" s="1"/>
  <c r="K212" i="20" a="1"/>
  <c r="K212" i="20" s="1"/>
  <c r="I212" i="20" a="1"/>
  <c r="I212" i="20" s="1"/>
  <c r="G212" i="20" a="1"/>
  <c r="G212" i="20" s="1"/>
  <c r="X212" i="20" a="1"/>
  <c r="X212" i="20" s="1"/>
  <c r="V212" i="20" a="1"/>
  <c r="V212" i="20" s="1"/>
  <c r="T212" i="20" a="1"/>
  <c r="T212" i="20" s="1"/>
  <c r="R212" i="20" a="1"/>
  <c r="R212" i="20" s="1"/>
  <c r="P212" i="20" a="1"/>
  <c r="P212" i="20" s="1"/>
  <c r="N212" i="20" a="1"/>
  <c r="N212" i="20" s="1"/>
  <c r="L212" i="20" a="1"/>
  <c r="L212" i="20" s="1"/>
  <c r="J212" i="20" a="1"/>
  <c r="J212" i="20" s="1"/>
  <c r="H212" i="20" a="1"/>
  <c r="H212" i="20" s="1"/>
  <c r="X213" i="20" a="1"/>
  <c r="X213" i="20" s="1"/>
  <c r="V213" i="20" a="1"/>
  <c r="V213" i="20" s="1"/>
  <c r="T213" i="20" a="1"/>
  <c r="T213" i="20" s="1"/>
  <c r="R213" i="20" a="1"/>
  <c r="R213" i="20" s="1"/>
  <c r="P213" i="20" a="1"/>
  <c r="P213" i="20" s="1"/>
  <c r="N213" i="20" a="1"/>
  <c r="N213" i="20" s="1"/>
  <c r="L213" i="20" a="1"/>
  <c r="L213" i="20" s="1"/>
  <c r="J213" i="20" a="1"/>
  <c r="J213" i="20" s="1"/>
  <c r="H213" i="20" a="1"/>
  <c r="H213" i="20" s="1"/>
  <c r="Y213" i="20" a="1"/>
  <c r="Y213" i="20" s="1"/>
  <c r="W213" i="20" a="1"/>
  <c r="W213" i="20" s="1"/>
  <c r="U213" i="20" a="1"/>
  <c r="U213" i="20" s="1"/>
  <c r="S213" i="20" a="1"/>
  <c r="S213" i="20" s="1"/>
  <c r="Q213" i="20" a="1"/>
  <c r="Q213" i="20" s="1"/>
  <c r="O213" i="20" a="1"/>
  <c r="O213" i="20" s="1"/>
  <c r="M213" i="20" a="1"/>
  <c r="M213" i="20" s="1"/>
  <c r="K213" i="20" a="1"/>
  <c r="K213" i="20" s="1"/>
  <c r="I213" i="20" a="1"/>
  <c r="I213" i="20" s="1"/>
  <c r="G213" i="20" a="1"/>
  <c r="G213" i="20" s="1"/>
  <c r="Y210" i="20" a="1"/>
  <c r="Y210" i="20" s="1"/>
  <c r="W210" i="20" a="1"/>
  <c r="W210" i="20" s="1"/>
  <c r="U210" i="20" a="1"/>
  <c r="U210" i="20" s="1"/>
  <c r="S210" i="20" a="1"/>
  <c r="S210" i="20" s="1"/>
  <c r="Q210" i="20" a="1"/>
  <c r="Q210" i="20" s="1"/>
  <c r="O210" i="20" a="1"/>
  <c r="O210" i="20" s="1"/>
  <c r="M210" i="20" a="1"/>
  <c r="M210" i="20" s="1"/>
  <c r="K210" i="20" a="1"/>
  <c r="K210" i="20" s="1"/>
  <c r="I210" i="20" a="1"/>
  <c r="I210" i="20" s="1"/>
  <c r="G210" i="20" a="1"/>
  <c r="G210" i="20" s="1"/>
  <c r="F215" i="20" a="1"/>
  <c r="X210" i="20" a="1"/>
  <c r="X210" i="20" s="1"/>
  <c r="V210" i="20" a="1"/>
  <c r="V210" i="20" s="1"/>
  <c r="T210" i="20" a="1"/>
  <c r="T210" i="20" s="1"/>
  <c r="R210" i="20" a="1"/>
  <c r="R210" i="20" s="1"/>
  <c r="P210" i="20" a="1"/>
  <c r="P210" i="20" s="1"/>
  <c r="N210" i="20" a="1"/>
  <c r="N210" i="20" s="1"/>
  <c r="L210" i="20" a="1"/>
  <c r="L210" i="20" s="1"/>
  <c r="J210" i="20" a="1"/>
  <c r="J210" i="20" s="1"/>
  <c r="H210" i="20" a="1"/>
  <c r="H210" i="20" s="1"/>
  <c r="X214" i="20" a="1"/>
  <c r="X214" i="20" s="1"/>
  <c r="V214" i="20" a="1"/>
  <c r="V214" i="20" s="1"/>
  <c r="R214" i="20" a="1"/>
  <c r="R214" i="20" s="1"/>
  <c r="N214" i="20" a="1"/>
  <c r="N214" i="20" s="1"/>
  <c r="L214" i="20" a="1"/>
  <c r="L214" i="20" s="1"/>
  <c r="H214" i="20" a="1"/>
  <c r="H214" i="20" s="1"/>
  <c r="Y214" i="20" a="1"/>
  <c r="Y214" i="20" s="1"/>
  <c r="W214" i="20" a="1"/>
  <c r="W214" i="20" s="1"/>
  <c r="U214" i="20" a="1"/>
  <c r="U214" i="20" s="1"/>
  <c r="S214" i="20" a="1"/>
  <c r="S214" i="20" s="1"/>
  <c r="Q214" i="20" a="1"/>
  <c r="Q214" i="20" s="1"/>
  <c r="O214" i="20" a="1"/>
  <c r="O214" i="20" s="1"/>
  <c r="M214" i="20" a="1"/>
  <c r="M214" i="20" s="1"/>
  <c r="K214" i="20" a="1"/>
  <c r="K214" i="20" s="1"/>
  <c r="I214" i="20" a="1"/>
  <c r="I214" i="20" s="1"/>
  <c r="G214" i="20" a="1"/>
  <c r="G214" i="20" s="1"/>
  <c r="T214" i="20" a="1"/>
  <c r="T214" i="20" s="1"/>
  <c r="P214" i="20" a="1"/>
  <c r="P214" i="20" s="1"/>
  <c r="J214" i="20" a="1"/>
  <c r="J214" i="20" s="1"/>
  <c r="Y239" i="20" a="1"/>
  <c r="Y239" i="20" s="1"/>
  <c r="W239" i="20" a="1"/>
  <c r="W239" i="20" s="1"/>
  <c r="U239" i="20" a="1"/>
  <c r="U239" i="20" s="1"/>
  <c r="S239" i="20" a="1"/>
  <c r="S239" i="20" s="1"/>
  <c r="Q239" i="20" a="1"/>
  <c r="Q239" i="20" s="1"/>
  <c r="O239" i="20" a="1"/>
  <c r="O239" i="20" s="1"/>
  <c r="M239" i="20" a="1"/>
  <c r="M239" i="20" s="1"/>
  <c r="K239" i="20" a="1"/>
  <c r="K239" i="20" s="1"/>
  <c r="I239" i="20" a="1"/>
  <c r="I239" i="20" s="1"/>
  <c r="G239" i="20" a="1"/>
  <c r="G239" i="20" s="1"/>
  <c r="X239" i="20" a="1"/>
  <c r="X239" i="20" s="1"/>
  <c r="V239" i="20" a="1"/>
  <c r="V239" i="20" s="1"/>
  <c r="T239" i="20" a="1"/>
  <c r="T239" i="20" s="1"/>
  <c r="R239" i="20" a="1"/>
  <c r="R239" i="20" s="1"/>
  <c r="P239" i="20" a="1"/>
  <c r="P239" i="20" s="1"/>
  <c r="N239" i="20" a="1"/>
  <c r="N239" i="20" s="1"/>
  <c r="L239" i="20" a="1"/>
  <c r="L239" i="20" s="1"/>
  <c r="J239" i="20" a="1"/>
  <c r="J239" i="20" s="1"/>
  <c r="H239" i="20" a="1"/>
  <c r="H239" i="20" s="1"/>
  <c r="X240" i="20" a="1"/>
  <c r="X240" i="20" s="1"/>
  <c r="V240" i="20" a="1"/>
  <c r="V240" i="20" s="1"/>
  <c r="T240" i="20" a="1"/>
  <c r="T240" i="20" s="1"/>
  <c r="R240" i="20" a="1"/>
  <c r="R240" i="20" s="1"/>
  <c r="P240" i="20" a="1"/>
  <c r="P240" i="20" s="1"/>
  <c r="N240" i="20" a="1"/>
  <c r="N240" i="20" s="1"/>
  <c r="L240" i="20" a="1"/>
  <c r="L240" i="20" s="1"/>
  <c r="J240" i="20" a="1"/>
  <c r="J240" i="20" s="1"/>
  <c r="H240" i="20" a="1"/>
  <c r="H240" i="20" s="1"/>
  <c r="Y240" i="20" a="1"/>
  <c r="Y240" i="20" s="1"/>
  <c r="W240" i="20" a="1"/>
  <c r="W240" i="20" s="1"/>
  <c r="U240" i="20" a="1"/>
  <c r="U240" i="20" s="1"/>
  <c r="S240" i="20" a="1"/>
  <c r="S240" i="20" s="1"/>
  <c r="Q240" i="20" a="1"/>
  <c r="Q240" i="20" s="1"/>
  <c r="O240" i="20" a="1"/>
  <c r="O240" i="20" s="1"/>
  <c r="M240" i="20" a="1"/>
  <c r="M240" i="20" s="1"/>
  <c r="K240" i="20" a="1"/>
  <c r="K240" i="20" s="1"/>
  <c r="I240" i="20" a="1"/>
  <c r="I240" i="20" s="1"/>
  <c r="G240" i="20" a="1"/>
  <c r="G240" i="20" s="1"/>
  <c r="Y241" i="20" a="1"/>
  <c r="Y241" i="20" s="1"/>
  <c r="W241" i="20" a="1"/>
  <c r="W241" i="20" s="1"/>
  <c r="U241" i="20" a="1"/>
  <c r="U241" i="20" s="1"/>
  <c r="S241" i="20" a="1"/>
  <c r="S241" i="20" s="1"/>
  <c r="Q241" i="20" a="1"/>
  <c r="Q241" i="20" s="1"/>
  <c r="O241" i="20" a="1"/>
  <c r="O241" i="20" s="1"/>
  <c r="M241" i="20" a="1"/>
  <c r="M241" i="20" s="1"/>
  <c r="K241" i="20" a="1"/>
  <c r="K241" i="20" s="1"/>
  <c r="I241" i="20" a="1"/>
  <c r="I241" i="20" s="1"/>
  <c r="G241" i="20" a="1"/>
  <c r="G241" i="20" s="1"/>
  <c r="X241" i="20" a="1"/>
  <c r="X241" i="20" s="1"/>
  <c r="V241" i="20" a="1"/>
  <c r="V241" i="20" s="1"/>
  <c r="T241" i="20" a="1"/>
  <c r="T241" i="20" s="1"/>
  <c r="R241" i="20" a="1"/>
  <c r="R241" i="20" s="1"/>
  <c r="P241" i="20" a="1"/>
  <c r="P241" i="20" s="1"/>
  <c r="N241" i="20" a="1"/>
  <c r="N241" i="20" s="1"/>
  <c r="L241" i="20" a="1"/>
  <c r="L241" i="20" s="1"/>
  <c r="J241" i="20" a="1"/>
  <c r="J241" i="20" s="1"/>
  <c r="H241" i="20" a="1"/>
  <c r="H241" i="20" s="1"/>
  <c r="Y238" i="20" a="1"/>
  <c r="Y238" i="20" s="1"/>
  <c r="W238" i="20" a="1"/>
  <c r="W238" i="20" s="1"/>
  <c r="U238" i="20" a="1"/>
  <c r="U238" i="20" s="1"/>
  <c r="S238" i="20" a="1"/>
  <c r="S238" i="20" s="1"/>
  <c r="Q238" i="20" a="1"/>
  <c r="Q238" i="20" s="1"/>
  <c r="O238" i="20" a="1"/>
  <c r="O238" i="20" s="1"/>
  <c r="M238" i="20" a="1"/>
  <c r="M238" i="20" s="1"/>
  <c r="K238" i="20" a="1"/>
  <c r="K238" i="20" s="1"/>
  <c r="I238" i="20" a="1"/>
  <c r="I238" i="20" s="1"/>
  <c r="G238" i="20" a="1"/>
  <c r="G238" i="20" s="1"/>
  <c r="F243" i="20" a="1"/>
  <c r="X238" i="20" a="1"/>
  <c r="X238" i="20" s="1"/>
  <c r="V238" i="20" a="1"/>
  <c r="V238" i="20" s="1"/>
  <c r="T238" i="20" a="1"/>
  <c r="T238" i="20" s="1"/>
  <c r="R238" i="20" a="1"/>
  <c r="R238" i="20" s="1"/>
  <c r="P238" i="20" a="1"/>
  <c r="P238" i="20" s="1"/>
  <c r="N238" i="20" a="1"/>
  <c r="N238" i="20" s="1"/>
  <c r="L238" i="20" a="1"/>
  <c r="L238" i="20" s="1"/>
  <c r="J238" i="20" a="1"/>
  <c r="J238" i="20" s="1"/>
  <c r="H238" i="20" a="1"/>
  <c r="H238" i="20" s="1"/>
  <c r="Y242" i="20" a="1"/>
  <c r="Y242" i="20" s="1"/>
  <c r="W242" i="20" a="1"/>
  <c r="W242" i="20" s="1"/>
  <c r="U242" i="20" a="1"/>
  <c r="U242" i="20" s="1"/>
  <c r="S242" i="20" a="1"/>
  <c r="S242" i="20" s="1"/>
  <c r="Q242" i="20" a="1"/>
  <c r="Q242" i="20" s="1"/>
  <c r="O242" i="20" a="1"/>
  <c r="O242" i="20" s="1"/>
  <c r="M242" i="20" a="1"/>
  <c r="M242" i="20" s="1"/>
  <c r="K242" i="20" a="1"/>
  <c r="K242" i="20" s="1"/>
  <c r="I242" i="20" a="1"/>
  <c r="I242" i="20" s="1"/>
  <c r="G242" i="20" a="1"/>
  <c r="G242" i="20" s="1"/>
  <c r="X242" i="20" a="1"/>
  <c r="X242" i="20" s="1"/>
  <c r="V242" i="20" a="1"/>
  <c r="V242" i="20" s="1"/>
  <c r="T242" i="20" a="1"/>
  <c r="T242" i="20" s="1"/>
  <c r="R242" i="20" a="1"/>
  <c r="R242" i="20" s="1"/>
  <c r="P242" i="20" a="1"/>
  <c r="P242" i="20" s="1"/>
  <c r="N242" i="20" a="1"/>
  <c r="N242" i="20" s="1"/>
  <c r="L242" i="20" a="1"/>
  <c r="L242" i="20" s="1"/>
  <c r="J242" i="20" a="1"/>
  <c r="J242" i="20" s="1"/>
  <c r="H242" i="20" a="1"/>
  <c r="H242" i="20" s="1"/>
  <c r="Y267" i="20" a="1"/>
  <c r="Y267" i="20" s="1"/>
  <c r="W267" i="20" a="1"/>
  <c r="W267" i="20" s="1"/>
  <c r="U267" i="20" a="1"/>
  <c r="U267" i="20" s="1"/>
  <c r="S267" i="20" a="1"/>
  <c r="S267" i="20" s="1"/>
  <c r="Q267" i="20" a="1"/>
  <c r="Q267" i="20" s="1"/>
  <c r="O267" i="20" a="1"/>
  <c r="O267" i="20" s="1"/>
  <c r="M267" i="20" a="1"/>
  <c r="M267" i="20" s="1"/>
  <c r="K267" i="20" a="1"/>
  <c r="K267" i="20" s="1"/>
  <c r="I267" i="20" a="1"/>
  <c r="I267" i="20" s="1"/>
  <c r="G267" i="20" a="1"/>
  <c r="G267" i="20" s="1"/>
  <c r="X267" i="20" a="1"/>
  <c r="X267" i="20" s="1"/>
  <c r="V267" i="20" a="1"/>
  <c r="V267" i="20" s="1"/>
  <c r="T267" i="20" a="1"/>
  <c r="T267" i="20" s="1"/>
  <c r="R267" i="20" a="1"/>
  <c r="R267" i="20" s="1"/>
  <c r="P267" i="20" a="1"/>
  <c r="P267" i="20" s="1"/>
  <c r="N267" i="20" a="1"/>
  <c r="N267" i="20" s="1"/>
  <c r="L267" i="20" a="1"/>
  <c r="L267" i="20" s="1"/>
  <c r="J267" i="20" a="1"/>
  <c r="J267" i="20" s="1"/>
  <c r="H267" i="20" a="1"/>
  <c r="H267" i="20" s="1"/>
  <c r="X268" i="20" a="1"/>
  <c r="X268" i="20" s="1"/>
  <c r="V268" i="20" a="1"/>
  <c r="V268" i="20" s="1"/>
  <c r="T268" i="20" a="1"/>
  <c r="T268" i="20" s="1"/>
  <c r="R268" i="20" a="1"/>
  <c r="R268" i="20" s="1"/>
  <c r="P268" i="20" a="1"/>
  <c r="P268" i="20" s="1"/>
  <c r="N268" i="20" a="1"/>
  <c r="N268" i="20" s="1"/>
  <c r="L268" i="20" a="1"/>
  <c r="L268" i="20" s="1"/>
  <c r="J268" i="20" a="1"/>
  <c r="J268" i="20" s="1"/>
  <c r="H268" i="20" a="1"/>
  <c r="H268" i="20" s="1"/>
  <c r="Y268" i="20" a="1"/>
  <c r="Y268" i="20" s="1"/>
  <c r="W268" i="20" a="1"/>
  <c r="W268" i="20" s="1"/>
  <c r="U268" i="20" a="1"/>
  <c r="U268" i="20" s="1"/>
  <c r="S268" i="20" a="1"/>
  <c r="S268" i="20" s="1"/>
  <c r="Q268" i="20" a="1"/>
  <c r="Q268" i="20" s="1"/>
  <c r="O268" i="20" a="1"/>
  <c r="O268" i="20" s="1"/>
  <c r="M268" i="20" a="1"/>
  <c r="M268" i="20" s="1"/>
  <c r="K268" i="20" a="1"/>
  <c r="K268" i="20" s="1"/>
  <c r="I268" i="20" a="1"/>
  <c r="I268" i="20" s="1"/>
  <c r="G268" i="20" a="1"/>
  <c r="G268" i="20" s="1"/>
  <c r="Y269" i="20" a="1"/>
  <c r="Y269" i="20" s="1"/>
  <c r="W269" i="20" a="1"/>
  <c r="W269" i="20" s="1"/>
  <c r="U269" i="20" a="1"/>
  <c r="U269" i="20" s="1"/>
  <c r="S269" i="20" a="1"/>
  <c r="S269" i="20" s="1"/>
  <c r="Q269" i="20" a="1"/>
  <c r="Q269" i="20" s="1"/>
  <c r="O269" i="20" a="1"/>
  <c r="O269" i="20" s="1"/>
  <c r="M269" i="20" a="1"/>
  <c r="M269" i="20" s="1"/>
  <c r="K269" i="20" a="1"/>
  <c r="K269" i="20" s="1"/>
  <c r="I269" i="20" a="1"/>
  <c r="I269" i="20" s="1"/>
  <c r="G269" i="20" a="1"/>
  <c r="G269" i="20" s="1"/>
  <c r="X269" i="20" a="1"/>
  <c r="X269" i="20" s="1"/>
  <c r="V269" i="20" a="1"/>
  <c r="V269" i="20" s="1"/>
  <c r="T269" i="20" a="1"/>
  <c r="T269" i="20" s="1"/>
  <c r="R269" i="20" a="1"/>
  <c r="R269" i="20" s="1"/>
  <c r="P269" i="20" a="1"/>
  <c r="P269" i="20" s="1"/>
  <c r="N269" i="20" a="1"/>
  <c r="N269" i="20" s="1"/>
  <c r="L269" i="20" a="1"/>
  <c r="L269" i="20" s="1"/>
  <c r="J269" i="20" a="1"/>
  <c r="J269" i="20" s="1"/>
  <c r="H269" i="20" a="1"/>
  <c r="H269" i="20" s="1"/>
  <c r="Y266" i="20" a="1"/>
  <c r="Y266" i="20" s="1"/>
  <c r="W266" i="20" a="1"/>
  <c r="W266" i="20" s="1"/>
  <c r="U266" i="20" a="1"/>
  <c r="U266" i="20" s="1"/>
  <c r="S266" i="20" a="1"/>
  <c r="S266" i="20" s="1"/>
  <c r="Q266" i="20" a="1"/>
  <c r="Q266" i="20" s="1"/>
  <c r="O266" i="20" a="1"/>
  <c r="O266" i="20" s="1"/>
  <c r="M266" i="20" a="1"/>
  <c r="M266" i="20" s="1"/>
  <c r="K266" i="20" a="1"/>
  <c r="K266" i="20" s="1"/>
  <c r="I266" i="20" a="1"/>
  <c r="I266" i="20" s="1"/>
  <c r="G266" i="20" a="1"/>
  <c r="G266" i="20" s="1"/>
  <c r="X266" i="20" a="1"/>
  <c r="X266" i="20" s="1"/>
  <c r="V266" i="20" a="1"/>
  <c r="V266" i="20" s="1"/>
  <c r="T266" i="20" a="1"/>
  <c r="T266" i="20" s="1"/>
  <c r="R266" i="20" a="1"/>
  <c r="R266" i="20" s="1"/>
  <c r="P266" i="20" a="1"/>
  <c r="P266" i="20" s="1"/>
  <c r="N266" i="20" a="1"/>
  <c r="N266" i="20" s="1"/>
  <c r="L266" i="20" a="1"/>
  <c r="L266" i="20" s="1"/>
  <c r="J266" i="20" a="1"/>
  <c r="J266" i="20" s="1"/>
  <c r="H266" i="20" a="1"/>
  <c r="H266" i="20" s="1"/>
  <c r="F271" i="20" a="1"/>
  <c r="Y270" i="20" a="1"/>
  <c r="Y270" i="20" s="1"/>
  <c r="W270" i="20" a="1"/>
  <c r="W270" i="20" s="1"/>
  <c r="U270" i="20" a="1"/>
  <c r="U270" i="20" s="1"/>
  <c r="S270" i="20" a="1"/>
  <c r="S270" i="20" s="1"/>
  <c r="Q270" i="20" a="1"/>
  <c r="Q270" i="20" s="1"/>
  <c r="O270" i="20" a="1"/>
  <c r="O270" i="20" s="1"/>
  <c r="M270" i="20" a="1"/>
  <c r="M270" i="20" s="1"/>
  <c r="K270" i="20" a="1"/>
  <c r="K270" i="20" s="1"/>
  <c r="I270" i="20" a="1"/>
  <c r="I270" i="20" s="1"/>
  <c r="G270" i="20" a="1"/>
  <c r="G270" i="20" s="1"/>
  <c r="X270" i="20" a="1"/>
  <c r="X270" i="20" s="1"/>
  <c r="V270" i="20" a="1"/>
  <c r="V270" i="20" s="1"/>
  <c r="T270" i="20" a="1"/>
  <c r="T270" i="20" s="1"/>
  <c r="R270" i="20" a="1"/>
  <c r="R270" i="20" s="1"/>
  <c r="P270" i="20" a="1"/>
  <c r="P270" i="20" s="1"/>
  <c r="N270" i="20" a="1"/>
  <c r="N270" i="20" s="1"/>
  <c r="L270" i="20" a="1"/>
  <c r="L270" i="20" s="1"/>
  <c r="J270" i="20" a="1"/>
  <c r="J270" i="20" s="1"/>
  <c r="H270" i="20" a="1"/>
  <c r="H270" i="20" s="1"/>
  <c r="Y296" i="20" a="1"/>
  <c r="Y296" i="20" s="1"/>
  <c r="W296" i="20" a="1"/>
  <c r="W296" i="20" s="1"/>
  <c r="U296" i="20" a="1"/>
  <c r="U296" i="20" s="1"/>
  <c r="S296" i="20" a="1"/>
  <c r="S296" i="20" s="1"/>
  <c r="Q296" i="20" a="1"/>
  <c r="Q296" i="20" s="1"/>
  <c r="O296" i="20" a="1"/>
  <c r="O296" i="20" s="1"/>
  <c r="M296" i="20" a="1"/>
  <c r="M296" i="20" s="1"/>
  <c r="K296" i="20" a="1"/>
  <c r="K296" i="20" s="1"/>
  <c r="I296" i="20" a="1"/>
  <c r="I296" i="20" s="1"/>
  <c r="G296" i="20" a="1"/>
  <c r="G296" i="20" s="1"/>
  <c r="N296" i="20" a="1"/>
  <c r="N296" i="20" s="1"/>
  <c r="V296" i="20" a="1"/>
  <c r="V296" i="20" s="1"/>
  <c r="Y295" i="20" a="1"/>
  <c r="Y295" i="20" s="1"/>
  <c r="W295" i="20" a="1"/>
  <c r="W295" i="20" s="1"/>
  <c r="U295" i="20" a="1"/>
  <c r="U295" i="20" s="1"/>
  <c r="S295" i="20" a="1"/>
  <c r="S295" i="20" s="1"/>
  <c r="J295" i="20" a="1"/>
  <c r="J295" i="20" s="1"/>
  <c r="N295" i="20" a="1"/>
  <c r="N295" i="20" s="1"/>
  <c r="R295" i="20" a="1"/>
  <c r="R295" i="20" s="1"/>
  <c r="G294" i="20" a="1"/>
  <c r="G294" i="20" s="1"/>
  <c r="K294" i="20" a="1"/>
  <c r="K294" i="20" s="1"/>
  <c r="O294" i="20" a="1"/>
  <c r="O294" i="20" s="1"/>
  <c r="S294" i="20" a="1"/>
  <c r="S294" i="20" s="1"/>
  <c r="W294" i="20" a="1"/>
  <c r="W294" i="20" s="1"/>
  <c r="G295" i="20" a="1"/>
  <c r="G295" i="20" s="1"/>
  <c r="K295" i="20" a="1"/>
  <c r="K295" i="20" s="1"/>
  <c r="O295" i="20" a="1"/>
  <c r="O295" i="20" s="1"/>
  <c r="T295" i="20" a="1"/>
  <c r="T295" i="20" s="1"/>
  <c r="H296" i="20" a="1"/>
  <c r="H296" i="20" s="1"/>
  <c r="P296" i="20" a="1"/>
  <c r="P296" i="20" s="1"/>
  <c r="X296" i="20" a="1"/>
  <c r="X296" i="20" s="1"/>
  <c r="H294" i="20" a="1"/>
  <c r="H294" i="20" s="1"/>
  <c r="L294" i="20" a="1"/>
  <c r="L294" i="20" s="1"/>
  <c r="P294" i="20" a="1"/>
  <c r="P294" i="20" s="1"/>
  <c r="T294" i="20" a="1"/>
  <c r="T294" i="20" s="1"/>
  <c r="H295" i="20" a="1"/>
  <c r="H295" i="20" s="1"/>
  <c r="L295" i="20" a="1"/>
  <c r="L295" i="20" s="1"/>
  <c r="P295" i="20" a="1"/>
  <c r="P295" i="20" s="1"/>
  <c r="V295" i="20" a="1"/>
  <c r="V295" i="20" s="1"/>
  <c r="J296" i="20" a="1"/>
  <c r="J296" i="20" s="1"/>
  <c r="R296" i="20" a="1"/>
  <c r="R296" i="20" s="1"/>
  <c r="W297" i="20" a="1"/>
  <c r="W297" i="20" s="1"/>
  <c r="U297" i="20" a="1"/>
  <c r="U297" i="20" s="1"/>
  <c r="S297" i="20" a="1"/>
  <c r="S297" i="20" s="1"/>
  <c r="Q297" i="20" a="1"/>
  <c r="Q297" i="20" s="1"/>
  <c r="O297" i="20" a="1"/>
  <c r="O297" i="20" s="1"/>
  <c r="M297" i="20" a="1"/>
  <c r="M297" i="20" s="1"/>
  <c r="K297" i="20" a="1"/>
  <c r="K297" i="20" s="1"/>
  <c r="I297" i="20" a="1"/>
  <c r="I297" i="20" s="1"/>
  <c r="G297" i="20" a="1"/>
  <c r="G297" i="20" s="1"/>
  <c r="Y297" i="20" a="1"/>
  <c r="Y297" i="20" s="1"/>
  <c r="X297" i="20" a="1"/>
  <c r="X297" i="20" s="1"/>
  <c r="V297" i="20" a="1"/>
  <c r="V297" i="20" s="1"/>
  <c r="T297" i="20" a="1"/>
  <c r="T297" i="20" s="1"/>
  <c r="R297" i="20" a="1"/>
  <c r="R297" i="20" s="1"/>
  <c r="P297" i="20" a="1"/>
  <c r="P297" i="20" s="1"/>
  <c r="N297" i="20" a="1"/>
  <c r="N297" i="20" s="1"/>
  <c r="L297" i="20" a="1"/>
  <c r="L297" i="20" s="1"/>
  <c r="J297" i="20" a="1"/>
  <c r="J297" i="20" s="1"/>
  <c r="H297" i="20" a="1"/>
  <c r="H297" i="20" s="1"/>
  <c r="F299" i="20" a="1"/>
  <c r="J294" i="20" a="1"/>
  <c r="J294" i="20" s="1"/>
  <c r="N294" i="20" a="1"/>
  <c r="N294" i="20" s="1"/>
  <c r="R294" i="20" a="1"/>
  <c r="R294" i="20" s="1"/>
  <c r="V294" i="20" a="1"/>
  <c r="V294" i="20" s="1"/>
  <c r="I294" i="20" a="1"/>
  <c r="I294" i="20" s="1"/>
  <c r="M294" i="20" a="1"/>
  <c r="M294" i="20" s="1"/>
  <c r="Q294" i="20" a="1"/>
  <c r="Q294" i="20" s="1"/>
  <c r="U294" i="20" a="1"/>
  <c r="U294" i="20" s="1"/>
  <c r="Y294" i="20" a="1"/>
  <c r="Y294" i="20" s="1"/>
  <c r="I295" i="20" a="1"/>
  <c r="I295" i="20" s="1"/>
  <c r="M295" i="20" a="1"/>
  <c r="M295" i="20" s="1"/>
  <c r="Q295" i="20" a="1"/>
  <c r="Q295" i="20" s="1"/>
  <c r="X295" i="20" a="1"/>
  <c r="X295" i="20" s="1"/>
  <c r="L296" i="20" a="1"/>
  <c r="L296" i="20" s="1"/>
  <c r="T296" i="20" a="1"/>
  <c r="T296" i="20" s="1"/>
  <c r="Y298" i="20" a="1"/>
  <c r="Y298" i="20" s="1"/>
  <c r="W298" i="20" a="1"/>
  <c r="W298" i="20" s="1"/>
  <c r="U298" i="20" a="1"/>
  <c r="U298" i="20" s="1"/>
  <c r="S298" i="20" a="1"/>
  <c r="S298" i="20" s="1"/>
  <c r="Q298" i="20" a="1"/>
  <c r="Q298" i="20" s="1"/>
  <c r="O298" i="20" a="1"/>
  <c r="O298" i="20" s="1"/>
  <c r="M298" i="20" a="1"/>
  <c r="M298" i="20" s="1"/>
  <c r="K298" i="20" a="1"/>
  <c r="K298" i="20" s="1"/>
  <c r="I298" i="20" a="1"/>
  <c r="I298" i="20" s="1"/>
  <c r="G298" i="20" a="1"/>
  <c r="G298" i="20" s="1"/>
  <c r="X298" i="20" a="1"/>
  <c r="X298" i="20" s="1"/>
  <c r="V298" i="20" a="1"/>
  <c r="V298" i="20" s="1"/>
  <c r="T298" i="20" a="1"/>
  <c r="T298" i="20" s="1"/>
  <c r="R298" i="20" a="1"/>
  <c r="R298" i="20" s="1"/>
  <c r="P298" i="20" a="1"/>
  <c r="P298" i="20" s="1"/>
  <c r="N298" i="20" a="1"/>
  <c r="N298" i="20" s="1"/>
  <c r="L298" i="20" a="1"/>
  <c r="L298" i="20" s="1"/>
  <c r="J298" i="20" a="1"/>
  <c r="J298" i="20" s="1"/>
  <c r="H298" i="20" a="1"/>
  <c r="H298" i="20" s="1"/>
  <c r="Y323" i="20" a="1"/>
  <c r="Y323" i="20" s="1"/>
  <c r="W323" i="20" a="1"/>
  <c r="W323" i="20" s="1"/>
  <c r="U323" i="20" a="1"/>
  <c r="U323" i="20" s="1"/>
  <c r="S323" i="20" a="1"/>
  <c r="S323" i="20" s="1"/>
  <c r="Q323" i="20" a="1"/>
  <c r="Q323" i="20" s="1"/>
  <c r="O323" i="20" a="1"/>
  <c r="O323" i="20" s="1"/>
  <c r="M323" i="20" a="1"/>
  <c r="M323" i="20" s="1"/>
  <c r="K323" i="20" a="1"/>
  <c r="K323" i="20" s="1"/>
  <c r="I323" i="20" a="1"/>
  <c r="I323" i="20" s="1"/>
  <c r="G323" i="20" a="1"/>
  <c r="G323" i="20" s="1"/>
  <c r="X323" i="20" a="1"/>
  <c r="X323" i="20" s="1"/>
  <c r="V323" i="20" a="1"/>
  <c r="V323" i="20" s="1"/>
  <c r="T323" i="20" a="1"/>
  <c r="T323" i="20" s="1"/>
  <c r="R323" i="20" a="1"/>
  <c r="R323" i="20" s="1"/>
  <c r="P323" i="20" a="1"/>
  <c r="P323" i="20" s="1"/>
  <c r="N323" i="20" a="1"/>
  <c r="N323" i="20" s="1"/>
  <c r="L323" i="20" a="1"/>
  <c r="L323" i="20" s="1"/>
  <c r="J323" i="20" a="1"/>
  <c r="J323" i="20" s="1"/>
  <c r="H323" i="20" a="1"/>
  <c r="H323" i="20" s="1"/>
  <c r="X324" i="20" a="1"/>
  <c r="X324" i="20" s="1"/>
  <c r="V324" i="20" a="1"/>
  <c r="V324" i="20" s="1"/>
  <c r="T324" i="20" a="1"/>
  <c r="T324" i="20" s="1"/>
  <c r="R324" i="20" a="1"/>
  <c r="R324" i="20" s="1"/>
  <c r="P324" i="20" a="1"/>
  <c r="P324" i="20" s="1"/>
  <c r="N324" i="20" a="1"/>
  <c r="N324" i="20" s="1"/>
  <c r="L324" i="20" a="1"/>
  <c r="L324" i="20" s="1"/>
  <c r="J324" i="20" a="1"/>
  <c r="J324" i="20" s="1"/>
  <c r="H324" i="20" a="1"/>
  <c r="H324" i="20" s="1"/>
  <c r="Y324" i="20" a="1"/>
  <c r="Y324" i="20" s="1"/>
  <c r="W324" i="20" a="1"/>
  <c r="W324" i="20" s="1"/>
  <c r="U324" i="20" a="1"/>
  <c r="U324" i="20" s="1"/>
  <c r="S324" i="20" a="1"/>
  <c r="S324" i="20" s="1"/>
  <c r="Q324" i="20" a="1"/>
  <c r="Q324" i="20" s="1"/>
  <c r="O324" i="20" a="1"/>
  <c r="O324" i="20" s="1"/>
  <c r="M324" i="20" a="1"/>
  <c r="M324" i="20" s="1"/>
  <c r="K324" i="20" a="1"/>
  <c r="K324" i="20" s="1"/>
  <c r="I324" i="20" a="1"/>
  <c r="I324" i="20" s="1"/>
  <c r="G324" i="20" a="1"/>
  <c r="G324" i="20" s="1"/>
  <c r="Y325" i="20" a="1"/>
  <c r="Y325" i="20" s="1"/>
  <c r="W325" i="20" a="1"/>
  <c r="W325" i="20" s="1"/>
  <c r="U325" i="20" a="1"/>
  <c r="U325" i="20" s="1"/>
  <c r="S325" i="20" a="1"/>
  <c r="S325" i="20" s="1"/>
  <c r="Q325" i="20" a="1"/>
  <c r="Q325" i="20" s="1"/>
  <c r="O325" i="20" a="1"/>
  <c r="O325" i="20" s="1"/>
  <c r="M325" i="20" a="1"/>
  <c r="M325" i="20" s="1"/>
  <c r="K325" i="20" a="1"/>
  <c r="K325" i="20" s="1"/>
  <c r="I325" i="20" a="1"/>
  <c r="I325" i="20" s="1"/>
  <c r="G325" i="20" a="1"/>
  <c r="G325" i="20" s="1"/>
  <c r="X325" i="20" a="1"/>
  <c r="X325" i="20" s="1"/>
  <c r="V325" i="20" a="1"/>
  <c r="V325" i="20" s="1"/>
  <c r="T325" i="20" a="1"/>
  <c r="T325" i="20" s="1"/>
  <c r="R325" i="20" a="1"/>
  <c r="R325" i="20" s="1"/>
  <c r="P325" i="20" a="1"/>
  <c r="P325" i="20" s="1"/>
  <c r="N325" i="20" a="1"/>
  <c r="N325" i="20" s="1"/>
  <c r="L325" i="20" a="1"/>
  <c r="L325" i="20" s="1"/>
  <c r="J325" i="20" a="1"/>
  <c r="J325" i="20" s="1"/>
  <c r="H325" i="20" a="1"/>
  <c r="H325" i="20" s="1"/>
  <c r="Y322" i="20" a="1"/>
  <c r="Y322" i="20" s="1"/>
  <c r="W322" i="20" a="1"/>
  <c r="W322" i="20" s="1"/>
  <c r="U322" i="20" a="1"/>
  <c r="U322" i="20" s="1"/>
  <c r="S322" i="20" a="1"/>
  <c r="S322" i="20" s="1"/>
  <c r="Q322" i="20" a="1"/>
  <c r="Q322" i="20" s="1"/>
  <c r="O322" i="20" a="1"/>
  <c r="O322" i="20" s="1"/>
  <c r="M322" i="20" a="1"/>
  <c r="M322" i="20" s="1"/>
  <c r="K322" i="20" a="1"/>
  <c r="K322" i="20" s="1"/>
  <c r="I322" i="20" a="1"/>
  <c r="I322" i="20" s="1"/>
  <c r="G322" i="20" a="1"/>
  <c r="G322" i="20" s="1"/>
  <c r="X322" i="20" a="1"/>
  <c r="X322" i="20" s="1"/>
  <c r="V322" i="20" a="1"/>
  <c r="V322" i="20" s="1"/>
  <c r="T322" i="20" a="1"/>
  <c r="T322" i="20" s="1"/>
  <c r="R322" i="20" a="1"/>
  <c r="R322" i="20" s="1"/>
  <c r="P322" i="20" a="1"/>
  <c r="P322" i="20" s="1"/>
  <c r="N322" i="20" a="1"/>
  <c r="N322" i="20" s="1"/>
  <c r="L322" i="20" a="1"/>
  <c r="L322" i="20" s="1"/>
  <c r="J322" i="20" a="1"/>
  <c r="J322" i="20" s="1"/>
  <c r="H322" i="20" a="1"/>
  <c r="H322" i="20" s="1"/>
  <c r="F327" i="20" a="1"/>
  <c r="Y326" i="20" a="1"/>
  <c r="Y326" i="20" s="1"/>
  <c r="W326" i="20" a="1"/>
  <c r="W326" i="20" s="1"/>
  <c r="U326" i="20" a="1"/>
  <c r="U326" i="20" s="1"/>
  <c r="S326" i="20" a="1"/>
  <c r="S326" i="20" s="1"/>
  <c r="Q326" i="20" a="1"/>
  <c r="Q326" i="20" s="1"/>
  <c r="O326" i="20" a="1"/>
  <c r="O326" i="20" s="1"/>
  <c r="M326" i="20" a="1"/>
  <c r="M326" i="20" s="1"/>
  <c r="K326" i="20" a="1"/>
  <c r="K326" i="20" s="1"/>
  <c r="I326" i="20" a="1"/>
  <c r="I326" i="20" s="1"/>
  <c r="G326" i="20" a="1"/>
  <c r="G326" i="20" s="1"/>
  <c r="X326" i="20" a="1"/>
  <c r="X326" i="20" s="1"/>
  <c r="V326" i="20" a="1"/>
  <c r="V326" i="20" s="1"/>
  <c r="T326" i="20" a="1"/>
  <c r="T326" i="20" s="1"/>
  <c r="R326" i="20" a="1"/>
  <c r="R326" i="20" s="1"/>
  <c r="P326" i="20" a="1"/>
  <c r="P326" i="20" s="1"/>
  <c r="N326" i="20" a="1"/>
  <c r="N326" i="20" s="1"/>
  <c r="L326" i="20" a="1"/>
  <c r="L326" i="20" s="1"/>
  <c r="J326" i="20" a="1"/>
  <c r="J326" i="20" s="1"/>
  <c r="H326" i="20" a="1"/>
  <c r="H326" i="20" s="1"/>
  <c r="Y351" i="20" a="1"/>
  <c r="Y351" i="20" s="1"/>
  <c r="W351" i="20" a="1"/>
  <c r="W351" i="20" s="1"/>
  <c r="U351" i="20" a="1"/>
  <c r="U351" i="20" s="1"/>
  <c r="S351" i="20" a="1"/>
  <c r="S351" i="20" s="1"/>
  <c r="Q351" i="20" a="1"/>
  <c r="Q351" i="20" s="1"/>
  <c r="O351" i="20" a="1"/>
  <c r="O351" i="20" s="1"/>
  <c r="M351" i="20" a="1"/>
  <c r="M351" i="20" s="1"/>
  <c r="K351" i="20" a="1"/>
  <c r="K351" i="20" s="1"/>
  <c r="I351" i="20" a="1"/>
  <c r="I351" i="20" s="1"/>
  <c r="G351" i="20" a="1"/>
  <c r="G351" i="20" s="1"/>
  <c r="X351" i="20" a="1"/>
  <c r="X351" i="20" s="1"/>
  <c r="V351" i="20" a="1"/>
  <c r="V351" i="20" s="1"/>
  <c r="T351" i="20" a="1"/>
  <c r="T351" i="20" s="1"/>
  <c r="R351" i="20" a="1"/>
  <c r="R351" i="20" s="1"/>
  <c r="P351" i="20" a="1"/>
  <c r="P351" i="20" s="1"/>
  <c r="N351" i="20" a="1"/>
  <c r="N351" i="20" s="1"/>
  <c r="L351" i="20" a="1"/>
  <c r="L351" i="20" s="1"/>
  <c r="J351" i="20" a="1"/>
  <c r="J351" i="20" s="1"/>
  <c r="H351" i="20" a="1"/>
  <c r="H351" i="20" s="1"/>
  <c r="X352" i="20" a="1"/>
  <c r="X352" i="20" s="1"/>
  <c r="V352" i="20" a="1"/>
  <c r="V352" i="20" s="1"/>
  <c r="T352" i="20" a="1"/>
  <c r="T352" i="20" s="1"/>
  <c r="R352" i="20" a="1"/>
  <c r="R352" i="20" s="1"/>
  <c r="P352" i="20" a="1"/>
  <c r="P352" i="20" s="1"/>
  <c r="N352" i="20" a="1"/>
  <c r="N352" i="20" s="1"/>
  <c r="L352" i="20" a="1"/>
  <c r="L352" i="20" s="1"/>
  <c r="J352" i="20" a="1"/>
  <c r="J352" i="20" s="1"/>
  <c r="H352" i="20" a="1"/>
  <c r="H352" i="20" s="1"/>
  <c r="Y352" i="20" a="1"/>
  <c r="Y352" i="20" s="1"/>
  <c r="W352" i="20" a="1"/>
  <c r="W352" i="20" s="1"/>
  <c r="U352" i="20" a="1"/>
  <c r="U352" i="20" s="1"/>
  <c r="S352" i="20" a="1"/>
  <c r="S352" i="20" s="1"/>
  <c r="Q352" i="20" a="1"/>
  <c r="Q352" i="20" s="1"/>
  <c r="O352" i="20" a="1"/>
  <c r="O352" i="20" s="1"/>
  <c r="M352" i="20" a="1"/>
  <c r="M352" i="20" s="1"/>
  <c r="K352" i="20" a="1"/>
  <c r="K352" i="20" s="1"/>
  <c r="I352" i="20" a="1"/>
  <c r="I352" i="20" s="1"/>
  <c r="G352" i="20" a="1"/>
  <c r="G352" i="20" s="1"/>
  <c r="Y353" i="20" a="1"/>
  <c r="Y353" i="20" s="1"/>
  <c r="W353" i="20" a="1"/>
  <c r="W353" i="20" s="1"/>
  <c r="U353" i="20" a="1"/>
  <c r="U353" i="20" s="1"/>
  <c r="S353" i="20" a="1"/>
  <c r="S353" i="20" s="1"/>
  <c r="Q353" i="20" a="1"/>
  <c r="Q353" i="20" s="1"/>
  <c r="O353" i="20" a="1"/>
  <c r="O353" i="20" s="1"/>
  <c r="M353" i="20" a="1"/>
  <c r="M353" i="20" s="1"/>
  <c r="K353" i="20" a="1"/>
  <c r="K353" i="20" s="1"/>
  <c r="I353" i="20" a="1"/>
  <c r="I353" i="20" s="1"/>
  <c r="G353" i="20" a="1"/>
  <c r="G353" i="20" s="1"/>
  <c r="X353" i="20" a="1"/>
  <c r="X353" i="20" s="1"/>
  <c r="V353" i="20" a="1"/>
  <c r="V353" i="20" s="1"/>
  <c r="T353" i="20" a="1"/>
  <c r="T353" i="20" s="1"/>
  <c r="R353" i="20" a="1"/>
  <c r="R353" i="20" s="1"/>
  <c r="P353" i="20" a="1"/>
  <c r="P353" i="20" s="1"/>
  <c r="N353" i="20" a="1"/>
  <c r="N353" i="20" s="1"/>
  <c r="L353" i="20" a="1"/>
  <c r="L353" i="20" s="1"/>
  <c r="J353" i="20" a="1"/>
  <c r="J353" i="20" s="1"/>
  <c r="H353" i="20" a="1"/>
  <c r="H353" i="20" s="1"/>
  <c r="Y350" i="20" a="1"/>
  <c r="Y350" i="20" s="1"/>
  <c r="W350" i="20" a="1"/>
  <c r="W350" i="20" s="1"/>
  <c r="U350" i="20" a="1"/>
  <c r="U350" i="20" s="1"/>
  <c r="S350" i="20" a="1"/>
  <c r="S350" i="20" s="1"/>
  <c r="Q350" i="20" a="1"/>
  <c r="Q350" i="20" s="1"/>
  <c r="O350" i="20" a="1"/>
  <c r="O350" i="20" s="1"/>
  <c r="M350" i="20" a="1"/>
  <c r="M350" i="20" s="1"/>
  <c r="K350" i="20" a="1"/>
  <c r="K350" i="20" s="1"/>
  <c r="I350" i="20" a="1"/>
  <c r="I350" i="20" s="1"/>
  <c r="G350" i="20" a="1"/>
  <c r="G350" i="20" s="1"/>
  <c r="X350" i="20" a="1"/>
  <c r="X350" i="20" s="1"/>
  <c r="V350" i="20" a="1"/>
  <c r="V350" i="20" s="1"/>
  <c r="T350" i="20" a="1"/>
  <c r="T350" i="20" s="1"/>
  <c r="R350" i="20" a="1"/>
  <c r="R350" i="20" s="1"/>
  <c r="P350" i="20" a="1"/>
  <c r="P350" i="20" s="1"/>
  <c r="N350" i="20" a="1"/>
  <c r="N350" i="20" s="1"/>
  <c r="L350" i="20" a="1"/>
  <c r="L350" i="20" s="1"/>
  <c r="J350" i="20" a="1"/>
  <c r="J350" i="20" s="1"/>
  <c r="H350" i="20" a="1"/>
  <c r="H350" i="20" s="1"/>
  <c r="F355" i="20" a="1"/>
  <c r="Y354" i="20" a="1"/>
  <c r="Y354" i="20" s="1"/>
  <c r="W354" i="20" a="1"/>
  <c r="W354" i="20" s="1"/>
  <c r="U354" i="20" a="1"/>
  <c r="U354" i="20" s="1"/>
  <c r="S354" i="20" a="1"/>
  <c r="S354" i="20" s="1"/>
  <c r="Q354" i="20" a="1"/>
  <c r="Q354" i="20" s="1"/>
  <c r="O354" i="20" a="1"/>
  <c r="O354" i="20" s="1"/>
  <c r="M354" i="20" a="1"/>
  <c r="M354" i="20" s="1"/>
  <c r="K354" i="20" a="1"/>
  <c r="K354" i="20" s="1"/>
  <c r="I354" i="20" a="1"/>
  <c r="I354" i="20" s="1"/>
  <c r="G354" i="20" a="1"/>
  <c r="G354" i="20" s="1"/>
  <c r="X354" i="20" a="1"/>
  <c r="X354" i="20" s="1"/>
  <c r="V354" i="20" a="1"/>
  <c r="V354" i="20" s="1"/>
  <c r="T354" i="20" a="1"/>
  <c r="T354" i="20" s="1"/>
  <c r="R354" i="20" a="1"/>
  <c r="R354" i="20" s="1"/>
  <c r="P354" i="20" a="1"/>
  <c r="P354" i="20" s="1"/>
  <c r="N354" i="20" a="1"/>
  <c r="N354" i="20" s="1"/>
  <c r="L354" i="20" a="1"/>
  <c r="L354" i="20" s="1"/>
  <c r="J354" i="20" a="1"/>
  <c r="J354" i="20" s="1"/>
  <c r="H354" i="20" a="1"/>
  <c r="H354" i="20" s="1"/>
  <c r="Y379" i="20" a="1"/>
  <c r="Y379" i="20" s="1"/>
  <c r="W379" i="20" a="1"/>
  <c r="W379" i="20" s="1"/>
  <c r="U379" i="20" a="1"/>
  <c r="U379" i="20" s="1"/>
  <c r="S379" i="20" a="1"/>
  <c r="S379" i="20" s="1"/>
  <c r="Q379" i="20" a="1"/>
  <c r="Q379" i="20" s="1"/>
  <c r="O379" i="20" a="1"/>
  <c r="O379" i="20" s="1"/>
  <c r="M379" i="20" a="1"/>
  <c r="M379" i="20" s="1"/>
  <c r="K379" i="20" a="1"/>
  <c r="K379" i="20" s="1"/>
  <c r="I379" i="20" a="1"/>
  <c r="I379" i="20" s="1"/>
  <c r="G379" i="20" a="1"/>
  <c r="G379" i="20" s="1"/>
  <c r="X379" i="20" a="1"/>
  <c r="X379" i="20" s="1"/>
  <c r="V379" i="20" a="1"/>
  <c r="V379" i="20" s="1"/>
  <c r="T379" i="20" a="1"/>
  <c r="T379" i="20" s="1"/>
  <c r="R379" i="20" a="1"/>
  <c r="R379" i="20" s="1"/>
  <c r="P379" i="20" a="1"/>
  <c r="P379" i="20" s="1"/>
  <c r="N379" i="20" a="1"/>
  <c r="N379" i="20" s="1"/>
  <c r="L379" i="20" a="1"/>
  <c r="L379" i="20" s="1"/>
  <c r="J379" i="20" a="1"/>
  <c r="J379" i="20" s="1"/>
  <c r="H379" i="20" a="1"/>
  <c r="H379" i="20" s="1"/>
  <c r="X380" i="20" a="1"/>
  <c r="X380" i="20" s="1"/>
  <c r="V380" i="20" a="1"/>
  <c r="V380" i="20" s="1"/>
  <c r="T380" i="20" a="1"/>
  <c r="T380" i="20" s="1"/>
  <c r="R380" i="20" a="1"/>
  <c r="R380" i="20" s="1"/>
  <c r="P380" i="20" a="1"/>
  <c r="P380" i="20" s="1"/>
  <c r="N380" i="20" a="1"/>
  <c r="N380" i="20" s="1"/>
  <c r="L380" i="20" a="1"/>
  <c r="L380" i="20" s="1"/>
  <c r="J380" i="20" a="1"/>
  <c r="J380" i="20" s="1"/>
  <c r="H380" i="20" a="1"/>
  <c r="H380" i="20" s="1"/>
  <c r="Y380" i="20" a="1"/>
  <c r="Y380" i="20" s="1"/>
  <c r="W380" i="20" a="1"/>
  <c r="W380" i="20" s="1"/>
  <c r="U380" i="20" a="1"/>
  <c r="U380" i="20" s="1"/>
  <c r="S380" i="20" a="1"/>
  <c r="S380" i="20" s="1"/>
  <c r="Q380" i="20" a="1"/>
  <c r="Q380" i="20" s="1"/>
  <c r="O380" i="20" a="1"/>
  <c r="O380" i="20" s="1"/>
  <c r="M380" i="20" a="1"/>
  <c r="M380" i="20" s="1"/>
  <c r="K380" i="20" a="1"/>
  <c r="K380" i="20" s="1"/>
  <c r="I380" i="20" a="1"/>
  <c r="I380" i="20" s="1"/>
  <c r="G380" i="20" a="1"/>
  <c r="G380" i="20" s="1"/>
  <c r="Y381" i="20" a="1"/>
  <c r="Y381" i="20" s="1"/>
  <c r="W381" i="20" a="1"/>
  <c r="W381" i="20" s="1"/>
  <c r="U381" i="20" a="1"/>
  <c r="U381" i="20" s="1"/>
  <c r="S381" i="20" a="1"/>
  <c r="S381" i="20" s="1"/>
  <c r="Q381" i="20" a="1"/>
  <c r="Q381" i="20" s="1"/>
  <c r="O381" i="20" a="1"/>
  <c r="O381" i="20" s="1"/>
  <c r="M381" i="20" a="1"/>
  <c r="M381" i="20" s="1"/>
  <c r="K381" i="20" a="1"/>
  <c r="K381" i="20" s="1"/>
  <c r="I381" i="20" a="1"/>
  <c r="I381" i="20" s="1"/>
  <c r="G381" i="20" a="1"/>
  <c r="G381" i="20" s="1"/>
  <c r="X381" i="20" a="1"/>
  <c r="X381" i="20" s="1"/>
  <c r="V381" i="20" a="1"/>
  <c r="V381" i="20" s="1"/>
  <c r="T381" i="20" a="1"/>
  <c r="T381" i="20" s="1"/>
  <c r="R381" i="20" a="1"/>
  <c r="R381" i="20" s="1"/>
  <c r="P381" i="20" a="1"/>
  <c r="P381" i="20" s="1"/>
  <c r="N381" i="20" a="1"/>
  <c r="N381" i="20" s="1"/>
  <c r="L381" i="20" a="1"/>
  <c r="L381" i="20" s="1"/>
  <c r="J381" i="20" a="1"/>
  <c r="J381" i="20" s="1"/>
  <c r="H381" i="20" a="1"/>
  <c r="H381" i="20" s="1"/>
  <c r="Y378" i="20" a="1"/>
  <c r="Y378" i="20" s="1"/>
  <c r="W378" i="20" a="1"/>
  <c r="W378" i="20" s="1"/>
  <c r="U378" i="20" a="1"/>
  <c r="U378" i="20" s="1"/>
  <c r="S378" i="20" a="1"/>
  <c r="S378" i="20" s="1"/>
  <c r="Q378" i="20" a="1"/>
  <c r="Q378" i="20" s="1"/>
  <c r="O378" i="20" a="1"/>
  <c r="O378" i="20" s="1"/>
  <c r="M378" i="20" a="1"/>
  <c r="M378" i="20" s="1"/>
  <c r="K378" i="20" a="1"/>
  <c r="K378" i="20" s="1"/>
  <c r="I378" i="20" a="1"/>
  <c r="I378" i="20" s="1"/>
  <c r="G378" i="20" a="1"/>
  <c r="G378" i="20" s="1"/>
  <c r="X378" i="20" a="1"/>
  <c r="X378" i="20" s="1"/>
  <c r="V378" i="20" a="1"/>
  <c r="V378" i="20" s="1"/>
  <c r="T378" i="20" a="1"/>
  <c r="T378" i="20" s="1"/>
  <c r="R378" i="20" a="1"/>
  <c r="R378" i="20" s="1"/>
  <c r="P378" i="20" a="1"/>
  <c r="P378" i="20" s="1"/>
  <c r="N378" i="20" a="1"/>
  <c r="N378" i="20" s="1"/>
  <c r="L378" i="20" a="1"/>
  <c r="L378" i="20" s="1"/>
  <c r="J378" i="20" a="1"/>
  <c r="J378" i="20" s="1"/>
  <c r="H378" i="20" a="1"/>
  <c r="H378" i="20" s="1"/>
  <c r="F383" i="20" a="1"/>
  <c r="Y382" i="20" a="1"/>
  <c r="Y382" i="20" s="1"/>
  <c r="W382" i="20" a="1"/>
  <c r="W382" i="20" s="1"/>
  <c r="U382" i="20" a="1"/>
  <c r="U382" i="20" s="1"/>
  <c r="S382" i="20" a="1"/>
  <c r="S382" i="20" s="1"/>
  <c r="Q382" i="20" a="1"/>
  <c r="Q382" i="20" s="1"/>
  <c r="O382" i="20" a="1"/>
  <c r="O382" i="20" s="1"/>
  <c r="M382" i="20" a="1"/>
  <c r="M382" i="20" s="1"/>
  <c r="K382" i="20" a="1"/>
  <c r="K382" i="20" s="1"/>
  <c r="I382" i="20" a="1"/>
  <c r="I382" i="20" s="1"/>
  <c r="G382" i="20" a="1"/>
  <c r="G382" i="20" s="1"/>
  <c r="X382" i="20" a="1"/>
  <c r="X382" i="20" s="1"/>
  <c r="V382" i="20" a="1"/>
  <c r="V382" i="20" s="1"/>
  <c r="T382" i="20" a="1"/>
  <c r="T382" i="20" s="1"/>
  <c r="R382" i="20" a="1"/>
  <c r="R382" i="20" s="1"/>
  <c r="P382" i="20" a="1"/>
  <c r="P382" i="20" s="1"/>
  <c r="N382" i="20" a="1"/>
  <c r="N382" i="20" s="1"/>
  <c r="L382" i="20" a="1"/>
  <c r="L382" i="20" s="1"/>
  <c r="J382" i="20" a="1"/>
  <c r="J382" i="20" s="1"/>
  <c r="H382" i="20" a="1"/>
  <c r="H382" i="20" s="1"/>
  <c r="Y407" i="20" a="1"/>
  <c r="Y407" i="20" s="1"/>
  <c r="W407" i="20" a="1"/>
  <c r="W407" i="20" s="1"/>
  <c r="U407" i="20" a="1"/>
  <c r="U407" i="20" s="1"/>
  <c r="S407" i="20" a="1"/>
  <c r="S407" i="20" s="1"/>
  <c r="Q407" i="20" a="1"/>
  <c r="Q407" i="20" s="1"/>
  <c r="O407" i="20" a="1"/>
  <c r="O407" i="20" s="1"/>
  <c r="M407" i="20" a="1"/>
  <c r="M407" i="20" s="1"/>
  <c r="K407" i="20" a="1"/>
  <c r="K407" i="20" s="1"/>
  <c r="I407" i="20" a="1"/>
  <c r="I407" i="20" s="1"/>
  <c r="G407" i="20" a="1"/>
  <c r="G407" i="20" s="1"/>
  <c r="X407" i="20" a="1"/>
  <c r="X407" i="20" s="1"/>
  <c r="V407" i="20" a="1"/>
  <c r="V407" i="20" s="1"/>
  <c r="T407" i="20" a="1"/>
  <c r="T407" i="20" s="1"/>
  <c r="R407" i="20" a="1"/>
  <c r="R407" i="20" s="1"/>
  <c r="P407" i="20" a="1"/>
  <c r="P407" i="20" s="1"/>
  <c r="N407" i="20" a="1"/>
  <c r="N407" i="20" s="1"/>
  <c r="L407" i="20" a="1"/>
  <c r="L407" i="20" s="1"/>
  <c r="J407" i="20" a="1"/>
  <c r="J407" i="20" s="1"/>
  <c r="H407" i="20" a="1"/>
  <c r="H407" i="20" s="1"/>
  <c r="Y408" i="20" a="1"/>
  <c r="Y408" i="20" s="1"/>
  <c r="W408" i="20" a="1"/>
  <c r="W408" i="20" s="1"/>
  <c r="U408" i="20" a="1"/>
  <c r="U408" i="20" s="1"/>
  <c r="S408" i="20" a="1"/>
  <c r="S408" i="20" s="1"/>
  <c r="Q408" i="20" a="1"/>
  <c r="Q408" i="20" s="1"/>
  <c r="O408" i="20" a="1"/>
  <c r="O408" i="20" s="1"/>
  <c r="M408" i="20" a="1"/>
  <c r="M408" i="20" s="1"/>
  <c r="K408" i="20" a="1"/>
  <c r="K408" i="20" s="1"/>
  <c r="I408" i="20" a="1"/>
  <c r="I408" i="20" s="1"/>
  <c r="G408" i="20" a="1"/>
  <c r="G408" i="20" s="1"/>
  <c r="X408" i="20" a="1"/>
  <c r="X408" i="20" s="1"/>
  <c r="R408" i="20" a="1"/>
  <c r="R408" i="20" s="1"/>
  <c r="N408" i="20" a="1"/>
  <c r="N408" i="20" s="1"/>
  <c r="J408" i="20" a="1"/>
  <c r="J408" i="20" s="1"/>
  <c r="V408" i="20" a="1"/>
  <c r="V408" i="20" s="1"/>
  <c r="T408" i="20" a="1"/>
  <c r="T408" i="20" s="1"/>
  <c r="P408" i="20" a="1"/>
  <c r="P408" i="20" s="1"/>
  <c r="L408" i="20" a="1"/>
  <c r="L408" i="20" s="1"/>
  <c r="H408" i="20" a="1"/>
  <c r="H408" i="20" s="1"/>
  <c r="X409" i="20" a="1"/>
  <c r="X409" i="20" s="1"/>
  <c r="V409" i="20" a="1"/>
  <c r="V409" i="20" s="1"/>
  <c r="T409" i="20" a="1"/>
  <c r="T409" i="20" s="1"/>
  <c r="R409" i="20" a="1"/>
  <c r="R409" i="20" s="1"/>
  <c r="P409" i="20" a="1"/>
  <c r="P409" i="20" s="1"/>
  <c r="N409" i="20" a="1"/>
  <c r="N409" i="20" s="1"/>
  <c r="L409" i="20" a="1"/>
  <c r="L409" i="20" s="1"/>
  <c r="J409" i="20" a="1"/>
  <c r="J409" i="20" s="1"/>
  <c r="H409" i="20" a="1"/>
  <c r="H409" i="20" s="1"/>
  <c r="Y409" i="20" a="1"/>
  <c r="Y409" i="20" s="1"/>
  <c r="W409" i="20" a="1"/>
  <c r="W409" i="20" s="1"/>
  <c r="U409" i="20" a="1"/>
  <c r="U409" i="20" s="1"/>
  <c r="S409" i="20" a="1"/>
  <c r="S409" i="20" s="1"/>
  <c r="Q409" i="20" a="1"/>
  <c r="Q409" i="20" s="1"/>
  <c r="O409" i="20" a="1"/>
  <c r="O409" i="20" s="1"/>
  <c r="M409" i="20" a="1"/>
  <c r="M409" i="20" s="1"/>
  <c r="K409" i="20" a="1"/>
  <c r="K409" i="20" s="1"/>
  <c r="I409" i="20" a="1"/>
  <c r="I409" i="20" s="1"/>
  <c r="G409" i="20" a="1"/>
  <c r="G409" i="20" s="1"/>
  <c r="Y406" i="20" a="1"/>
  <c r="Y406" i="20" s="1"/>
  <c r="W406" i="20" a="1"/>
  <c r="W406" i="20" s="1"/>
  <c r="U406" i="20" a="1"/>
  <c r="U406" i="20" s="1"/>
  <c r="S406" i="20" a="1"/>
  <c r="S406" i="20" s="1"/>
  <c r="Q406" i="20" a="1"/>
  <c r="Q406" i="20" s="1"/>
  <c r="O406" i="20" a="1"/>
  <c r="O406" i="20" s="1"/>
  <c r="M406" i="20" a="1"/>
  <c r="M406" i="20" s="1"/>
  <c r="K406" i="20" a="1"/>
  <c r="K406" i="20" s="1"/>
  <c r="I406" i="20" a="1"/>
  <c r="I406" i="20" s="1"/>
  <c r="G406" i="20" a="1"/>
  <c r="G406" i="20" s="1"/>
  <c r="X406" i="20" a="1"/>
  <c r="X406" i="20" s="1"/>
  <c r="V406" i="20" a="1"/>
  <c r="V406" i="20" s="1"/>
  <c r="T406" i="20" a="1"/>
  <c r="T406" i="20" s="1"/>
  <c r="R406" i="20" a="1"/>
  <c r="R406" i="20" s="1"/>
  <c r="P406" i="20" a="1"/>
  <c r="P406" i="20" s="1"/>
  <c r="N406" i="20" a="1"/>
  <c r="N406" i="20" s="1"/>
  <c r="L406" i="20" a="1"/>
  <c r="L406" i="20" s="1"/>
  <c r="J406" i="20" a="1"/>
  <c r="J406" i="20" s="1"/>
  <c r="H406" i="20" a="1"/>
  <c r="H406" i="20" s="1"/>
  <c r="X410" i="20" a="1"/>
  <c r="X410" i="20" s="1"/>
  <c r="T410" i="20" a="1"/>
  <c r="T410" i="20" s="1"/>
  <c r="P410" i="20" a="1"/>
  <c r="P410" i="20" s="1"/>
  <c r="L410" i="20" a="1"/>
  <c r="L410" i="20" s="1"/>
  <c r="H410" i="20" a="1"/>
  <c r="H410" i="20" s="1"/>
  <c r="Y410" i="20" a="1"/>
  <c r="Y410" i="20" s="1"/>
  <c r="W410" i="20" a="1"/>
  <c r="W410" i="20" s="1"/>
  <c r="U410" i="20" a="1"/>
  <c r="U410" i="20" s="1"/>
  <c r="S410" i="20" a="1"/>
  <c r="S410" i="20" s="1"/>
  <c r="Q410" i="20" a="1"/>
  <c r="Q410" i="20" s="1"/>
  <c r="O410" i="20" a="1"/>
  <c r="O410" i="20" s="1"/>
  <c r="M410" i="20" a="1"/>
  <c r="M410" i="20" s="1"/>
  <c r="K410" i="20" a="1"/>
  <c r="K410" i="20" s="1"/>
  <c r="I410" i="20" a="1"/>
  <c r="I410" i="20" s="1"/>
  <c r="G410" i="20" a="1"/>
  <c r="G410" i="20" s="1"/>
  <c r="V410" i="20" a="1"/>
  <c r="V410" i="20" s="1"/>
  <c r="R410" i="20" a="1"/>
  <c r="R410" i="20" s="1"/>
  <c r="N410" i="20" a="1"/>
  <c r="N410" i="20" s="1"/>
  <c r="J410" i="20" a="1"/>
  <c r="J410" i="20" s="1"/>
  <c r="Y435" i="20" a="1"/>
  <c r="Y435" i="20" s="1"/>
  <c r="W435" i="20" a="1"/>
  <c r="W435" i="20" s="1"/>
  <c r="U435" i="20" a="1"/>
  <c r="U435" i="20" s="1"/>
  <c r="S435" i="20" a="1"/>
  <c r="S435" i="20" s="1"/>
  <c r="Q435" i="20" a="1"/>
  <c r="Q435" i="20" s="1"/>
  <c r="O435" i="20" a="1"/>
  <c r="O435" i="20" s="1"/>
  <c r="M435" i="20" a="1"/>
  <c r="M435" i="20" s="1"/>
  <c r="K435" i="20" a="1"/>
  <c r="K435" i="20" s="1"/>
  <c r="I435" i="20" a="1"/>
  <c r="I435" i="20" s="1"/>
  <c r="G435" i="20" a="1"/>
  <c r="G435" i="20" s="1"/>
  <c r="X435" i="20" a="1"/>
  <c r="X435" i="20" s="1"/>
  <c r="V435" i="20" a="1"/>
  <c r="V435" i="20" s="1"/>
  <c r="T435" i="20" a="1"/>
  <c r="T435" i="20" s="1"/>
  <c r="R435" i="20" a="1"/>
  <c r="R435" i="20" s="1"/>
  <c r="P435" i="20" a="1"/>
  <c r="P435" i="20" s="1"/>
  <c r="N435" i="20" a="1"/>
  <c r="N435" i="20" s="1"/>
  <c r="L435" i="20" a="1"/>
  <c r="L435" i="20" s="1"/>
  <c r="J435" i="20" a="1"/>
  <c r="J435" i="20" s="1"/>
  <c r="H435" i="20" a="1"/>
  <c r="H435" i="20" s="1"/>
  <c r="Y436" i="20" a="1"/>
  <c r="Y436" i="20" s="1"/>
  <c r="W436" i="20" a="1"/>
  <c r="W436" i="20" s="1"/>
  <c r="U436" i="20" a="1"/>
  <c r="U436" i="20" s="1"/>
  <c r="S436" i="20" a="1"/>
  <c r="S436" i="20" s="1"/>
  <c r="Q436" i="20" a="1"/>
  <c r="Q436" i="20" s="1"/>
  <c r="O436" i="20" a="1"/>
  <c r="O436" i="20" s="1"/>
  <c r="M436" i="20" a="1"/>
  <c r="M436" i="20" s="1"/>
  <c r="K436" i="20" a="1"/>
  <c r="K436" i="20" s="1"/>
  <c r="I436" i="20" a="1"/>
  <c r="I436" i="20" s="1"/>
  <c r="G436" i="20" a="1"/>
  <c r="G436" i="20" s="1"/>
  <c r="X436" i="20" a="1"/>
  <c r="X436" i="20" s="1"/>
  <c r="V436" i="20" a="1"/>
  <c r="V436" i="20" s="1"/>
  <c r="T436" i="20" a="1"/>
  <c r="T436" i="20" s="1"/>
  <c r="R436" i="20" a="1"/>
  <c r="R436" i="20" s="1"/>
  <c r="P436" i="20" a="1"/>
  <c r="P436" i="20" s="1"/>
  <c r="N436" i="20" a="1"/>
  <c r="N436" i="20" s="1"/>
  <c r="L436" i="20" a="1"/>
  <c r="L436" i="20" s="1"/>
  <c r="J436" i="20" a="1"/>
  <c r="J436" i="20" s="1"/>
  <c r="H436" i="20" a="1"/>
  <c r="H436" i="20" s="1"/>
  <c r="X437" i="20" a="1"/>
  <c r="X437" i="20" s="1"/>
  <c r="V437" i="20" a="1"/>
  <c r="V437" i="20" s="1"/>
  <c r="T437" i="20" a="1"/>
  <c r="T437" i="20" s="1"/>
  <c r="R437" i="20" a="1"/>
  <c r="R437" i="20" s="1"/>
  <c r="P437" i="20" a="1"/>
  <c r="P437" i="20" s="1"/>
  <c r="N437" i="20" a="1"/>
  <c r="N437" i="20" s="1"/>
  <c r="L437" i="20" a="1"/>
  <c r="L437" i="20" s="1"/>
  <c r="J437" i="20" a="1"/>
  <c r="J437" i="20" s="1"/>
  <c r="Y437" i="20" a="1"/>
  <c r="Y437" i="20" s="1"/>
  <c r="W437" i="20" a="1"/>
  <c r="W437" i="20" s="1"/>
  <c r="U437" i="20" a="1"/>
  <c r="U437" i="20" s="1"/>
  <c r="S437" i="20" a="1"/>
  <c r="S437" i="20" s="1"/>
  <c r="Q437" i="20" a="1"/>
  <c r="Q437" i="20" s="1"/>
  <c r="O437" i="20" a="1"/>
  <c r="O437" i="20" s="1"/>
  <c r="M437" i="20" a="1"/>
  <c r="M437" i="20" s="1"/>
  <c r="K437" i="20" a="1"/>
  <c r="K437" i="20" s="1"/>
  <c r="I437" i="20" a="1"/>
  <c r="I437" i="20" s="1"/>
  <c r="G437" i="20" a="1"/>
  <c r="G437" i="20" s="1"/>
  <c r="H437" i="20" a="1"/>
  <c r="H437" i="20" s="1"/>
  <c r="Y434" i="20" a="1"/>
  <c r="Y434" i="20" s="1"/>
  <c r="W434" i="20" a="1"/>
  <c r="W434" i="20" s="1"/>
  <c r="U434" i="20" a="1"/>
  <c r="U434" i="20" s="1"/>
  <c r="S434" i="20" a="1"/>
  <c r="S434" i="20" s="1"/>
  <c r="Q434" i="20" a="1"/>
  <c r="Q434" i="20" s="1"/>
  <c r="O434" i="20" a="1"/>
  <c r="O434" i="20" s="1"/>
  <c r="M434" i="20" a="1"/>
  <c r="M434" i="20" s="1"/>
  <c r="K434" i="20" a="1"/>
  <c r="K434" i="20" s="1"/>
  <c r="I434" i="20" a="1"/>
  <c r="I434" i="20" s="1"/>
  <c r="G434" i="20" a="1"/>
  <c r="G434" i="20" s="1"/>
  <c r="X434" i="20" a="1"/>
  <c r="X434" i="20" s="1"/>
  <c r="V434" i="20" a="1"/>
  <c r="V434" i="20" s="1"/>
  <c r="T434" i="20" a="1"/>
  <c r="T434" i="20" s="1"/>
  <c r="R434" i="20" a="1"/>
  <c r="R434" i="20" s="1"/>
  <c r="P434" i="20" a="1"/>
  <c r="P434" i="20" s="1"/>
  <c r="N434" i="20" a="1"/>
  <c r="N434" i="20" s="1"/>
  <c r="L434" i="20" a="1"/>
  <c r="L434" i="20" s="1"/>
  <c r="J434" i="20" a="1"/>
  <c r="J434" i="20" s="1"/>
  <c r="H434" i="20" a="1"/>
  <c r="H434" i="20" s="1"/>
  <c r="Y438" i="20" a="1"/>
  <c r="Y438" i="20" s="1"/>
  <c r="W438" i="20" a="1"/>
  <c r="W438" i="20" s="1"/>
  <c r="U438" i="20" a="1"/>
  <c r="U438" i="20" s="1"/>
  <c r="S438" i="20" a="1"/>
  <c r="S438" i="20" s="1"/>
  <c r="Q438" i="20" a="1"/>
  <c r="Q438" i="20" s="1"/>
  <c r="O438" i="20" a="1"/>
  <c r="O438" i="20" s="1"/>
  <c r="M438" i="20" a="1"/>
  <c r="M438" i="20" s="1"/>
  <c r="K438" i="20" a="1"/>
  <c r="K438" i="20" s="1"/>
  <c r="I438" i="20" a="1"/>
  <c r="I438" i="20" s="1"/>
  <c r="G438" i="20" a="1"/>
  <c r="G438" i="20" s="1"/>
  <c r="X438" i="20" a="1"/>
  <c r="X438" i="20" s="1"/>
  <c r="V438" i="20" a="1"/>
  <c r="V438" i="20" s="1"/>
  <c r="T438" i="20" a="1"/>
  <c r="T438" i="20" s="1"/>
  <c r="R438" i="20" a="1"/>
  <c r="R438" i="20" s="1"/>
  <c r="P438" i="20" a="1"/>
  <c r="P438" i="20" s="1"/>
  <c r="N438" i="20" a="1"/>
  <c r="N438" i="20" s="1"/>
  <c r="L438" i="20" a="1"/>
  <c r="L438" i="20" s="1"/>
  <c r="J438" i="20" a="1"/>
  <c r="J438" i="20" s="1"/>
  <c r="H438" i="20" a="1"/>
  <c r="H438" i="20" s="1"/>
  <c r="Y464" i="20" a="1"/>
  <c r="Y464" i="20" s="1"/>
  <c r="S464" i="20" a="1"/>
  <c r="S464" i="20" s="1"/>
  <c r="Q464" i="20" a="1"/>
  <c r="Q464" i="20" s="1"/>
  <c r="M464" i="20" a="1"/>
  <c r="M464" i="20" s="1"/>
  <c r="K464" i="20" a="1"/>
  <c r="K464" i="20" s="1"/>
  <c r="I464" i="20" a="1"/>
  <c r="I464" i="20" s="1"/>
  <c r="X464" i="20" a="1"/>
  <c r="X464" i="20" s="1"/>
  <c r="V464" i="20" a="1"/>
  <c r="V464" i="20" s="1"/>
  <c r="T464" i="20" a="1"/>
  <c r="T464" i="20" s="1"/>
  <c r="R464" i="20" a="1"/>
  <c r="R464" i="20" s="1"/>
  <c r="W464" i="20" a="1"/>
  <c r="W464" i="20" s="1"/>
  <c r="U464" i="20" a="1"/>
  <c r="U464" i="20" s="1"/>
  <c r="O464" i="20" a="1"/>
  <c r="O464" i="20" s="1"/>
  <c r="G464" i="20" a="1"/>
  <c r="G464" i="20" s="1"/>
  <c r="N464" i="20" a="1"/>
  <c r="N464" i="20" s="1"/>
  <c r="W462" i="20" a="1"/>
  <c r="W462" i="20" s="1"/>
  <c r="U462" i="20" a="1"/>
  <c r="U462" i="20" s="1"/>
  <c r="S462" i="20" a="1"/>
  <c r="S462" i="20" s="1"/>
  <c r="O462" i="20" a="1"/>
  <c r="O462" i="20" s="1"/>
  <c r="M462" i="20" a="1"/>
  <c r="M462" i="20" s="1"/>
  <c r="I462" i="20" a="1"/>
  <c r="I462" i="20" s="1"/>
  <c r="G462" i="20" a="1"/>
  <c r="G462" i="20" s="1"/>
  <c r="Y462" i="20" a="1"/>
  <c r="Y462" i="20" s="1"/>
  <c r="Q462" i="20" a="1"/>
  <c r="Q462" i="20" s="1"/>
  <c r="K462" i="20" a="1"/>
  <c r="K462" i="20" s="1"/>
  <c r="N462" i="20" a="1"/>
  <c r="N462" i="20" s="1"/>
  <c r="V462" i="20" a="1"/>
  <c r="V462" i="20" s="1"/>
  <c r="J463" i="20" a="1"/>
  <c r="J463" i="20" s="1"/>
  <c r="R463" i="20" a="1"/>
  <c r="R463" i="20" s="1"/>
  <c r="H462" i="20" a="1"/>
  <c r="H462" i="20" s="1"/>
  <c r="P462" i="20" a="1"/>
  <c r="P462" i="20" s="1"/>
  <c r="X462" i="20" a="1"/>
  <c r="X462" i="20" s="1"/>
  <c r="L463" i="20" a="1"/>
  <c r="L463" i="20" s="1"/>
  <c r="H464" i="20" a="1"/>
  <c r="H464" i="20" s="1"/>
  <c r="P464" i="20" a="1"/>
  <c r="P464" i="20" s="1"/>
  <c r="Y463" i="20" a="1"/>
  <c r="Y463" i="20" s="1"/>
  <c r="U463" i="20" a="1"/>
  <c r="U463" i="20" s="1"/>
  <c r="S463" i="20" a="1"/>
  <c r="S463" i="20" s="1"/>
  <c r="O463" i="20" a="1"/>
  <c r="O463" i="20" s="1"/>
  <c r="M463" i="20" a="1"/>
  <c r="M463" i="20" s="1"/>
  <c r="I463" i="20" a="1"/>
  <c r="I463" i="20" s="1"/>
  <c r="G463" i="20" a="1"/>
  <c r="G463" i="20" s="1"/>
  <c r="W463" i="20" a="1"/>
  <c r="W463" i="20" s="1"/>
  <c r="Q463" i="20" a="1"/>
  <c r="Q463" i="20" s="1"/>
  <c r="K463" i="20" a="1"/>
  <c r="K463" i="20" s="1"/>
  <c r="N463" i="20" a="1"/>
  <c r="N463" i="20" s="1"/>
  <c r="V463" i="20" a="1"/>
  <c r="V463" i="20" s="1"/>
  <c r="J464" i="20" a="1"/>
  <c r="J464" i="20" s="1"/>
  <c r="Y465" i="20" a="1"/>
  <c r="Y465" i="20" s="1"/>
  <c r="W465" i="20" a="1"/>
  <c r="W465" i="20" s="1"/>
  <c r="U465" i="20" a="1"/>
  <c r="U465" i="20" s="1"/>
  <c r="S465" i="20" a="1"/>
  <c r="S465" i="20" s="1"/>
  <c r="Q465" i="20" a="1"/>
  <c r="Q465" i="20" s="1"/>
  <c r="O465" i="20" a="1"/>
  <c r="O465" i="20" s="1"/>
  <c r="M465" i="20" a="1"/>
  <c r="M465" i="20" s="1"/>
  <c r="K465" i="20" a="1"/>
  <c r="K465" i="20" s="1"/>
  <c r="I465" i="20" a="1"/>
  <c r="I465" i="20" s="1"/>
  <c r="G465" i="20" a="1"/>
  <c r="G465" i="20" s="1"/>
  <c r="X465" i="20" a="1"/>
  <c r="X465" i="20" s="1"/>
  <c r="V465" i="20" a="1"/>
  <c r="V465" i="20" s="1"/>
  <c r="T465" i="20" a="1"/>
  <c r="T465" i="20" s="1"/>
  <c r="R465" i="20" a="1"/>
  <c r="R465" i="20" s="1"/>
  <c r="P465" i="20" a="1"/>
  <c r="P465" i="20" s="1"/>
  <c r="N465" i="20" a="1"/>
  <c r="N465" i="20" s="1"/>
  <c r="L465" i="20" a="1"/>
  <c r="L465" i="20" s="1"/>
  <c r="J465" i="20" a="1"/>
  <c r="J465" i="20" s="1"/>
  <c r="H465" i="20" a="1"/>
  <c r="H465" i="20" s="1"/>
  <c r="J462" i="20" a="1"/>
  <c r="J462" i="20" s="1"/>
  <c r="R462" i="20" a="1"/>
  <c r="R462" i="20" s="1"/>
  <c r="L462" i="20" a="1"/>
  <c r="L462" i="20" s="1"/>
  <c r="T462" i="20" a="1"/>
  <c r="T462" i="20" s="1"/>
  <c r="H463" i="20" a="1"/>
  <c r="H463" i="20" s="1"/>
  <c r="P463" i="20" a="1"/>
  <c r="P463" i="20" s="1"/>
  <c r="X463" i="20" a="1"/>
  <c r="X463" i="20" s="1"/>
  <c r="L464" i="20" a="1"/>
  <c r="L464" i="20" s="1"/>
  <c r="Y466" i="20" a="1"/>
  <c r="Y466" i="20" s="1"/>
  <c r="W466" i="20" a="1"/>
  <c r="W466" i="20" s="1"/>
  <c r="U466" i="20" a="1"/>
  <c r="U466" i="20" s="1"/>
  <c r="S466" i="20" a="1"/>
  <c r="S466" i="20" s="1"/>
  <c r="Q466" i="20" a="1"/>
  <c r="Q466" i="20" s="1"/>
  <c r="O466" i="20" a="1"/>
  <c r="O466" i="20" s="1"/>
  <c r="M466" i="20" a="1"/>
  <c r="M466" i="20" s="1"/>
  <c r="K466" i="20" a="1"/>
  <c r="K466" i="20" s="1"/>
  <c r="I466" i="20" a="1"/>
  <c r="I466" i="20" s="1"/>
  <c r="G466" i="20" a="1"/>
  <c r="G466" i="20" s="1"/>
  <c r="X466" i="20" a="1"/>
  <c r="X466" i="20" s="1"/>
  <c r="V466" i="20" a="1"/>
  <c r="V466" i="20" s="1"/>
  <c r="T466" i="20" a="1"/>
  <c r="T466" i="20" s="1"/>
  <c r="R466" i="20" a="1"/>
  <c r="R466" i="20" s="1"/>
  <c r="P466" i="20" a="1"/>
  <c r="P466" i="20" s="1"/>
  <c r="N466" i="20" a="1"/>
  <c r="N466" i="20" s="1"/>
  <c r="L466" i="20" a="1"/>
  <c r="L466" i="20" s="1"/>
  <c r="J466" i="20" a="1"/>
  <c r="J466" i="20" s="1"/>
  <c r="H466" i="20" a="1"/>
  <c r="H466" i="20" s="1"/>
  <c r="M491" i="20" a="1"/>
  <c r="M491" i="20" s="1"/>
  <c r="Y491" i="20" a="1"/>
  <c r="Y491" i="20" s="1"/>
  <c r="W491" i="20" a="1"/>
  <c r="W491" i="20" s="1"/>
  <c r="U491" i="20" a="1"/>
  <c r="U491" i="20" s="1"/>
  <c r="S491" i="20" a="1"/>
  <c r="S491" i="20" s="1"/>
  <c r="Q491" i="20" a="1"/>
  <c r="Q491" i="20" s="1"/>
  <c r="O491" i="20" a="1"/>
  <c r="O491" i="20" s="1"/>
  <c r="K491" i="20" a="1"/>
  <c r="K491" i="20" s="1"/>
  <c r="I491" i="20" a="1"/>
  <c r="I491" i="20" s="1"/>
  <c r="G491" i="20" a="1"/>
  <c r="G491" i="20" s="1"/>
  <c r="X491" i="20" a="1"/>
  <c r="X491" i="20" s="1"/>
  <c r="V491" i="20" a="1"/>
  <c r="V491" i="20" s="1"/>
  <c r="T491" i="20" a="1"/>
  <c r="T491" i="20" s="1"/>
  <c r="R491" i="20" a="1"/>
  <c r="R491" i="20" s="1"/>
  <c r="P491" i="20" a="1"/>
  <c r="P491" i="20" s="1"/>
  <c r="N491" i="20" a="1"/>
  <c r="N491" i="20" s="1"/>
  <c r="L491" i="20" a="1"/>
  <c r="L491" i="20" s="1"/>
  <c r="J491" i="20" a="1"/>
  <c r="J491" i="20" s="1"/>
  <c r="H491" i="20" a="1"/>
  <c r="H491" i="20" s="1"/>
  <c r="X492" i="20" a="1"/>
  <c r="X492" i="20" s="1"/>
  <c r="V492" i="20" a="1"/>
  <c r="V492" i="20" s="1"/>
  <c r="T492" i="20" a="1"/>
  <c r="T492" i="20" s="1"/>
  <c r="R492" i="20" a="1"/>
  <c r="R492" i="20" s="1"/>
  <c r="P492" i="20" a="1"/>
  <c r="P492" i="20" s="1"/>
  <c r="N492" i="20" a="1"/>
  <c r="N492" i="20" s="1"/>
  <c r="L492" i="20" a="1"/>
  <c r="L492" i="20" s="1"/>
  <c r="J492" i="20" a="1"/>
  <c r="J492" i="20" s="1"/>
  <c r="H492" i="20" a="1"/>
  <c r="H492" i="20" s="1"/>
  <c r="Y492" i="20" a="1"/>
  <c r="Y492" i="20" s="1"/>
  <c r="W492" i="20" a="1"/>
  <c r="W492" i="20" s="1"/>
  <c r="U492" i="20" a="1"/>
  <c r="U492" i="20" s="1"/>
  <c r="S492" i="20" a="1"/>
  <c r="S492" i="20" s="1"/>
  <c r="Q492" i="20" a="1"/>
  <c r="Q492" i="20" s="1"/>
  <c r="O492" i="20" a="1"/>
  <c r="O492" i="20" s="1"/>
  <c r="M492" i="20" a="1"/>
  <c r="M492" i="20" s="1"/>
  <c r="K492" i="20" a="1"/>
  <c r="K492" i="20" s="1"/>
  <c r="I492" i="20" a="1"/>
  <c r="I492" i="20" s="1"/>
  <c r="G492" i="20" a="1"/>
  <c r="G492" i="20" s="1"/>
  <c r="Y493" i="20" a="1"/>
  <c r="Y493" i="20" s="1"/>
  <c r="W493" i="20" a="1"/>
  <c r="W493" i="20" s="1"/>
  <c r="U493" i="20" a="1"/>
  <c r="U493" i="20" s="1"/>
  <c r="S493" i="20" a="1"/>
  <c r="S493" i="20" s="1"/>
  <c r="Q493" i="20" a="1"/>
  <c r="Q493" i="20" s="1"/>
  <c r="O493" i="20" a="1"/>
  <c r="O493" i="20" s="1"/>
  <c r="M493" i="20" a="1"/>
  <c r="M493" i="20" s="1"/>
  <c r="K493" i="20" a="1"/>
  <c r="K493" i="20" s="1"/>
  <c r="I493" i="20" a="1"/>
  <c r="I493" i="20" s="1"/>
  <c r="G493" i="20" a="1"/>
  <c r="G493" i="20" s="1"/>
  <c r="X493" i="20" a="1"/>
  <c r="X493" i="20" s="1"/>
  <c r="V493" i="20" a="1"/>
  <c r="V493" i="20" s="1"/>
  <c r="T493" i="20" a="1"/>
  <c r="T493" i="20" s="1"/>
  <c r="R493" i="20" a="1"/>
  <c r="R493" i="20" s="1"/>
  <c r="P493" i="20" a="1"/>
  <c r="P493" i="20" s="1"/>
  <c r="N493" i="20" a="1"/>
  <c r="N493" i="20" s="1"/>
  <c r="L493" i="20" a="1"/>
  <c r="L493" i="20" s="1"/>
  <c r="J493" i="20" a="1"/>
  <c r="J493" i="20" s="1"/>
  <c r="H493" i="20" a="1"/>
  <c r="H493" i="20" s="1"/>
  <c r="Y490" i="20" a="1"/>
  <c r="Y490" i="20" s="1"/>
  <c r="W490" i="20" a="1"/>
  <c r="W490" i="20" s="1"/>
  <c r="U490" i="20" a="1"/>
  <c r="U490" i="20" s="1"/>
  <c r="S490" i="20" a="1"/>
  <c r="S490" i="20" s="1"/>
  <c r="Q490" i="20" a="1"/>
  <c r="Q490" i="20" s="1"/>
  <c r="O490" i="20" a="1"/>
  <c r="O490" i="20" s="1"/>
  <c r="M490" i="20" a="1"/>
  <c r="M490" i="20" s="1"/>
  <c r="K490" i="20" a="1"/>
  <c r="K490" i="20" s="1"/>
  <c r="I490" i="20" a="1"/>
  <c r="I490" i="20" s="1"/>
  <c r="G490" i="20" a="1"/>
  <c r="G490" i="20" s="1"/>
  <c r="X490" i="20" a="1"/>
  <c r="X490" i="20" s="1"/>
  <c r="V490" i="20" a="1"/>
  <c r="V490" i="20" s="1"/>
  <c r="T490" i="20" a="1"/>
  <c r="T490" i="20" s="1"/>
  <c r="R490" i="20" a="1"/>
  <c r="R490" i="20" s="1"/>
  <c r="P490" i="20" a="1"/>
  <c r="P490" i="20" s="1"/>
  <c r="N490" i="20" a="1"/>
  <c r="N490" i="20" s="1"/>
  <c r="L490" i="20" a="1"/>
  <c r="L490" i="20" s="1"/>
  <c r="J490" i="20" a="1"/>
  <c r="J490" i="20" s="1"/>
  <c r="H490" i="20" a="1"/>
  <c r="H490" i="20" s="1"/>
  <c r="Y494" i="20" a="1"/>
  <c r="Y494" i="20" s="1"/>
  <c r="W494" i="20" a="1"/>
  <c r="W494" i="20" s="1"/>
  <c r="U494" i="20" a="1"/>
  <c r="U494" i="20" s="1"/>
  <c r="S494" i="20" a="1"/>
  <c r="S494" i="20" s="1"/>
  <c r="Q494" i="20" a="1"/>
  <c r="Q494" i="20" s="1"/>
  <c r="O494" i="20" a="1"/>
  <c r="O494" i="20" s="1"/>
  <c r="M494" i="20" a="1"/>
  <c r="M494" i="20" s="1"/>
  <c r="K494" i="20" a="1"/>
  <c r="K494" i="20" s="1"/>
  <c r="I494" i="20" a="1"/>
  <c r="I494" i="20" s="1"/>
  <c r="G494" i="20" a="1"/>
  <c r="G494" i="20" s="1"/>
  <c r="X494" i="20" a="1"/>
  <c r="X494" i="20" s="1"/>
  <c r="V494" i="20" a="1"/>
  <c r="V494" i="20" s="1"/>
  <c r="T494" i="20" a="1"/>
  <c r="T494" i="20" s="1"/>
  <c r="R494" i="20" a="1"/>
  <c r="R494" i="20" s="1"/>
  <c r="P494" i="20" a="1"/>
  <c r="P494" i="20" s="1"/>
  <c r="N494" i="20" a="1"/>
  <c r="N494" i="20" s="1"/>
  <c r="L494" i="20" a="1"/>
  <c r="L494" i="20" s="1"/>
  <c r="J494" i="20" a="1"/>
  <c r="J494" i="20" s="1"/>
  <c r="H494" i="20" a="1"/>
  <c r="H494" i="20" s="1"/>
  <c r="Y519" i="20" a="1"/>
  <c r="Y519" i="20" s="1"/>
  <c r="W519" i="20" a="1"/>
  <c r="W519" i="20" s="1"/>
  <c r="U519" i="20" a="1"/>
  <c r="U519" i="20" s="1"/>
  <c r="S519" i="20" a="1"/>
  <c r="S519" i="20" s="1"/>
  <c r="Q519" i="20" a="1"/>
  <c r="Q519" i="20" s="1"/>
  <c r="O519" i="20" a="1"/>
  <c r="O519" i="20" s="1"/>
  <c r="M519" i="20" a="1"/>
  <c r="M519" i="20" s="1"/>
  <c r="K519" i="20" a="1"/>
  <c r="K519" i="20" s="1"/>
  <c r="I519" i="20" a="1"/>
  <c r="I519" i="20" s="1"/>
  <c r="G519" i="20" a="1"/>
  <c r="G519" i="20" s="1"/>
  <c r="X519" i="20" a="1"/>
  <c r="X519" i="20" s="1"/>
  <c r="V519" i="20" a="1"/>
  <c r="V519" i="20" s="1"/>
  <c r="T519" i="20" a="1"/>
  <c r="T519" i="20" s="1"/>
  <c r="R519" i="20" a="1"/>
  <c r="R519" i="20" s="1"/>
  <c r="P519" i="20" a="1"/>
  <c r="P519" i="20" s="1"/>
  <c r="N519" i="20" a="1"/>
  <c r="N519" i="20" s="1"/>
  <c r="L519" i="20" a="1"/>
  <c r="L519" i="20" s="1"/>
  <c r="J519" i="20" a="1"/>
  <c r="J519" i="20" s="1"/>
  <c r="H519" i="20" a="1"/>
  <c r="H519" i="20" s="1"/>
  <c r="O520" i="20" a="1"/>
  <c r="O520" i="20" s="1"/>
  <c r="X520" i="20" a="1"/>
  <c r="X520" i="20" s="1"/>
  <c r="V520" i="20" a="1"/>
  <c r="V520" i="20" s="1"/>
  <c r="T520" i="20" a="1"/>
  <c r="T520" i="20" s="1"/>
  <c r="R520" i="20" a="1"/>
  <c r="R520" i="20" s="1"/>
  <c r="P520" i="20" a="1"/>
  <c r="P520" i="20" s="1"/>
  <c r="N520" i="20" a="1"/>
  <c r="N520" i="20" s="1"/>
  <c r="L520" i="20" a="1"/>
  <c r="L520" i="20" s="1"/>
  <c r="J520" i="20" a="1"/>
  <c r="J520" i="20" s="1"/>
  <c r="H520" i="20" a="1"/>
  <c r="H520" i="20" s="1"/>
  <c r="Y520" i="20" a="1"/>
  <c r="Y520" i="20" s="1"/>
  <c r="W520" i="20" a="1"/>
  <c r="W520" i="20" s="1"/>
  <c r="U520" i="20" a="1"/>
  <c r="U520" i="20" s="1"/>
  <c r="S520" i="20" a="1"/>
  <c r="S520" i="20" s="1"/>
  <c r="Q520" i="20" a="1"/>
  <c r="Q520" i="20" s="1"/>
  <c r="M520" i="20" a="1"/>
  <c r="M520" i="20" s="1"/>
  <c r="K520" i="20" a="1"/>
  <c r="K520" i="20" s="1"/>
  <c r="I520" i="20" a="1"/>
  <c r="I520" i="20" s="1"/>
  <c r="G520" i="20" a="1"/>
  <c r="G520" i="20" s="1"/>
  <c r="Y521" i="20" a="1"/>
  <c r="Y521" i="20" s="1"/>
  <c r="W521" i="20" a="1"/>
  <c r="W521" i="20" s="1"/>
  <c r="U521" i="20" a="1"/>
  <c r="U521" i="20" s="1"/>
  <c r="S521" i="20" a="1"/>
  <c r="S521" i="20" s="1"/>
  <c r="Q521" i="20" a="1"/>
  <c r="Q521" i="20" s="1"/>
  <c r="O521" i="20" a="1"/>
  <c r="O521" i="20" s="1"/>
  <c r="M521" i="20" a="1"/>
  <c r="M521" i="20" s="1"/>
  <c r="K521" i="20" a="1"/>
  <c r="K521" i="20" s="1"/>
  <c r="I521" i="20" a="1"/>
  <c r="I521" i="20" s="1"/>
  <c r="G521" i="20" a="1"/>
  <c r="G521" i="20" s="1"/>
  <c r="X521" i="20" a="1"/>
  <c r="X521" i="20" s="1"/>
  <c r="V521" i="20" a="1"/>
  <c r="V521" i="20" s="1"/>
  <c r="T521" i="20" a="1"/>
  <c r="T521" i="20" s="1"/>
  <c r="R521" i="20" a="1"/>
  <c r="R521" i="20" s="1"/>
  <c r="P521" i="20" a="1"/>
  <c r="P521" i="20" s="1"/>
  <c r="N521" i="20" a="1"/>
  <c r="N521" i="20" s="1"/>
  <c r="L521" i="20" a="1"/>
  <c r="L521" i="20" s="1"/>
  <c r="J521" i="20" a="1"/>
  <c r="J521" i="20" s="1"/>
  <c r="H521" i="20" a="1"/>
  <c r="H521" i="20" s="1"/>
  <c r="U518" i="20" a="1"/>
  <c r="U518" i="20" s="1"/>
  <c r="Q518" i="20" a="1"/>
  <c r="Q518" i="20" s="1"/>
  <c r="M518" i="20" a="1"/>
  <c r="M518" i="20" s="1"/>
  <c r="K518" i="20" a="1"/>
  <c r="K518" i="20" s="1"/>
  <c r="I518" i="20" a="1"/>
  <c r="I518" i="20" s="1"/>
  <c r="Y518" i="20" a="1"/>
  <c r="Y518" i="20" s="1"/>
  <c r="W518" i="20" a="1"/>
  <c r="W518" i="20" s="1"/>
  <c r="S518" i="20" a="1"/>
  <c r="S518" i="20" s="1"/>
  <c r="O518" i="20" a="1"/>
  <c r="O518" i="20" s="1"/>
  <c r="G518" i="20" a="1"/>
  <c r="G518" i="20" s="1"/>
  <c r="X518" i="20" a="1"/>
  <c r="X518" i="20" s="1"/>
  <c r="V518" i="20" a="1"/>
  <c r="V518" i="20" s="1"/>
  <c r="T518" i="20" a="1"/>
  <c r="T518" i="20" s="1"/>
  <c r="R518" i="20" a="1"/>
  <c r="R518" i="20" s="1"/>
  <c r="P518" i="20" a="1"/>
  <c r="P518" i="20" s="1"/>
  <c r="N518" i="20" a="1"/>
  <c r="N518" i="20" s="1"/>
  <c r="L518" i="20" a="1"/>
  <c r="L518" i="20" s="1"/>
  <c r="J518" i="20" a="1"/>
  <c r="J518" i="20" s="1"/>
  <c r="H518" i="20" a="1"/>
  <c r="H518" i="20" s="1"/>
  <c r="Y522" i="20" a="1"/>
  <c r="Y522" i="20" s="1"/>
  <c r="W522" i="20" a="1"/>
  <c r="W522" i="20" s="1"/>
  <c r="U522" i="20" a="1"/>
  <c r="U522" i="20" s="1"/>
  <c r="S522" i="20" a="1"/>
  <c r="S522" i="20" s="1"/>
  <c r="Q522" i="20" a="1"/>
  <c r="Q522" i="20" s="1"/>
  <c r="O522" i="20" a="1"/>
  <c r="O522" i="20" s="1"/>
  <c r="M522" i="20" a="1"/>
  <c r="M522" i="20" s="1"/>
  <c r="K522" i="20" a="1"/>
  <c r="K522" i="20" s="1"/>
  <c r="I522" i="20" a="1"/>
  <c r="I522" i="20" s="1"/>
  <c r="G522" i="20" a="1"/>
  <c r="G522" i="20" s="1"/>
  <c r="X522" i="20" a="1"/>
  <c r="X522" i="20" s="1"/>
  <c r="V522" i="20" a="1"/>
  <c r="V522" i="20" s="1"/>
  <c r="T522" i="20" a="1"/>
  <c r="T522" i="20" s="1"/>
  <c r="R522" i="20" a="1"/>
  <c r="R522" i="20" s="1"/>
  <c r="P522" i="20" a="1"/>
  <c r="P522" i="20" s="1"/>
  <c r="N522" i="20" a="1"/>
  <c r="N522" i="20" s="1"/>
  <c r="L522" i="20" a="1"/>
  <c r="L522" i="20" s="1"/>
  <c r="J522" i="20" a="1"/>
  <c r="J522" i="20" s="1"/>
  <c r="H522" i="20" a="1"/>
  <c r="H522" i="20" s="1"/>
  <c r="Y547" i="20" a="1"/>
  <c r="Y547" i="20" s="1"/>
  <c r="W547" i="20" a="1"/>
  <c r="W547" i="20" s="1"/>
  <c r="U547" i="20" a="1"/>
  <c r="U547" i="20" s="1"/>
  <c r="S547" i="20" a="1"/>
  <c r="S547" i="20" s="1"/>
  <c r="Q547" i="20" a="1"/>
  <c r="Q547" i="20" s="1"/>
  <c r="O547" i="20" a="1"/>
  <c r="O547" i="20" s="1"/>
  <c r="M547" i="20" a="1"/>
  <c r="M547" i="20" s="1"/>
  <c r="K547" i="20" a="1"/>
  <c r="K547" i="20" s="1"/>
  <c r="I547" i="20" a="1"/>
  <c r="I547" i="20" s="1"/>
  <c r="G547" i="20" a="1"/>
  <c r="G547" i="20" s="1"/>
  <c r="X547" i="20" a="1"/>
  <c r="X547" i="20" s="1"/>
  <c r="V547" i="20" a="1"/>
  <c r="V547" i="20" s="1"/>
  <c r="T547" i="20" a="1"/>
  <c r="T547" i="20" s="1"/>
  <c r="R547" i="20" a="1"/>
  <c r="R547" i="20" s="1"/>
  <c r="P547" i="20" a="1"/>
  <c r="P547" i="20" s="1"/>
  <c r="N547" i="20" a="1"/>
  <c r="N547" i="20" s="1"/>
  <c r="L547" i="20" a="1"/>
  <c r="L547" i="20" s="1"/>
  <c r="J547" i="20" a="1"/>
  <c r="J547" i="20" s="1"/>
  <c r="H547" i="20" a="1"/>
  <c r="H547" i="20" s="1"/>
  <c r="Y548" i="20" a="1"/>
  <c r="Y548" i="20" s="1"/>
  <c r="W548" i="20" a="1"/>
  <c r="W548" i="20" s="1"/>
  <c r="U548" i="20" a="1"/>
  <c r="U548" i="20" s="1"/>
  <c r="S548" i="20" a="1"/>
  <c r="S548" i="20" s="1"/>
  <c r="Q548" i="20" a="1"/>
  <c r="Q548" i="20" s="1"/>
  <c r="O548" i="20" a="1"/>
  <c r="O548" i="20" s="1"/>
  <c r="M548" i="20" a="1"/>
  <c r="M548" i="20" s="1"/>
  <c r="K548" i="20" a="1"/>
  <c r="K548" i="20" s="1"/>
  <c r="I548" i="20" a="1"/>
  <c r="I548" i="20" s="1"/>
  <c r="G548" i="20" a="1"/>
  <c r="G548" i="20" s="1"/>
  <c r="X548" i="20" a="1"/>
  <c r="X548" i="20" s="1"/>
  <c r="V548" i="20" a="1"/>
  <c r="V548" i="20" s="1"/>
  <c r="T548" i="20" a="1"/>
  <c r="T548" i="20" s="1"/>
  <c r="R548" i="20" a="1"/>
  <c r="R548" i="20" s="1"/>
  <c r="P548" i="20" a="1"/>
  <c r="P548" i="20" s="1"/>
  <c r="N548" i="20" a="1"/>
  <c r="N548" i="20" s="1"/>
  <c r="L548" i="20" a="1"/>
  <c r="L548" i="20" s="1"/>
  <c r="J548" i="20" a="1"/>
  <c r="J548" i="20" s="1"/>
  <c r="H548" i="20" a="1"/>
  <c r="H548" i="20" s="1"/>
  <c r="Y549" i="20" a="1"/>
  <c r="Y549" i="20" s="1"/>
  <c r="W549" i="20" a="1"/>
  <c r="W549" i="20" s="1"/>
  <c r="U549" i="20" a="1"/>
  <c r="U549" i="20" s="1"/>
  <c r="S549" i="20" a="1"/>
  <c r="S549" i="20" s="1"/>
  <c r="Q549" i="20" a="1"/>
  <c r="Q549" i="20" s="1"/>
  <c r="O549" i="20" a="1"/>
  <c r="O549" i="20" s="1"/>
  <c r="M549" i="20" a="1"/>
  <c r="M549" i="20" s="1"/>
  <c r="K549" i="20" a="1"/>
  <c r="K549" i="20" s="1"/>
  <c r="I549" i="20" a="1"/>
  <c r="I549" i="20" s="1"/>
  <c r="G549" i="20" a="1"/>
  <c r="G549" i="20" s="1"/>
  <c r="X549" i="20" a="1"/>
  <c r="X549" i="20" s="1"/>
  <c r="V549" i="20" a="1"/>
  <c r="V549" i="20" s="1"/>
  <c r="T549" i="20" a="1"/>
  <c r="T549" i="20" s="1"/>
  <c r="R549" i="20" a="1"/>
  <c r="R549" i="20" s="1"/>
  <c r="P549" i="20" a="1"/>
  <c r="P549" i="20" s="1"/>
  <c r="N549" i="20" a="1"/>
  <c r="N549" i="20" s="1"/>
  <c r="L549" i="20" a="1"/>
  <c r="L549" i="20" s="1"/>
  <c r="J549" i="20" a="1"/>
  <c r="J549" i="20" s="1"/>
  <c r="H549" i="20" a="1"/>
  <c r="H549" i="20" s="1"/>
  <c r="X546" i="20" a="1"/>
  <c r="X546" i="20" s="1"/>
  <c r="V546" i="20" a="1"/>
  <c r="V546" i="20" s="1"/>
  <c r="T546" i="20" a="1"/>
  <c r="T546" i="20" s="1"/>
  <c r="R546" i="20" a="1"/>
  <c r="R546" i="20" s="1"/>
  <c r="P546" i="20" a="1"/>
  <c r="P546" i="20" s="1"/>
  <c r="N546" i="20" a="1"/>
  <c r="N546" i="20" s="1"/>
  <c r="L546" i="20" a="1"/>
  <c r="L546" i="20" s="1"/>
  <c r="J546" i="20" a="1"/>
  <c r="J546" i="20" s="1"/>
  <c r="H546" i="20" a="1"/>
  <c r="H546" i="20" s="1"/>
  <c r="Y546" i="20" a="1"/>
  <c r="Y546" i="20" s="1"/>
  <c r="W546" i="20" a="1"/>
  <c r="W546" i="20" s="1"/>
  <c r="U546" i="20" a="1"/>
  <c r="U546" i="20" s="1"/>
  <c r="S546" i="20" a="1"/>
  <c r="S546" i="20" s="1"/>
  <c r="Q546" i="20" a="1"/>
  <c r="Q546" i="20" s="1"/>
  <c r="O546" i="20" a="1"/>
  <c r="O546" i="20" s="1"/>
  <c r="M546" i="20" a="1"/>
  <c r="M546" i="20" s="1"/>
  <c r="K546" i="20" a="1"/>
  <c r="K546" i="20" s="1"/>
  <c r="I546" i="20" a="1"/>
  <c r="I546" i="20" s="1"/>
  <c r="G546" i="20" a="1"/>
  <c r="G546" i="20" s="1"/>
  <c r="X550" i="20" a="1"/>
  <c r="X550" i="20" s="1"/>
  <c r="P550" i="20" a="1"/>
  <c r="P550" i="20" s="1"/>
  <c r="J550" i="20" a="1"/>
  <c r="J550" i="20" s="1"/>
  <c r="Y550" i="20" a="1"/>
  <c r="Y550" i="20" s="1"/>
  <c r="W550" i="20" a="1"/>
  <c r="W550" i="20" s="1"/>
  <c r="U550" i="20" a="1"/>
  <c r="U550" i="20" s="1"/>
  <c r="S550" i="20" a="1"/>
  <c r="S550" i="20" s="1"/>
  <c r="Q550" i="20" a="1"/>
  <c r="Q550" i="20" s="1"/>
  <c r="O550" i="20" a="1"/>
  <c r="O550" i="20" s="1"/>
  <c r="M550" i="20" a="1"/>
  <c r="M550" i="20" s="1"/>
  <c r="K550" i="20" a="1"/>
  <c r="K550" i="20" s="1"/>
  <c r="I550" i="20" a="1"/>
  <c r="I550" i="20" s="1"/>
  <c r="G550" i="20" a="1"/>
  <c r="G550" i="20" s="1"/>
  <c r="V550" i="20" a="1"/>
  <c r="V550" i="20" s="1"/>
  <c r="T550" i="20" a="1"/>
  <c r="T550" i="20" s="1"/>
  <c r="R550" i="20" a="1"/>
  <c r="R550" i="20" s="1"/>
  <c r="N550" i="20" a="1"/>
  <c r="N550" i="20" s="1"/>
  <c r="L550" i="20" a="1"/>
  <c r="L550" i="20" s="1"/>
  <c r="H550" i="20" a="1"/>
  <c r="H550" i="20" s="1"/>
  <c r="Y575" i="20" a="1"/>
  <c r="Y575" i="20" s="1"/>
  <c r="W575" i="20" a="1"/>
  <c r="W575" i="20" s="1"/>
  <c r="U575" i="20" a="1"/>
  <c r="U575" i="20" s="1"/>
  <c r="S575" i="20" a="1"/>
  <c r="S575" i="20" s="1"/>
  <c r="Q575" i="20" a="1"/>
  <c r="Q575" i="20" s="1"/>
  <c r="O575" i="20" a="1"/>
  <c r="O575" i="20" s="1"/>
  <c r="M575" i="20" a="1"/>
  <c r="M575" i="20" s="1"/>
  <c r="K575" i="20" a="1"/>
  <c r="K575" i="20" s="1"/>
  <c r="I575" i="20" a="1"/>
  <c r="I575" i="20" s="1"/>
  <c r="G575" i="20" a="1"/>
  <c r="G575" i="20" s="1"/>
  <c r="X575" i="20" a="1"/>
  <c r="X575" i="20" s="1"/>
  <c r="V575" i="20" a="1"/>
  <c r="V575" i="20" s="1"/>
  <c r="T575" i="20" a="1"/>
  <c r="T575" i="20" s="1"/>
  <c r="R575" i="20" a="1"/>
  <c r="R575" i="20" s="1"/>
  <c r="P575" i="20" a="1"/>
  <c r="P575" i="20" s="1"/>
  <c r="N575" i="20" a="1"/>
  <c r="N575" i="20" s="1"/>
  <c r="L575" i="20" a="1"/>
  <c r="L575" i="20" s="1"/>
  <c r="J575" i="20" a="1"/>
  <c r="J575" i="20" s="1"/>
  <c r="H575" i="20" a="1"/>
  <c r="H575" i="20" s="1"/>
  <c r="Y576" i="20" a="1"/>
  <c r="Y576" i="20" s="1"/>
  <c r="W576" i="20" a="1"/>
  <c r="W576" i="20" s="1"/>
  <c r="U576" i="20" a="1"/>
  <c r="U576" i="20" s="1"/>
  <c r="S576" i="20" a="1"/>
  <c r="S576" i="20" s="1"/>
  <c r="Q576" i="20" a="1"/>
  <c r="Q576" i="20" s="1"/>
  <c r="O576" i="20" a="1"/>
  <c r="O576" i="20" s="1"/>
  <c r="M576" i="20" a="1"/>
  <c r="M576" i="20" s="1"/>
  <c r="K576" i="20" a="1"/>
  <c r="K576" i="20" s="1"/>
  <c r="I576" i="20" a="1"/>
  <c r="I576" i="20" s="1"/>
  <c r="G576" i="20" a="1"/>
  <c r="G576" i="20" s="1"/>
  <c r="X576" i="20" a="1"/>
  <c r="X576" i="20" s="1"/>
  <c r="V576" i="20" a="1"/>
  <c r="V576" i="20" s="1"/>
  <c r="T576" i="20" a="1"/>
  <c r="T576" i="20" s="1"/>
  <c r="R576" i="20" a="1"/>
  <c r="R576" i="20" s="1"/>
  <c r="P576" i="20" a="1"/>
  <c r="P576" i="20" s="1"/>
  <c r="N576" i="20" a="1"/>
  <c r="N576" i="20" s="1"/>
  <c r="L576" i="20" a="1"/>
  <c r="L576" i="20" s="1"/>
  <c r="J576" i="20" a="1"/>
  <c r="J576" i="20" s="1"/>
  <c r="H576" i="20" a="1"/>
  <c r="H576" i="20" s="1"/>
  <c r="X577" i="20" a="1"/>
  <c r="X577" i="20" s="1"/>
  <c r="V577" i="20" a="1"/>
  <c r="V577" i="20" s="1"/>
  <c r="T577" i="20" a="1"/>
  <c r="T577" i="20" s="1"/>
  <c r="R577" i="20" a="1"/>
  <c r="R577" i="20" s="1"/>
  <c r="P577" i="20" a="1"/>
  <c r="P577" i="20" s="1"/>
  <c r="N577" i="20" a="1"/>
  <c r="N577" i="20" s="1"/>
  <c r="L577" i="20" a="1"/>
  <c r="L577" i="20" s="1"/>
  <c r="J577" i="20" a="1"/>
  <c r="J577" i="20" s="1"/>
  <c r="H577" i="20" a="1"/>
  <c r="H577" i="20" s="1"/>
  <c r="Y577" i="20" a="1"/>
  <c r="Y577" i="20" s="1"/>
  <c r="W577" i="20" a="1"/>
  <c r="W577" i="20" s="1"/>
  <c r="U577" i="20" a="1"/>
  <c r="U577" i="20" s="1"/>
  <c r="S577" i="20" a="1"/>
  <c r="S577" i="20" s="1"/>
  <c r="Q577" i="20" a="1"/>
  <c r="Q577" i="20" s="1"/>
  <c r="O577" i="20" a="1"/>
  <c r="O577" i="20" s="1"/>
  <c r="M577" i="20" a="1"/>
  <c r="M577" i="20" s="1"/>
  <c r="K577" i="20" a="1"/>
  <c r="K577" i="20" s="1"/>
  <c r="I577" i="20" a="1"/>
  <c r="I577" i="20" s="1"/>
  <c r="G577" i="20" a="1"/>
  <c r="G577" i="20" s="1"/>
  <c r="Y574" i="20" a="1"/>
  <c r="Y574" i="20" s="1"/>
  <c r="W574" i="20" a="1"/>
  <c r="W574" i="20" s="1"/>
  <c r="U574" i="20" a="1"/>
  <c r="U574" i="20" s="1"/>
  <c r="S574" i="20" a="1"/>
  <c r="S574" i="20" s="1"/>
  <c r="Q574" i="20" a="1"/>
  <c r="Q574" i="20" s="1"/>
  <c r="O574" i="20" a="1"/>
  <c r="O574" i="20" s="1"/>
  <c r="M574" i="20" a="1"/>
  <c r="M574" i="20" s="1"/>
  <c r="K574" i="20" a="1"/>
  <c r="K574" i="20" s="1"/>
  <c r="I574" i="20" a="1"/>
  <c r="I574" i="20" s="1"/>
  <c r="G574" i="20" a="1"/>
  <c r="G574" i="20" s="1"/>
  <c r="X574" i="20" a="1"/>
  <c r="X574" i="20" s="1"/>
  <c r="V574" i="20" a="1"/>
  <c r="V574" i="20" s="1"/>
  <c r="T574" i="20" a="1"/>
  <c r="T574" i="20" s="1"/>
  <c r="R574" i="20" a="1"/>
  <c r="R574" i="20" s="1"/>
  <c r="P574" i="20" a="1"/>
  <c r="P574" i="20" s="1"/>
  <c r="N574" i="20" a="1"/>
  <c r="N574" i="20" s="1"/>
  <c r="L574" i="20" a="1"/>
  <c r="L574" i="20" s="1"/>
  <c r="J574" i="20" a="1"/>
  <c r="J574" i="20" s="1"/>
  <c r="H574" i="20" a="1"/>
  <c r="H574" i="20" s="1"/>
  <c r="V578" i="20" a="1"/>
  <c r="V578" i="20" s="1"/>
  <c r="N578" i="20" a="1"/>
  <c r="N578" i="20" s="1"/>
  <c r="H578" i="20" a="1"/>
  <c r="H578" i="20" s="1"/>
  <c r="Y578" i="20" a="1"/>
  <c r="Y578" i="20" s="1"/>
  <c r="W578" i="20" a="1"/>
  <c r="W578" i="20" s="1"/>
  <c r="U578" i="20" a="1"/>
  <c r="U578" i="20" s="1"/>
  <c r="S578" i="20" a="1"/>
  <c r="S578" i="20" s="1"/>
  <c r="Q578" i="20" a="1"/>
  <c r="Q578" i="20" s="1"/>
  <c r="O578" i="20" a="1"/>
  <c r="O578" i="20" s="1"/>
  <c r="M578" i="20" a="1"/>
  <c r="M578" i="20" s="1"/>
  <c r="K578" i="20" a="1"/>
  <c r="K578" i="20" s="1"/>
  <c r="I578" i="20" a="1"/>
  <c r="I578" i="20" s="1"/>
  <c r="G578" i="20" a="1"/>
  <c r="G578" i="20" s="1"/>
  <c r="X578" i="20" a="1"/>
  <c r="X578" i="20" s="1"/>
  <c r="T578" i="20" a="1"/>
  <c r="T578" i="20" s="1"/>
  <c r="R578" i="20" a="1"/>
  <c r="R578" i="20" s="1"/>
  <c r="P578" i="20" a="1"/>
  <c r="P578" i="20" s="1"/>
  <c r="L578" i="20" a="1"/>
  <c r="L578" i="20" s="1"/>
  <c r="J578" i="20" a="1"/>
  <c r="J578" i="20" s="1"/>
  <c r="S603" i="20" a="1"/>
  <c r="S603" i="20" s="1"/>
  <c r="Y603" i="20" a="1"/>
  <c r="Y603" i="20" s="1"/>
  <c r="W603" i="20" a="1"/>
  <c r="W603" i="20" s="1"/>
  <c r="U603" i="20" a="1"/>
  <c r="U603" i="20" s="1"/>
  <c r="Q603" i="20" a="1"/>
  <c r="Q603" i="20" s="1"/>
  <c r="O603" i="20" a="1"/>
  <c r="O603" i="20" s="1"/>
  <c r="M603" i="20" a="1"/>
  <c r="M603" i="20" s="1"/>
  <c r="K603" i="20" a="1"/>
  <c r="K603" i="20" s="1"/>
  <c r="I603" i="20" a="1"/>
  <c r="I603" i="20" s="1"/>
  <c r="G603" i="20" a="1"/>
  <c r="G603" i="20" s="1"/>
  <c r="X603" i="20" a="1"/>
  <c r="X603" i="20" s="1"/>
  <c r="V603" i="20" a="1"/>
  <c r="V603" i="20" s="1"/>
  <c r="T603" i="20" a="1"/>
  <c r="T603" i="20" s="1"/>
  <c r="R603" i="20" a="1"/>
  <c r="R603" i="20" s="1"/>
  <c r="P603" i="20" a="1"/>
  <c r="P603" i="20" s="1"/>
  <c r="N603" i="20" a="1"/>
  <c r="N603" i="20" s="1"/>
  <c r="L603" i="20" a="1"/>
  <c r="L603" i="20" s="1"/>
  <c r="J603" i="20" a="1"/>
  <c r="J603" i="20" s="1"/>
  <c r="H603" i="20" a="1"/>
  <c r="H603" i="20" s="1"/>
  <c r="X604" i="20" a="1"/>
  <c r="X604" i="20" s="1"/>
  <c r="V604" i="20" a="1"/>
  <c r="V604" i="20" s="1"/>
  <c r="T604" i="20" a="1"/>
  <c r="T604" i="20" s="1"/>
  <c r="R604" i="20" a="1"/>
  <c r="R604" i="20" s="1"/>
  <c r="P604" i="20" a="1"/>
  <c r="P604" i="20" s="1"/>
  <c r="N604" i="20" a="1"/>
  <c r="N604" i="20" s="1"/>
  <c r="L604" i="20" a="1"/>
  <c r="L604" i="20" s="1"/>
  <c r="J604" i="20" a="1"/>
  <c r="J604" i="20" s="1"/>
  <c r="H604" i="20" a="1"/>
  <c r="H604" i="20" s="1"/>
  <c r="Y604" i="20" a="1"/>
  <c r="Y604" i="20" s="1"/>
  <c r="W604" i="20" a="1"/>
  <c r="W604" i="20" s="1"/>
  <c r="U604" i="20" a="1"/>
  <c r="U604" i="20" s="1"/>
  <c r="S604" i="20" a="1"/>
  <c r="S604" i="20" s="1"/>
  <c r="Q604" i="20" a="1"/>
  <c r="Q604" i="20" s="1"/>
  <c r="O604" i="20" a="1"/>
  <c r="O604" i="20" s="1"/>
  <c r="M604" i="20" a="1"/>
  <c r="M604" i="20" s="1"/>
  <c r="K604" i="20" a="1"/>
  <c r="K604" i="20" s="1"/>
  <c r="I604" i="20" a="1"/>
  <c r="I604" i="20" s="1"/>
  <c r="G604" i="20" a="1"/>
  <c r="G604" i="20" s="1"/>
  <c r="Y605" i="20" a="1"/>
  <c r="Y605" i="20" s="1"/>
  <c r="W605" i="20" a="1"/>
  <c r="W605" i="20" s="1"/>
  <c r="U605" i="20" a="1"/>
  <c r="U605" i="20" s="1"/>
  <c r="S605" i="20" a="1"/>
  <c r="S605" i="20" s="1"/>
  <c r="Q605" i="20" a="1"/>
  <c r="Q605" i="20" s="1"/>
  <c r="O605" i="20" a="1"/>
  <c r="O605" i="20" s="1"/>
  <c r="M605" i="20" a="1"/>
  <c r="M605" i="20" s="1"/>
  <c r="K605" i="20" a="1"/>
  <c r="K605" i="20" s="1"/>
  <c r="I605" i="20" a="1"/>
  <c r="I605" i="20" s="1"/>
  <c r="G605" i="20" a="1"/>
  <c r="G605" i="20" s="1"/>
  <c r="X605" i="20" a="1"/>
  <c r="X605" i="20" s="1"/>
  <c r="V605" i="20" a="1"/>
  <c r="V605" i="20" s="1"/>
  <c r="T605" i="20" a="1"/>
  <c r="T605" i="20" s="1"/>
  <c r="R605" i="20" a="1"/>
  <c r="R605" i="20" s="1"/>
  <c r="P605" i="20" a="1"/>
  <c r="P605" i="20" s="1"/>
  <c r="N605" i="20" a="1"/>
  <c r="N605" i="20" s="1"/>
  <c r="L605" i="20" a="1"/>
  <c r="L605" i="20" s="1"/>
  <c r="J605" i="20" a="1"/>
  <c r="J605" i="20" s="1"/>
  <c r="H605" i="20" a="1"/>
  <c r="H605" i="20" s="1"/>
  <c r="Y602" i="20" a="1"/>
  <c r="Y602" i="20" s="1"/>
  <c r="W602" i="20" a="1"/>
  <c r="W602" i="20" s="1"/>
  <c r="U602" i="20" a="1"/>
  <c r="U602" i="20" s="1"/>
  <c r="S602" i="20" a="1"/>
  <c r="S602" i="20" s="1"/>
  <c r="Q602" i="20" a="1"/>
  <c r="Q602" i="20" s="1"/>
  <c r="O602" i="20" a="1"/>
  <c r="O602" i="20" s="1"/>
  <c r="M602" i="20" a="1"/>
  <c r="M602" i="20" s="1"/>
  <c r="K602" i="20" a="1"/>
  <c r="K602" i="20" s="1"/>
  <c r="I602" i="20" a="1"/>
  <c r="I602" i="20" s="1"/>
  <c r="G602" i="20" a="1"/>
  <c r="G602" i="20" s="1"/>
  <c r="X602" i="20" a="1"/>
  <c r="X602" i="20" s="1"/>
  <c r="V602" i="20" a="1"/>
  <c r="V602" i="20" s="1"/>
  <c r="T602" i="20" a="1"/>
  <c r="T602" i="20" s="1"/>
  <c r="R602" i="20" a="1"/>
  <c r="R602" i="20" s="1"/>
  <c r="P602" i="20" a="1"/>
  <c r="P602" i="20" s="1"/>
  <c r="N602" i="20" a="1"/>
  <c r="N602" i="20" s="1"/>
  <c r="L602" i="20" a="1"/>
  <c r="L602" i="20" s="1"/>
  <c r="J602" i="20" a="1"/>
  <c r="J602" i="20" s="1"/>
  <c r="H602" i="20" a="1"/>
  <c r="H602" i="20" s="1"/>
  <c r="Y606" i="20" a="1"/>
  <c r="Y606" i="20" s="1"/>
  <c r="W606" i="20" a="1"/>
  <c r="W606" i="20" s="1"/>
  <c r="U606" i="20" a="1"/>
  <c r="U606" i="20" s="1"/>
  <c r="S606" i="20" a="1"/>
  <c r="S606" i="20" s="1"/>
  <c r="Q606" i="20" a="1"/>
  <c r="Q606" i="20" s="1"/>
  <c r="O606" i="20" a="1"/>
  <c r="O606" i="20" s="1"/>
  <c r="M606" i="20" a="1"/>
  <c r="M606" i="20" s="1"/>
  <c r="K606" i="20" a="1"/>
  <c r="K606" i="20" s="1"/>
  <c r="I606" i="20" a="1"/>
  <c r="I606" i="20" s="1"/>
  <c r="G606" i="20" a="1"/>
  <c r="G606" i="20" s="1"/>
  <c r="X606" i="20" a="1"/>
  <c r="X606" i="20" s="1"/>
  <c r="V606" i="20" a="1"/>
  <c r="V606" i="20" s="1"/>
  <c r="T606" i="20" a="1"/>
  <c r="T606" i="20" s="1"/>
  <c r="R606" i="20" a="1"/>
  <c r="R606" i="20" s="1"/>
  <c r="P606" i="20" a="1"/>
  <c r="P606" i="20" s="1"/>
  <c r="N606" i="20" a="1"/>
  <c r="N606" i="20" s="1"/>
  <c r="L606" i="20" a="1"/>
  <c r="L606" i="20" s="1"/>
  <c r="J606" i="20" a="1"/>
  <c r="J606" i="20" s="1"/>
  <c r="H606" i="20" a="1"/>
  <c r="H606" i="20" s="1"/>
  <c r="S631" i="20" a="1"/>
  <c r="S631" i="20" s="1"/>
  <c r="Y631" i="20" a="1"/>
  <c r="Y631" i="20" s="1"/>
  <c r="W631" i="20" a="1"/>
  <c r="W631" i="20" s="1"/>
  <c r="U631" i="20" a="1"/>
  <c r="U631" i="20" s="1"/>
  <c r="Q631" i="20" a="1"/>
  <c r="Q631" i="20" s="1"/>
  <c r="O631" i="20" a="1"/>
  <c r="O631" i="20" s="1"/>
  <c r="M631" i="20" a="1"/>
  <c r="M631" i="20" s="1"/>
  <c r="K631" i="20" a="1"/>
  <c r="K631" i="20" s="1"/>
  <c r="I631" i="20" a="1"/>
  <c r="I631" i="20" s="1"/>
  <c r="G631" i="20" a="1"/>
  <c r="G631" i="20" s="1"/>
  <c r="X631" i="20" a="1"/>
  <c r="X631" i="20" s="1"/>
  <c r="V631" i="20" a="1"/>
  <c r="V631" i="20" s="1"/>
  <c r="T631" i="20" a="1"/>
  <c r="T631" i="20" s="1"/>
  <c r="R631" i="20" a="1"/>
  <c r="R631" i="20" s="1"/>
  <c r="P631" i="20" a="1"/>
  <c r="P631" i="20" s="1"/>
  <c r="N631" i="20" a="1"/>
  <c r="N631" i="20" s="1"/>
  <c r="L631" i="20" a="1"/>
  <c r="L631" i="20" s="1"/>
  <c r="J631" i="20" a="1"/>
  <c r="J631" i="20" s="1"/>
  <c r="H631" i="20" a="1"/>
  <c r="H631" i="20" s="1"/>
  <c r="X632" i="20" a="1"/>
  <c r="X632" i="20" s="1"/>
  <c r="V632" i="20" a="1"/>
  <c r="V632" i="20" s="1"/>
  <c r="T632" i="20" a="1"/>
  <c r="T632" i="20" s="1"/>
  <c r="R632" i="20" a="1"/>
  <c r="R632" i="20" s="1"/>
  <c r="P632" i="20" a="1"/>
  <c r="P632" i="20" s="1"/>
  <c r="N632" i="20" a="1"/>
  <c r="N632" i="20" s="1"/>
  <c r="L632" i="20" a="1"/>
  <c r="L632" i="20" s="1"/>
  <c r="J632" i="20" a="1"/>
  <c r="J632" i="20" s="1"/>
  <c r="H632" i="20" a="1"/>
  <c r="H632" i="20" s="1"/>
  <c r="Y632" i="20" a="1"/>
  <c r="Y632" i="20" s="1"/>
  <c r="W632" i="20" a="1"/>
  <c r="W632" i="20" s="1"/>
  <c r="U632" i="20" a="1"/>
  <c r="U632" i="20" s="1"/>
  <c r="S632" i="20" a="1"/>
  <c r="S632" i="20" s="1"/>
  <c r="Q632" i="20" a="1"/>
  <c r="Q632" i="20" s="1"/>
  <c r="O632" i="20" a="1"/>
  <c r="O632" i="20" s="1"/>
  <c r="M632" i="20" a="1"/>
  <c r="M632" i="20" s="1"/>
  <c r="K632" i="20" a="1"/>
  <c r="K632" i="20" s="1"/>
  <c r="I632" i="20" a="1"/>
  <c r="I632" i="20" s="1"/>
  <c r="G632" i="20" a="1"/>
  <c r="G632" i="20" s="1"/>
  <c r="Y633" i="20" a="1"/>
  <c r="Y633" i="20" s="1"/>
  <c r="W633" i="20" a="1"/>
  <c r="W633" i="20" s="1"/>
  <c r="U633" i="20" a="1"/>
  <c r="U633" i="20" s="1"/>
  <c r="S633" i="20" a="1"/>
  <c r="S633" i="20" s="1"/>
  <c r="Q633" i="20" a="1"/>
  <c r="Q633" i="20" s="1"/>
  <c r="O633" i="20" a="1"/>
  <c r="O633" i="20" s="1"/>
  <c r="M633" i="20" a="1"/>
  <c r="M633" i="20" s="1"/>
  <c r="K633" i="20" a="1"/>
  <c r="K633" i="20" s="1"/>
  <c r="I633" i="20" a="1"/>
  <c r="I633" i="20" s="1"/>
  <c r="G633" i="20" a="1"/>
  <c r="G633" i="20" s="1"/>
  <c r="X633" i="20" a="1"/>
  <c r="X633" i="20" s="1"/>
  <c r="V633" i="20" a="1"/>
  <c r="V633" i="20" s="1"/>
  <c r="T633" i="20" a="1"/>
  <c r="T633" i="20" s="1"/>
  <c r="R633" i="20" a="1"/>
  <c r="R633" i="20" s="1"/>
  <c r="P633" i="20" a="1"/>
  <c r="P633" i="20" s="1"/>
  <c r="N633" i="20" a="1"/>
  <c r="N633" i="20" s="1"/>
  <c r="L633" i="20" a="1"/>
  <c r="L633" i="20" s="1"/>
  <c r="J633" i="20" a="1"/>
  <c r="J633" i="20" s="1"/>
  <c r="H633" i="20" a="1"/>
  <c r="H633" i="20" s="1"/>
  <c r="Y630" i="20" a="1"/>
  <c r="Y630" i="20" s="1"/>
  <c r="W630" i="20" a="1"/>
  <c r="W630" i="20" s="1"/>
  <c r="U630" i="20" a="1"/>
  <c r="U630" i="20" s="1"/>
  <c r="S630" i="20" a="1"/>
  <c r="S630" i="20" s="1"/>
  <c r="Q630" i="20" a="1"/>
  <c r="Q630" i="20" s="1"/>
  <c r="O630" i="20" a="1"/>
  <c r="O630" i="20" s="1"/>
  <c r="M630" i="20" a="1"/>
  <c r="M630" i="20" s="1"/>
  <c r="K630" i="20" a="1"/>
  <c r="K630" i="20" s="1"/>
  <c r="I630" i="20" a="1"/>
  <c r="I630" i="20" s="1"/>
  <c r="G630" i="20" a="1"/>
  <c r="G630" i="20" s="1"/>
  <c r="X630" i="20" a="1"/>
  <c r="X630" i="20" s="1"/>
  <c r="V630" i="20" a="1"/>
  <c r="V630" i="20" s="1"/>
  <c r="T630" i="20" a="1"/>
  <c r="T630" i="20" s="1"/>
  <c r="R630" i="20" a="1"/>
  <c r="R630" i="20" s="1"/>
  <c r="P630" i="20" a="1"/>
  <c r="P630" i="20" s="1"/>
  <c r="N630" i="20" a="1"/>
  <c r="N630" i="20" s="1"/>
  <c r="L630" i="20" a="1"/>
  <c r="L630" i="20" s="1"/>
  <c r="J630" i="20" a="1"/>
  <c r="J630" i="20" s="1"/>
  <c r="H630" i="20" a="1"/>
  <c r="H630" i="20" s="1"/>
  <c r="Y634" i="20" a="1"/>
  <c r="Y634" i="20" s="1"/>
  <c r="W634" i="20" a="1"/>
  <c r="W634" i="20" s="1"/>
  <c r="U634" i="20" a="1"/>
  <c r="U634" i="20" s="1"/>
  <c r="S634" i="20" a="1"/>
  <c r="S634" i="20" s="1"/>
  <c r="Q634" i="20" a="1"/>
  <c r="Q634" i="20" s="1"/>
  <c r="O634" i="20" a="1"/>
  <c r="O634" i="20" s="1"/>
  <c r="M634" i="20" a="1"/>
  <c r="M634" i="20" s="1"/>
  <c r="K634" i="20" a="1"/>
  <c r="K634" i="20" s="1"/>
  <c r="I634" i="20" a="1"/>
  <c r="I634" i="20" s="1"/>
  <c r="G634" i="20" a="1"/>
  <c r="G634" i="20" s="1"/>
  <c r="X634" i="20" a="1"/>
  <c r="X634" i="20" s="1"/>
  <c r="V634" i="20" a="1"/>
  <c r="V634" i="20" s="1"/>
  <c r="T634" i="20" a="1"/>
  <c r="T634" i="20" s="1"/>
  <c r="R634" i="20" a="1"/>
  <c r="R634" i="20" s="1"/>
  <c r="P634" i="20" a="1"/>
  <c r="P634" i="20" s="1"/>
  <c r="N634" i="20" a="1"/>
  <c r="N634" i="20" s="1"/>
  <c r="L634" i="20" a="1"/>
  <c r="L634" i="20" s="1"/>
  <c r="J634" i="20" a="1"/>
  <c r="J634" i="20" s="1"/>
  <c r="H634" i="20" a="1"/>
  <c r="H634" i="20" s="1"/>
  <c r="Y659" i="20" a="1"/>
  <c r="Y659" i="20" s="1"/>
  <c r="W659" i="20" a="1"/>
  <c r="W659" i="20" s="1"/>
  <c r="U659" i="20" a="1"/>
  <c r="U659" i="20" s="1"/>
  <c r="S659" i="20" a="1"/>
  <c r="S659" i="20" s="1"/>
  <c r="Q659" i="20" a="1"/>
  <c r="Q659" i="20" s="1"/>
  <c r="O659" i="20" a="1"/>
  <c r="O659" i="20" s="1"/>
  <c r="M659" i="20" a="1"/>
  <c r="M659" i="20" s="1"/>
  <c r="K659" i="20" a="1"/>
  <c r="K659" i="20" s="1"/>
  <c r="I659" i="20" a="1"/>
  <c r="I659" i="20" s="1"/>
  <c r="G659" i="20" a="1"/>
  <c r="G659" i="20" s="1"/>
  <c r="X659" i="20" a="1"/>
  <c r="X659" i="20" s="1"/>
  <c r="V659" i="20" a="1"/>
  <c r="V659" i="20" s="1"/>
  <c r="T659" i="20" a="1"/>
  <c r="T659" i="20" s="1"/>
  <c r="R659" i="20" a="1"/>
  <c r="R659" i="20" s="1"/>
  <c r="P659" i="20" a="1"/>
  <c r="P659" i="20" s="1"/>
  <c r="N659" i="20" a="1"/>
  <c r="N659" i="20" s="1"/>
  <c r="L659" i="20" a="1"/>
  <c r="L659" i="20" s="1"/>
  <c r="J659" i="20" a="1"/>
  <c r="J659" i="20" s="1"/>
  <c r="H659" i="20" a="1"/>
  <c r="H659" i="20" s="1"/>
  <c r="X660" i="20" a="1"/>
  <c r="X660" i="20" s="1"/>
  <c r="V660" i="20" a="1"/>
  <c r="V660" i="20" s="1"/>
  <c r="T660" i="20" a="1"/>
  <c r="T660" i="20" s="1"/>
  <c r="R660" i="20" a="1"/>
  <c r="R660" i="20" s="1"/>
  <c r="P660" i="20" a="1"/>
  <c r="P660" i="20" s="1"/>
  <c r="N660" i="20" a="1"/>
  <c r="N660" i="20" s="1"/>
  <c r="L660" i="20" a="1"/>
  <c r="L660" i="20" s="1"/>
  <c r="J660" i="20" a="1"/>
  <c r="J660" i="20" s="1"/>
  <c r="H660" i="20" a="1"/>
  <c r="H660" i="20" s="1"/>
  <c r="Y660" i="20" a="1"/>
  <c r="Y660" i="20" s="1"/>
  <c r="W660" i="20" a="1"/>
  <c r="W660" i="20" s="1"/>
  <c r="U660" i="20" a="1"/>
  <c r="U660" i="20" s="1"/>
  <c r="S660" i="20" a="1"/>
  <c r="S660" i="20" s="1"/>
  <c r="Q660" i="20" a="1"/>
  <c r="Q660" i="20" s="1"/>
  <c r="O660" i="20" a="1"/>
  <c r="O660" i="20" s="1"/>
  <c r="M660" i="20" a="1"/>
  <c r="M660" i="20" s="1"/>
  <c r="K660" i="20" a="1"/>
  <c r="K660" i="20" s="1"/>
  <c r="I660" i="20" a="1"/>
  <c r="I660" i="20" s="1"/>
  <c r="G660" i="20" a="1"/>
  <c r="G660" i="20" s="1"/>
  <c r="Y661" i="20" a="1"/>
  <c r="Y661" i="20" s="1"/>
  <c r="W661" i="20" a="1"/>
  <c r="W661" i="20" s="1"/>
  <c r="U661" i="20" a="1"/>
  <c r="U661" i="20" s="1"/>
  <c r="S661" i="20" a="1"/>
  <c r="S661" i="20" s="1"/>
  <c r="Q661" i="20" a="1"/>
  <c r="Q661" i="20" s="1"/>
  <c r="O661" i="20" a="1"/>
  <c r="O661" i="20" s="1"/>
  <c r="M661" i="20" a="1"/>
  <c r="M661" i="20" s="1"/>
  <c r="K661" i="20" a="1"/>
  <c r="K661" i="20" s="1"/>
  <c r="I661" i="20" a="1"/>
  <c r="I661" i="20" s="1"/>
  <c r="G661" i="20" a="1"/>
  <c r="G661" i="20" s="1"/>
  <c r="X661" i="20" a="1"/>
  <c r="X661" i="20" s="1"/>
  <c r="V661" i="20" a="1"/>
  <c r="V661" i="20" s="1"/>
  <c r="T661" i="20" a="1"/>
  <c r="T661" i="20" s="1"/>
  <c r="R661" i="20" a="1"/>
  <c r="R661" i="20" s="1"/>
  <c r="P661" i="20" a="1"/>
  <c r="P661" i="20" s="1"/>
  <c r="N661" i="20" a="1"/>
  <c r="N661" i="20" s="1"/>
  <c r="L661" i="20" a="1"/>
  <c r="L661" i="20" s="1"/>
  <c r="J661" i="20" a="1"/>
  <c r="J661" i="20" s="1"/>
  <c r="H661" i="20" a="1"/>
  <c r="H661" i="20" s="1"/>
  <c r="Y658" i="20" a="1"/>
  <c r="Y658" i="20" s="1"/>
  <c r="W658" i="20" a="1"/>
  <c r="W658" i="20" s="1"/>
  <c r="U658" i="20" a="1"/>
  <c r="U658" i="20" s="1"/>
  <c r="S658" i="20" a="1"/>
  <c r="S658" i="20" s="1"/>
  <c r="Q658" i="20" a="1"/>
  <c r="Q658" i="20" s="1"/>
  <c r="O658" i="20" a="1"/>
  <c r="O658" i="20" s="1"/>
  <c r="M658" i="20" a="1"/>
  <c r="M658" i="20" s="1"/>
  <c r="K658" i="20" a="1"/>
  <c r="K658" i="20" s="1"/>
  <c r="I658" i="20" a="1"/>
  <c r="I658" i="20" s="1"/>
  <c r="G658" i="20" a="1"/>
  <c r="G658" i="20" s="1"/>
  <c r="X658" i="20" a="1"/>
  <c r="X658" i="20" s="1"/>
  <c r="V658" i="20" a="1"/>
  <c r="V658" i="20" s="1"/>
  <c r="T658" i="20" a="1"/>
  <c r="T658" i="20" s="1"/>
  <c r="R658" i="20" a="1"/>
  <c r="R658" i="20" s="1"/>
  <c r="P658" i="20" a="1"/>
  <c r="P658" i="20" s="1"/>
  <c r="N658" i="20" a="1"/>
  <c r="N658" i="20" s="1"/>
  <c r="L658" i="20" a="1"/>
  <c r="L658" i="20" s="1"/>
  <c r="J658" i="20" a="1"/>
  <c r="J658" i="20" s="1"/>
  <c r="H658" i="20" a="1"/>
  <c r="H658" i="20" s="1"/>
  <c r="Y662" i="20" a="1"/>
  <c r="Y662" i="20" s="1"/>
  <c r="W662" i="20" a="1"/>
  <c r="W662" i="20" s="1"/>
  <c r="U662" i="20" a="1"/>
  <c r="U662" i="20" s="1"/>
  <c r="S662" i="20" a="1"/>
  <c r="S662" i="20" s="1"/>
  <c r="Q662" i="20" a="1"/>
  <c r="Q662" i="20" s="1"/>
  <c r="O662" i="20" a="1"/>
  <c r="O662" i="20" s="1"/>
  <c r="M662" i="20" a="1"/>
  <c r="M662" i="20" s="1"/>
  <c r="K662" i="20" a="1"/>
  <c r="K662" i="20" s="1"/>
  <c r="I662" i="20" a="1"/>
  <c r="I662" i="20" s="1"/>
  <c r="G662" i="20" a="1"/>
  <c r="G662" i="20" s="1"/>
  <c r="X662" i="20" a="1"/>
  <c r="X662" i="20" s="1"/>
  <c r="V662" i="20" a="1"/>
  <c r="V662" i="20" s="1"/>
  <c r="T662" i="20" a="1"/>
  <c r="T662" i="20" s="1"/>
  <c r="R662" i="20" a="1"/>
  <c r="R662" i="20" s="1"/>
  <c r="P662" i="20" a="1"/>
  <c r="P662" i="20" s="1"/>
  <c r="N662" i="20" a="1"/>
  <c r="N662" i="20" s="1"/>
  <c r="L662" i="20" a="1"/>
  <c r="L662" i="20" s="1"/>
  <c r="J662" i="20" a="1"/>
  <c r="J662" i="20" s="1"/>
  <c r="H662" i="20" a="1"/>
  <c r="H662" i="20" s="1"/>
  <c r="X687" i="20" a="1"/>
  <c r="X687" i="20" s="1"/>
  <c r="V687" i="20" a="1"/>
  <c r="V687" i="20" s="1"/>
  <c r="T687" i="20" a="1"/>
  <c r="T687" i="20" s="1"/>
  <c r="R687" i="20" a="1"/>
  <c r="R687" i="20" s="1"/>
  <c r="P687" i="20" a="1"/>
  <c r="P687" i="20" s="1"/>
  <c r="N687" i="20" a="1"/>
  <c r="N687" i="20" s="1"/>
  <c r="L687" i="20" a="1"/>
  <c r="L687" i="20" s="1"/>
  <c r="J687" i="20" a="1"/>
  <c r="J687" i="20" s="1"/>
  <c r="H687" i="20" a="1"/>
  <c r="H687" i="20" s="1"/>
  <c r="Y687" i="20" a="1"/>
  <c r="Y687" i="20" s="1"/>
  <c r="W687" i="20" a="1"/>
  <c r="W687" i="20" s="1"/>
  <c r="U687" i="20" a="1"/>
  <c r="U687" i="20" s="1"/>
  <c r="S687" i="20" a="1"/>
  <c r="S687" i="20" s="1"/>
  <c r="Q687" i="20" a="1"/>
  <c r="Q687" i="20" s="1"/>
  <c r="O687" i="20" a="1"/>
  <c r="O687" i="20" s="1"/>
  <c r="M687" i="20" a="1"/>
  <c r="M687" i="20" s="1"/>
  <c r="K687" i="20" a="1"/>
  <c r="K687" i="20" s="1"/>
  <c r="I687" i="20" a="1"/>
  <c r="I687" i="20" s="1"/>
  <c r="G687" i="20" a="1"/>
  <c r="G687" i="20" s="1"/>
  <c r="X688" i="20" a="1"/>
  <c r="X688" i="20" s="1"/>
  <c r="V688" i="20" a="1"/>
  <c r="V688" i="20" s="1"/>
  <c r="T688" i="20" a="1"/>
  <c r="T688" i="20" s="1"/>
  <c r="R688" i="20" a="1"/>
  <c r="R688" i="20" s="1"/>
  <c r="P688" i="20" a="1"/>
  <c r="P688" i="20" s="1"/>
  <c r="N688" i="20" a="1"/>
  <c r="N688" i="20" s="1"/>
  <c r="L688" i="20" a="1"/>
  <c r="L688" i="20" s="1"/>
  <c r="J688" i="20" a="1"/>
  <c r="J688" i="20" s="1"/>
  <c r="H688" i="20" a="1"/>
  <c r="H688" i="20" s="1"/>
  <c r="Y688" i="20" a="1"/>
  <c r="Y688" i="20" s="1"/>
  <c r="W688" i="20" a="1"/>
  <c r="W688" i="20" s="1"/>
  <c r="U688" i="20" a="1"/>
  <c r="U688" i="20" s="1"/>
  <c r="S688" i="20" a="1"/>
  <c r="S688" i="20" s="1"/>
  <c r="Q688" i="20" a="1"/>
  <c r="Q688" i="20" s="1"/>
  <c r="O688" i="20" a="1"/>
  <c r="O688" i="20" s="1"/>
  <c r="M688" i="20" a="1"/>
  <c r="M688" i="20" s="1"/>
  <c r="K688" i="20" a="1"/>
  <c r="K688" i="20" s="1"/>
  <c r="I688" i="20" a="1"/>
  <c r="I688" i="20" s="1"/>
  <c r="G688" i="20" a="1"/>
  <c r="G688" i="20" s="1"/>
  <c r="V689" i="20" a="1"/>
  <c r="V689" i="20" s="1"/>
  <c r="Y689" i="20" a="1"/>
  <c r="Y689" i="20" s="1"/>
  <c r="W689" i="20" a="1"/>
  <c r="W689" i="20" s="1"/>
  <c r="U689" i="20" a="1"/>
  <c r="U689" i="20" s="1"/>
  <c r="S689" i="20" a="1"/>
  <c r="S689" i="20" s="1"/>
  <c r="Q689" i="20" a="1"/>
  <c r="Q689" i="20" s="1"/>
  <c r="O689" i="20" a="1"/>
  <c r="O689" i="20" s="1"/>
  <c r="M689" i="20" a="1"/>
  <c r="M689" i="20" s="1"/>
  <c r="K689" i="20" a="1"/>
  <c r="K689" i="20" s="1"/>
  <c r="I689" i="20" a="1"/>
  <c r="I689" i="20" s="1"/>
  <c r="G689" i="20" a="1"/>
  <c r="G689" i="20" s="1"/>
  <c r="X689" i="20" a="1"/>
  <c r="X689" i="20" s="1"/>
  <c r="T689" i="20" a="1"/>
  <c r="T689" i="20" s="1"/>
  <c r="P689" i="20" a="1"/>
  <c r="P689" i="20" s="1"/>
  <c r="N689" i="20" a="1"/>
  <c r="N689" i="20" s="1"/>
  <c r="L689" i="20" a="1"/>
  <c r="L689" i="20" s="1"/>
  <c r="J689" i="20" a="1"/>
  <c r="J689" i="20" s="1"/>
  <c r="H689" i="20" a="1"/>
  <c r="H689" i="20" s="1"/>
  <c r="R689" i="20" a="1"/>
  <c r="R689" i="20" s="1"/>
  <c r="Y686" i="20" a="1"/>
  <c r="Y686" i="20" s="1"/>
  <c r="W686" i="20" a="1"/>
  <c r="W686" i="20" s="1"/>
  <c r="U686" i="20" a="1"/>
  <c r="U686" i="20" s="1"/>
  <c r="S686" i="20" a="1"/>
  <c r="S686" i="20" s="1"/>
  <c r="Q686" i="20" a="1"/>
  <c r="Q686" i="20" s="1"/>
  <c r="O686" i="20" a="1"/>
  <c r="O686" i="20" s="1"/>
  <c r="M686" i="20" a="1"/>
  <c r="M686" i="20" s="1"/>
  <c r="K686" i="20" a="1"/>
  <c r="K686" i="20" s="1"/>
  <c r="I686" i="20" a="1"/>
  <c r="I686" i="20" s="1"/>
  <c r="G686" i="20" a="1"/>
  <c r="G686" i="20" s="1"/>
  <c r="X686" i="20" a="1"/>
  <c r="X686" i="20" s="1"/>
  <c r="V686" i="20" a="1"/>
  <c r="V686" i="20" s="1"/>
  <c r="T686" i="20" a="1"/>
  <c r="T686" i="20" s="1"/>
  <c r="R686" i="20" a="1"/>
  <c r="R686" i="20" s="1"/>
  <c r="P686" i="20" a="1"/>
  <c r="P686" i="20" s="1"/>
  <c r="N686" i="20" a="1"/>
  <c r="N686" i="20" s="1"/>
  <c r="L686" i="20" a="1"/>
  <c r="L686" i="20" s="1"/>
  <c r="J686" i="20" a="1"/>
  <c r="J686" i="20" s="1"/>
  <c r="H686" i="20" a="1"/>
  <c r="H686" i="20" s="1"/>
  <c r="Y690" i="20" a="1"/>
  <c r="Y690" i="20" s="1"/>
  <c r="W690" i="20" a="1"/>
  <c r="W690" i="20" s="1"/>
  <c r="U690" i="20" a="1"/>
  <c r="U690" i="20" s="1"/>
  <c r="S690" i="20" a="1"/>
  <c r="S690" i="20" s="1"/>
  <c r="Q690" i="20" a="1"/>
  <c r="Q690" i="20" s="1"/>
  <c r="O690" i="20" a="1"/>
  <c r="O690" i="20" s="1"/>
  <c r="M690" i="20" a="1"/>
  <c r="M690" i="20" s="1"/>
  <c r="K690" i="20" a="1"/>
  <c r="K690" i="20" s="1"/>
  <c r="I690" i="20" a="1"/>
  <c r="I690" i="20" s="1"/>
  <c r="G690" i="20" a="1"/>
  <c r="G690" i="20" s="1"/>
  <c r="X690" i="20" a="1"/>
  <c r="X690" i="20" s="1"/>
  <c r="V690" i="20" a="1"/>
  <c r="V690" i="20" s="1"/>
  <c r="T690" i="20" a="1"/>
  <c r="T690" i="20" s="1"/>
  <c r="R690" i="20" a="1"/>
  <c r="R690" i="20" s="1"/>
  <c r="P690" i="20" a="1"/>
  <c r="P690" i="20" s="1"/>
  <c r="N690" i="20" a="1"/>
  <c r="N690" i="20" s="1"/>
  <c r="L690" i="20" a="1"/>
  <c r="L690" i="20" s="1"/>
  <c r="J690" i="20" a="1"/>
  <c r="J690" i="20" s="1"/>
  <c r="H690" i="20" a="1"/>
  <c r="H690" i="20" s="1"/>
  <c r="Y715" i="20" a="1"/>
  <c r="Y715" i="20" s="1"/>
  <c r="W715" i="20" a="1"/>
  <c r="W715" i="20" s="1"/>
  <c r="U715" i="20" a="1"/>
  <c r="U715" i="20" s="1"/>
  <c r="S715" i="20" a="1"/>
  <c r="S715" i="20" s="1"/>
  <c r="Q715" i="20" a="1"/>
  <c r="Q715" i="20" s="1"/>
  <c r="O715" i="20" a="1"/>
  <c r="O715" i="20" s="1"/>
  <c r="M715" i="20" a="1"/>
  <c r="M715" i="20" s="1"/>
  <c r="K715" i="20" a="1"/>
  <c r="K715" i="20" s="1"/>
  <c r="I715" i="20" a="1"/>
  <c r="I715" i="20" s="1"/>
  <c r="G715" i="20" a="1"/>
  <c r="G715" i="20" s="1"/>
  <c r="X715" i="20" a="1"/>
  <c r="X715" i="20" s="1"/>
  <c r="V715" i="20" a="1"/>
  <c r="V715" i="20" s="1"/>
  <c r="T715" i="20" a="1"/>
  <c r="T715" i="20" s="1"/>
  <c r="R715" i="20" a="1"/>
  <c r="R715" i="20" s="1"/>
  <c r="P715" i="20" a="1"/>
  <c r="P715" i="20" s="1"/>
  <c r="N715" i="20" a="1"/>
  <c r="N715" i="20" s="1"/>
  <c r="L715" i="20" a="1"/>
  <c r="L715" i="20" s="1"/>
  <c r="J715" i="20" a="1"/>
  <c r="J715" i="20" s="1"/>
  <c r="H715" i="20" a="1"/>
  <c r="H715" i="20" s="1"/>
  <c r="Y716" i="20" a="1"/>
  <c r="Y716" i="20" s="1"/>
  <c r="W716" i="20" a="1"/>
  <c r="W716" i="20" s="1"/>
  <c r="U716" i="20" a="1"/>
  <c r="U716" i="20" s="1"/>
  <c r="S716" i="20" a="1"/>
  <c r="S716" i="20" s="1"/>
  <c r="Q716" i="20" a="1"/>
  <c r="Q716" i="20" s="1"/>
  <c r="O716" i="20" a="1"/>
  <c r="O716" i="20" s="1"/>
  <c r="M716" i="20" a="1"/>
  <c r="M716" i="20" s="1"/>
  <c r="K716" i="20" a="1"/>
  <c r="K716" i="20" s="1"/>
  <c r="I716" i="20" a="1"/>
  <c r="I716" i="20" s="1"/>
  <c r="G716" i="20" a="1"/>
  <c r="G716" i="20" s="1"/>
  <c r="R716" i="20" a="1"/>
  <c r="R716" i="20" s="1"/>
  <c r="X716" i="20" a="1"/>
  <c r="X716" i="20" s="1"/>
  <c r="V716" i="20" a="1"/>
  <c r="V716" i="20" s="1"/>
  <c r="T716" i="20" a="1"/>
  <c r="T716" i="20" s="1"/>
  <c r="P716" i="20" a="1"/>
  <c r="P716" i="20" s="1"/>
  <c r="N716" i="20" a="1"/>
  <c r="N716" i="20" s="1"/>
  <c r="L716" i="20" a="1"/>
  <c r="L716" i="20" s="1"/>
  <c r="J716" i="20" a="1"/>
  <c r="J716" i="20" s="1"/>
  <c r="H716" i="20" a="1"/>
  <c r="H716" i="20" s="1"/>
  <c r="Y717" i="20" a="1"/>
  <c r="Y717" i="20" s="1"/>
  <c r="W717" i="20" a="1"/>
  <c r="W717" i="20" s="1"/>
  <c r="U717" i="20" a="1"/>
  <c r="U717" i="20" s="1"/>
  <c r="S717" i="20" a="1"/>
  <c r="S717" i="20" s="1"/>
  <c r="Q717" i="20" a="1"/>
  <c r="Q717" i="20" s="1"/>
  <c r="O717" i="20" a="1"/>
  <c r="O717" i="20" s="1"/>
  <c r="M717" i="20" a="1"/>
  <c r="M717" i="20" s="1"/>
  <c r="K717" i="20" a="1"/>
  <c r="K717" i="20" s="1"/>
  <c r="I717" i="20" a="1"/>
  <c r="I717" i="20" s="1"/>
  <c r="G717" i="20" a="1"/>
  <c r="G717" i="20" s="1"/>
  <c r="X717" i="20" a="1"/>
  <c r="X717" i="20" s="1"/>
  <c r="V717" i="20" a="1"/>
  <c r="V717" i="20" s="1"/>
  <c r="T717" i="20" a="1"/>
  <c r="T717" i="20" s="1"/>
  <c r="R717" i="20" a="1"/>
  <c r="R717" i="20" s="1"/>
  <c r="P717" i="20" a="1"/>
  <c r="P717" i="20" s="1"/>
  <c r="L717" i="20" a="1"/>
  <c r="L717" i="20" s="1"/>
  <c r="J717" i="20" a="1"/>
  <c r="J717" i="20" s="1"/>
  <c r="H717" i="20" a="1"/>
  <c r="H717" i="20" s="1"/>
  <c r="N717" i="20" a="1"/>
  <c r="N717" i="20" s="1"/>
  <c r="Y714" i="20" a="1"/>
  <c r="Y714" i="20" s="1"/>
  <c r="W714" i="20" a="1"/>
  <c r="W714" i="20" s="1"/>
  <c r="U714" i="20" a="1"/>
  <c r="U714" i="20" s="1"/>
  <c r="S714" i="20" a="1"/>
  <c r="S714" i="20" s="1"/>
  <c r="Q714" i="20" a="1"/>
  <c r="Q714" i="20" s="1"/>
  <c r="O714" i="20" a="1"/>
  <c r="O714" i="20" s="1"/>
  <c r="M714" i="20" a="1"/>
  <c r="M714" i="20" s="1"/>
  <c r="K714" i="20" a="1"/>
  <c r="K714" i="20" s="1"/>
  <c r="I714" i="20" a="1"/>
  <c r="I714" i="20" s="1"/>
  <c r="G714" i="20" a="1"/>
  <c r="G714" i="20" s="1"/>
  <c r="X714" i="20" a="1"/>
  <c r="X714" i="20" s="1"/>
  <c r="V714" i="20" a="1"/>
  <c r="V714" i="20" s="1"/>
  <c r="T714" i="20" a="1"/>
  <c r="T714" i="20" s="1"/>
  <c r="R714" i="20" a="1"/>
  <c r="R714" i="20" s="1"/>
  <c r="P714" i="20" a="1"/>
  <c r="P714" i="20" s="1"/>
  <c r="N714" i="20" a="1"/>
  <c r="N714" i="20" s="1"/>
  <c r="L714" i="20" a="1"/>
  <c r="L714" i="20" s="1"/>
  <c r="J714" i="20" a="1"/>
  <c r="J714" i="20" s="1"/>
  <c r="H714" i="20" a="1"/>
  <c r="H714" i="20" s="1"/>
  <c r="R718" i="20" a="1"/>
  <c r="R718" i="20" s="1"/>
  <c r="Y718" i="20" a="1"/>
  <c r="Y718" i="20" s="1"/>
  <c r="W718" i="20" a="1"/>
  <c r="W718" i="20" s="1"/>
  <c r="U718" i="20" a="1"/>
  <c r="U718" i="20" s="1"/>
  <c r="S718" i="20" a="1"/>
  <c r="S718" i="20" s="1"/>
  <c r="Q718" i="20" a="1"/>
  <c r="Q718" i="20" s="1"/>
  <c r="O718" i="20" a="1"/>
  <c r="O718" i="20" s="1"/>
  <c r="M718" i="20" a="1"/>
  <c r="M718" i="20" s="1"/>
  <c r="K718" i="20" a="1"/>
  <c r="K718" i="20" s="1"/>
  <c r="I718" i="20" a="1"/>
  <c r="I718" i="20" s="1"/>
  <c r="G718" i="20" a="1"/>
  <c r="G718" i="20" s="1"/>
  <c r="X718" i="20" a="1"/>
  <c r="X718" i="20" s="1"/>
  <c r="V718" i="20" a="1"/>
  <c r="V718" i="20" s="1"/>
  <c r="T718" i="20" a="1"/>
  <c r="T718" i="20" s="1"/>
  <c r="P718" i="20" a="1"/>
  <c r="P718" i="20" s="1"/>
  <c r="N718" i="20" a="1"/>
  <c r="N718" i="20" s="1"/>
  <c r="L718" i="20" a="1"/>
  <c r="L718" i="20" s="1"/>
  <c r="J718" i="20" a="1"/>
  <c r="J718" i="20" s="1"/>
  <c r="H718" i="20" a="1"/>
  <c r="H718" i="20" s="1"/>
  <c r="Y743" i="20" a="1"/>
  <c r="Y743" i="20" s="1"/>
  <c r="W743" i="20" a="1"/>
  <c r="W743" i="20" s="1"/>
  <c r="U743" i="20" a="1"/>
  <c r="U743" i="20" s="1"/>
  <c r="S743" i="20" a="1"/>
  <c r="S743" i="20" s="1"/>
  <c r="Q743" i="20" a="1"/>
  <c r="Q743" i="20" s="1"/>
  <c r="O743" i="20" a="1"/>
  <c r="O743" i="20" s="1"/>
  <c r="M743" i="20" a="1"/>
  <c r="M743" i="20" s="1"/>
  <c r="K743" i="20" a="1"/>
  <c r="K743" i="20" s="1"/>
  <c r="I743" i="20" a="1"/>
  <c r="I743" i="20" s="1"/>
  <c r="G743" i="20" a="1"/>
  <c r="G743" i="20" s="1"/>
  <c r="X743" i="20" a="1"/>
  <c r="X743" i="20" s="1"/>
  <c r="V743" i="20" a="1"/>
  <c r="V743" i="20" s="1"/>
  <c r="T743" i="20" a="1"/>
  <c r="T743" i="20" s="1"/>
  <c r="R743" i="20" a="1"/>
  <c r="R743" i="20" s="1"/>
  <c r="P743" i="20" a="1"/>
  <c r="P743" i="20" s="1"/>
  <c r="N743" i="20" a="1"/>
  <c r="N743" i="20" s="1"/>
  <c r="L743" i="20" a="1"/>
  <c r="L743" i="20" s="1"/>
  <c r="J743" i="20" a="1"/>
  <c r="J743" i="20" s="1"/>
  <c r="H743" i="20" a="1"/>
  <c r="H743" i="20" s="1"/>
  <c r="I744" i="20" a="1"/>
  <c r="I744" i="20" s="1"/>
  <c r="X744" i="20" a="1"/>
  <c r="X744" i="20" s="1"/>
  <c r="V744" i="20" a="1"/>
  <c r="V744" i="20" s="1"/>
  <c r="T744" i="20" a="1"/>
  <c r="T744" i="20" s="1"/>
  <c r="R744" i="20" a="1"/>
  <c r="R744" i="20" s="1"/>
  <c r="P744" i="20" a="1"/>
  <c r="P744" i="20" s="1"/>
  <c r="N744" i="20" a="1"/>
  <c r="N744" i="20" s="1"/>
  <c r="L744" i="20" a="1"/>
  <c r="L744" i="20" s="1"/>
  <c r="J744" i="20" a="1"/>
  <c r="J744" i="20" s="1"/>
  <c r="H744" i="20" a="1"/>
  <c r="H744" i="20" s="1"/>
  <c r="Y744" i="20" a="1"/>
  <c r="Y744" i="20" s="1"/>
  <c r="W744" i="20" a="1"/>
  <c r="W744" i="20" s="1"/>
  <c r="U744" i="20" a="1"/>
  <c r="U744" i="20" s="1"/>
  <c r="S744" i="20" a="1"/>
  <c r="S744" i="20" s="1"/>
  <c r="Q744" i="20" a="1"/>
  <c r="Q744" i="20" s="1"/>
  <c r="O744" i="20" a="1"/>
  <c r="O744" i="20" s="1"/>
  <c r="M744" i="20" a="1"/>
  <c r="M744" i="20" s="1"/>
  <c r="K744" i="20" a="1"/>
  <c r="K744" i="20" s="1"/>
  <c r="G744" i="20" a="1"/>
  <c r="G744" i="20" s="1"/>
  <c r="Y745" i="20" a="1"/>
  <c r="Y745" i="20" s="1"/>
  <c r="W745" i="20" a="1"/>
  <c r="W745" i="20" s="1"/>
  <c r="U745" i="20" a="1"/>
  <c r="U745" i="20" s="1"/>
  <c r="S745" i="20" a="1"/>
  <c r="S745" i="20" s="1"/>
  <c r="Q745" i="20" a="1"/>
  <c r="Q745" i="20" s="1"/>
  <c r="O745" i="20" a="1"/>
  <c r="O745" i="20" s="1"/>
  <c r="M745" i="20" a="1"/>
  <c r="M745" i="20" s="1"/>
  <c r="K745" i="20" a="1"/>
  <c r="K745" i="20" s="1"/>
  <c r="I745" i="20" a="1"/>
  <c r="I745" i="20" s="1"/>
  <c r="G745" i="20" a="1"/>
  <c r="G745" i="20" s="1"/>
  <c r="X745" i="20" a="1"/>
  <c r="X745" i="20" s="1"/>
  <c r="V745" i="20" a="1"/>
  <c r="V745" i="20" s="1"/>
  <c r="T745" i="20" a="1"/>
  <c r="T745" i="20" s="1"/>
  <c r="R745" i="20" a="1"/>
  <c r="R745" i="20" s="1"/>
  <c r="P745" i="20" a="1"/>
  <c r="P745" i="20" s="1"/>
  <c r="N745" i="20" a="1"/>
  <c r="N745" i="20" s="1"/>
  <c r="L745" i="20" a="1"/>
  <c r="L745" i="20" s="1"/>
  <c r="J745" i="20" a="1"/>
  <c r="J745" i="20" s="1"/>
  <c r="H745" i="20" a="1"/>
  <c r="H745" i="20" s="1"/>
  <c r="Y742" i="20" a="1"/>
  <c r="Y742" i="20" s="1"/>
  <c r="W742" i="20" a="1"/>
  <c r="W742" i="20" s="1"/>
  <c r="U742" i="20" a="1"/>
  <c r="U742" i="20" s="1"/>
  <c r="S742" i="20" a="1"/>
  <c r="S742" i="20" s="1"/>
  <c r="Q742" i="20" a="1"/>
  <c r="Q742" i="20" s="1"/>
  <c r="O742" i="20" a="1"/>
  <c r="O742" i="20" s="1"/>
  <c r="M742" i="20" a="1"/>
  <c r="M742" i="20" s="1"/>
  <c r="K742" i="20" a="1"/>
  <c r="K742" i="20" s="1"/>
  <c r="I742" i="20" a="1"/>
  <c r="I742" i="20" s="1"/>
  <c r="G742" i="20" a="1"/>
  <c r="G742" i="20" s="1"/>
  <c r="V742" i="20" a="1"/>
  <c r="V742" i="20" s="1"/>
  <c r="T742" i="20" a="1"/>
  <c r="T742" i="20" s="1"/>
  <c r="N742" i="20" a="1"/>
  <c r="N742" i="20" s="1"/>
  <c r="L742" i="20" a="1"/>
  <c r="L742" i="20" s="1"/>
  <c r="H742" i="20" a="1"/>
  <c r="H742" i="20" s="1"/>
  <c r="X742" i="20" a="1"/>
  <c r="X742" i="20" s="1"/>
  <c r="R742" i="20" a="1"/>
  <c r="R742" i="20" s="1"/>
  <c r="P742" i="20" a="1"/>
  <c r="P742" i="20" s="1"/>
  <c r="J742" i="20" a="1"/>
  <c r="J742" i="20" s="1"/>
  <c r="Y746" i="20" a="1"/>
  <c r="Y746" i="20" s="1"/>
  <c r="W746" i="20" a="1"/>
  <c r="W746" i="20" s="1"/>
  <c r="U746" i="20" a="1"/>
  <c r="U746" i="20" s="1"/>
  <c r="S746" i="20" a="1"/>
  <c r="S746" i="20" s="1"/>
  <c r="Q746" i="20" a="1"/>
  <c r="Q746" i="20" s="1"/>
  <c r="O746" i="20" a="1"/>
  <c r="O746" i="20" s="1"/>
  <c r="M746" i="20" a="1"/>
  <c r="M746" i="20" s="1"/>
  <c r="K746" i="20" a="1"/>
  <c r="K746" i="20" s="1"/>
  <c r="I746" i="20" a="1"/>
  <c r="I746" i="20" s="1"/>
  <c r="G746" i="20" a="1"/>
  <c r="G746" i="20" s="1"/>
  <c r="X746" i="20" a="1"/>
  <c r="X746" i="20" s="1"/>
  <c r="V746" i="20" a="1"/>
  <c r="V746" i="20" s="1"/>
  <c r="T746" i="20" a="1"/>
  <c r="T746" i="20" s="1"/>
  <c r="R746" i="20" a="1"/>
  <c r="R746" i="20" s="1"/>
  <c r="P746" i="20" a="1"/>
  <c r="P746" i="20" s="1"/>
  <c r="N746" i="20" a="1"/>
  <c r="N746" i="20" s="1"/>
  <c r="L746" i="20" a="1"/>
  <c r="L746" i="20" s="1"/>
  <c r="J746" i="20" a="1"/>
  <c r="J746" i="20" s="1"/>
  <c r="H746" i="20" a="1"/>
  <c r="H746" i="20" s="1"/>
  <c r="Y771" i="20" a="1"/>
  <c r="Y771" i="20" s="1"/>
  <c r="W771" i="20" a="1"/>
  <c r="W771" i="20" s="1"/>
  <c r="U771" i="20" a="1"/>
  <c r="U771" i="20" s="1"/>
  <c r="S771" i="20" a="1"/>
  <c r="S771" i="20" s="1"/>
  <c r="Q771" i="20" a="1"/>
  <c r="Q771" i="20" s="1"/>
  <c r="O771" i="20" a="1"/>
  <c r="O771" i="20" s="1"/>
  <c r="M771" i="20" a="1"/>
  <c r="M771" i="20" s="1"/>
  <c r="K771" i="20" a="1"/>
  <c r="K771" i="20" s="1"/>
  <c r="I771" i="20" a="1"/>
  <c r="I771" i="20" s="1"/>
  <c r="G771" i="20" a="1"/>
  <c r="G771" i="20" s="1"/>
  <c r="X771" i="20" a="1"/>
  <c r="X771" i="20" s="1"/>
  <c r="V771" i="20" a="1"/>
  <c r="V771" i="20" s="1"/>
  <c r="T771" i="20" a="1"/>
  <c r="T771" i="20" s="1"/>
  <c r="R771" i="20" a="1"/>
  <c r="R771" i="20" s="1"/>
  <c r="P771" i="20" a="1"/>
  <c r="P771" i="20" s="1"/>
  <c r="N771" i="20" a="1"/>
  <c r="N771" i="20" s="1"/>
  <c r="L771" i="20" a="1"/>
  <c r="L771" i="20" s="1"/>
  <c r="J771" i="20" a="1"/>
  <c r="J771" i="20" s="1"/>
  <c r="H771" i="20" a="1"/>
  <c r="H771" i="20" s="1"/>
  <c r="S772" i="20" a="1"/>
  <c r="S772" i="20" s="1"/>
  <c r="Y772" i="20" a="1"/>
  <c r="Y772" i="20" s="1"/>
  <c r="W772" i="20" a="1"/>
  <c r="W772" i="20" s="1"/>
  <c r="U772" i="20" a="1"/>
  <c r="U772" i="20" s="1"/>
  <c r="Q772" i="20" a="1"/>
  <c r="Q772" i="20" s="1"/>
  <c r="O772" i="20" a="1"/>
  <c r="O772" i="20" s="1"/>
  <c r="M772" i="20" a="1"/>
  <c r="M772" i="20" s="1"/>
  <c r="K772" i="20" a="1"/>
  <c r="K772" i="20" s="1"/>
  <c r="I772" i="20" a="1"/>
  <c r="I772" i="20" s="1"/>
  <c r="G772" i="20" a="1"/>
  <c r="G772" i="20" s="1"/>
  <c r="X772" i="20" a="1"/>
  <c r="X772" i="20" s="1"/>
  <c r="V772" i="20" a="1"/>
  <c r="V772" i="20" s="1"/>
  <c r="T772" i="20" a="1"/>
  <c r="T772" i="20" s="1"/>
  <c r="R772" i="20" a="1"/>
  <c r="R772" i="20" s="1"/>
  <c r="P772" i="20" a="1"/>
  <c r="P772" i="20" s="1"/>
  <c r="N772" i="20" a="1"/>
  <c r="N772" i="20" s="1"/>
  <c r="L772" i="20" a="1"/>
  <c r="L772" i="20" s="1"/>
  <c r="J772" i="20" a="1"/>
  <c r="J772" i="20" s="1"/>
  <c r="H772" i="20" a="1"/>
  <c r="H772" i="20" s="1"/>
  <c r="V773" i="20" a="1"/>
  <c r="V773" i="20" s="1"/>
  <c r="R773" i="20" a="1"/>
  <c r="R773" i="20" s="1"/>
  <c r="N773" i="20" a="1"/>
  <c r="N773" i="20" s="1"/>
  <c r="J773" i="20" a="1"/>
  <c r="J773" i="20" s="1"/>
  <c r="Y773" i="20" a="1"/>
  <c r="Y773" i="20" s="1"/>
  <c r="W773" i="20" a="1"/>
  <c r="W773" i="20" s="1"/>
  <c r="U773" i="20" a="1"/>
  <c r="U773" i="20" s="1"/>
  <c r="S773" i="20" a="1"/>
  <c r="S773" i="20" s="1"/>
  <c r="Q773" i="20" a="1"/>
  <c r="Q773" i="20" s="1"/>
  <c r="O773" i="20" a="1"/>
  <c r="O773" i="20" s="1"/>
  <c r="M773" i="20" a="1"/>
  <c r="M773" i="20" s="1"/>
  <c r="K773" i="20" a="1"/>
  <c r="K773" i="20" s="1"/>
  <c r="I773" i="20" a="1"/>
  <c r="I773" i="20" s="1"/>
  <c r="G773" i="20" a="1"/>
  <c r="G773" i="20" s="1"/>
  <c r="X773" i="20" a="1"/>
  <c r="X773" i="20" s="1"/>
  <c r="T773" i="20" a="1"/>
  <c r="T773" i="20" s="1"/>
  <c r="P773" i="20" a="1"/>
  <c r="P773" i="20" s="1"/>
  <c r="L773" i="20" a="1"/>
  <c r="L773" i="20" s="1"/>
  <c r="H773" i="20" a="1"/>
  <c r="H773" i="20" s="1"/>
  <c r="M770" i="20" a="1"/>
  <c r="M770" i="20" s="1"/>
  <c r="G770" i="20" a="1"/>
  <c r="G770" i="20" s="1"/>
  <c r="Y770" i="20" a="1"/>
  <c r="Y770" i="20" s="1"/>
  <c r="W770" i="20" a="1"/>
  <c r="W770" i="20" s="1"/>
  <c r="U770" i="20" a="1"/>
  <c r="U770" i="20" s="1"/>
  <c r="S770" i="20" a="1"/>
  <c r="S770" i="20" s="1"/>
  <c r="Q770" i="20" a="1"/>
  <c r="Q770" i="20" s="1"/>
  <c r="O770" i="20" a="1"/>
  <c r="O770" i="20" s="1"/>
  <c r="K770" i="20" a="1"/>
  <c r="K770" i="20" s="1"/>
  <c r="I770" i="20" a="1"/>
  <c r="I770" i="20" s="1"/>
  <c r="X770" i="20" a="1"/>
  <c r="X770" i="20" s="1"/>
  <c r="V770" i="20" a="1"/>
  <c r="V770" i="20" s="1"/>
  <c r="T770" i="20" a="1"/>
  <c r="T770" i="20" s="1"/>
  <c r="R770" i="20" a="1"/>
  <c r="R770" i="20" s="1"/>
  <c r="P770" i="20" a="1"/>
  <c r="P770" i="20" s="1"/>
  <c r="N770" i="20" a="1"/>
  <c r="N770" i="20" s="1"/>
  <c r="L770" i="20" a="1"/>
  <c r="L770" i="20" s="1"/>
  <c r="J770" i="20" a="1"/>
  <c r="J770" i="20" s="1"/>
  <c r="H770" i="20" a="1"/>
  <c r="H770" i="20" s="1"/>
  <c r="Y774" i="20" a="1"/>
  <c r="Y774" i="20" s="1"/>
  <c r="W774" i="20" a="1"/>
  <c r="W774" i="20" s="1"/>
  <c r="U774" i="20" a="1"/>
  <c r="U774" i="20" s="1"/>
  <c r="S774" i="20" a="1"/>
  <c r="S774" i="20" s="1"/>
  <c r="Q774" i="20" a="1"/>
  <c r="Q774" i="20" s="1"/>
  <c r="O774" i="20" a="1"/>
  <c r="O774" i="20" s="1"/>
  <c r="M774" i="20" a="1"/>
  <c r="M774" i="20" s="1"/>
  <c r="K774" i="20" a="1"/>
  <c r="K774" i="20" s="1"/>
  <c r="I774" i="20" a="1"/>
  <c r="I774" i="20" s="1"/>
  <c r="G774" i="20" a="1"/>
  <c r="G774" i="20" s="1"/>
  <c r="X774" i="20" a="1"/>
  <c r="X774" i="20" s="1"/>
  <c r="V774" i="20" a="1"/>
  <c r="V774" i="20" s="1"/>
  <c r="T774" i="20" a="1"/>
  <c r="T774" i="20" s="1"/>
  <c r="R774" i="20" a="1"/>
  <c r="R774" i="20" s="1"/>
  <c r="P774" i="20" a="1"/>
  <c r="P774" i="20" s="1"/>
  <c r="N774" i="20" a="1"/>
  <c r="N774" i="20" s="1"/>
  <c r="L774" i="20" a="1"/>
  <c r="L774" i="20" s="1"/>
  <c r="J774" i="20" a="1"/>
  <c r="J774" i="20" s="1"/>
  <c r="H774" i="20" a="1"/>
  <c r="H774" i="20" s="1"/>
  <c r="Y799" i="20" a="1"/>
  <c r="Y799" i="20" s="1"/>
  <c r="W799" i="20" a="1"/>
  <c r="W799" i="20" s="1"/>
  <c r="U799" i="20" a="1"/>
  <c r="U799" i="20" s="1"/>
  <c r="S799" i="20" a="1"/>
  <c r="S799" i="20" s="1"/>
  <c r="Q799" i="20" a="1"/>
  <c r="Q799" i="20" s="1"/>
  <c r="O799" i="20" a="1"/>
  <c r="O799" i="20" s="1"/>
  <c r="M799" i="20" a="1"/>
  <c r="M799" i="20" s="1"/>
  <c r="K799" i="20" a="1"/>
  <c r="K799" i="20" s="1"/>
  <c r="I799" i="20" a="1"/>
  <c r="I799" i="20" s="1"/>
  <c r="G799" i="20" a="1"/>
  <c r="G799" i="20" s="1"/>
  <c r="X799" i="20" a="1"/>
  <c r="X799" i="20" s="1"/>
  <c r="V799" i="20" a="1"/>
  <c r="V799" i="20" s="1"/>
  <c r="T799" i="20" a="1"/>
  <c r="T799" i="20" s="1"/>
  <c r="R799" i="20" a="1"/>
  <c r="R799" i="20" s="1"/>
  <c r="P799" i="20" a="1"/>
  <c r="P799" i="20" s="1"/>
  <c r="N799" i="20" a="1"/>
  <c r="N799" i="20" s="1"/>
  <c r="L799" i="20" a="1"/>
  <c r="L799" i="20" s="1"/>
  <c r="J799" i="20" a="1"/>
  <c r="J799" i="20" s="1"/>
  <c r="H799" i="20" a="1"/>
  <c r="H799" i="20" s="1"/>
  <c r="W800" i="20" a="1"/>
  <c r="W800" i="20" s="1"/>
  <c r="X800" i="20" a="1"/>
  <c r="X800" i="20" s="1"/>
  <c r="V800" i="20" a="1"/>
  <c r="V800" i="20" s="1"/>
  <c r="T800" i="20" a="1"/>
  <c r="T800" i="20" s="1"/>
  <c r="R800" i="20" a="1"/>
  <c r="R800" i="20" s="1"/>
  <c r="P800" i="20" a="1"/>
  <c r="P800" i="20" s="1"/>
  <c r="N800" i="20" a="1"/>
  <c r="N800" i="20" s="1"/>
  <c r="L800" i="20" a="1"/>
  <c r="L800" i="20" s="1"/>
  <c r="J800" i="20" a="1"/>
  <c r="J800" i="20" s="1"/>
  <c r="H800" i="20" a="1"/>
  <c r="H800" i="20" s="1"/>
  <c r="Y800" i="20" a="1"/>
  <c r="Y800" i="20" s="1"/>
  <c r="U800" i="20" a="1"/>
  <c r="U800" i="20" s="1"/>
  <c r="S800" i="20" a="1"/>
  <c r="S800" i="20" s="1"/>
  <c r="Q800" i="20" a="1"/>
  <c r="Q800" i="20" s="1"/>
  <c r="O800" i="20" a="1"/>
  <c r="O800" i="20" s="1"/>
  <c r="M800" i="20" a="1"/>
  <c r="M800" i="20" s="1"/>
  <c r="K800" i="20" a="1"/>
  <c r="K800" i="20" s="1"/>
  <c r="I800" i="20" a="1"/>
  <c r="I800" i="20" s="1"/>
  <c r="G800" i="20" a="1"/>
  <c r="G800" i="20" s="1"/>
  <c r="Y801" i="20" a="1"/>
  <c r="Y801" i="20" s="1"/>
  <c r="W801" i="20" a="1"/>
  <c r="W801" i="20" s="1"/>
  <c r="U801" i="20" a="1"/>
  <c r="U801" i="20" s="1"/>
  <c r="S801" i="20" a="1"/>
  <c r="S801" i="20" s="1"/>
  <c r="Q801" i="20" a="1"/>
  <c r="Q801" i="20" s="1"/>
  <c r="O801" i="20" a="1"/>
  <c r="O801" i="20" s="1"/>
  <c r="M801" i="20" a="1"/>
  <c r="M801" i="20" s="1"/>
  <c r="K801" i="20" a="1"/>
  <c r="K801" i="20" s="1"/>
  <c r="I801" i="20" a="1"/>
  <c r="I801" i="20" s="1"/>
  <c r="G801" i="20" a="1"/>
  <c r="G801" i="20" s="1"/>
  <c r="X801" i="20" a="1"/>
  <c r="X801" i="20" s="1"/>
  <c r="V801" i="20" a="1"/>
  <c r="V801" i="20" s="1"/>
  <c r="T801" i="20" a="1"/>
  <c r="T801" i="20" s="1"/>
  <c r="R801" i="20" a="1"/>
  <c r="R801" i="20" s="1"/>
  <c r="P801" i="20" a="1"/>
  <c r="P801" i="20" s="1"/>
  <c r="N801" i="20" a="1"/>
  <c r="N801" i="20" s="1"/>
  <c r="L801" i="20" a="1"/>
  <c r="L801" i="20" s="1"/>
  <c r="J801" i="20" a="1"/>
  <c r="J801" i="20" s="1"/>
  <c r="H801" i="20" a="1"/>
  <c r="H801" i="20" s="1"/>
  <c r="W798" i="20" a="1"/>
  <c r="W798" i="20" s="1"/>
  <c r="S798" i="20" a="1"/>
  <c r="S798" i="20" s="1"/>
  <c r="O798" i="20" a="1"/>
  <c r="O798" i="20" s="1"/>
  <c r="M798" i="20" a="1"/>
  <c r="M798" i="20" s="1"/>
  <c r="K798" i="20" a="1"/>
  <c r="K798" i="20" s="1"/>
  <c r="I798" i="20" a="1"/>
  <c r="I798" i="20" s="1"/>
  <c r="Y798" i="20" a="1"/>
  <c r="Y798" i="20" s="1"/>
  <c r="U798" i="20" a="1"/>
  <c r="U798" i="20" s="1"/>
  <c r="Q798" i="20" a="1"/>
  <c r="Q798" i="20" s="1"/>
  <c r="G798" i="20" a="1"/>
  <c r="G798" i="20" s="1"/>
  <c r="X798" i="20" a="1"/>
  <c r="X798" i="20" s="1"/>
  <c r="V798" i="20" a="1"/>
  <c r="V798" i="20" s="1"/>
  <c r="T798" i="20" a="1"/>
  <c r="T798" i="20" s="1"/>
  <c r="R798" i="20" a="1"/>
  <c r="R798" i="20" s="1"/>
  <c r="P798" i="20" a="1"/>
  <c r="P798" i="20" s="1"/>
  <c r="N798" i="20" a="1"/>
  <c r="N798" i="20" s="1"/>
  <c r="L798" i="20" a="1"/>
  <c r="L798" i="20" s="1"/>
  <c r="J798" i="20" a="1"/>
  <c r="J798" i="20" s="1"/>
  <c r="H798" i="20" a="1"/>
  <c r="H798" i="20" s="1"/>
  <c r="Y802" i="20" a="1"/>
  <c r="Y802" i="20" s="1"/>
  <c r="W802" i="20" a="1"/>
  <c r="W802" i="20" s="1"/>
  <c r="U802" i="20" a="1"/>
  <c r="U802" i="20" s="1"/>
  <c r="S802" i="20" a="1"/>
  <c r="S802" i="20" s="1"/>
  <c r="Q802" i="20" a="1"/>
  <c r="Q802" i="20" s="1"/>
  <c r="O802" i="20" a="1"/>
  <c r="O802" i="20" s="1"/>
  <c r="M802" i="20" a="1"/>
  <c r="M802" i="20" s="1"/>
  <c r="K802" i="20" a="1"/>
  <c r="K802" i="20" s="1"/>
  <c r="I802" i="20" a="1"/>
  <c r="I802" i="20" s="1"/>
  <c r="G802" i="20" a="1"/>
  <c r="G802" i="20" s="1"/>
  <c r="X802" i="20" a="1"/>
  <c r="X802" i="20" s="1"/>
  <c r="V802" i="20" a="1"/>
  <c r="V802" i="20" s="1"/>
  <c r="T802" i="20" a="1"/>
  <c r="T802" i="20" s="1"/>
  <c r="R802" i="20" a="1"/>
  <c r="R802" i="20" s="1"/>
  <c r="P802" i="20" a="1"/>
  <c r="P802" i="20" s="1"/>
  <c r="N802" i="20" a="1"/>
  <c r="N802" i="20" s="1"/>
  <c r="L802" i="20" a="1"/>
  <c r="L802" i="20" s="1"/>
  <c r="J802" i="20" a="1"/>
  <c r="J802" i="20" s="1"/>
  <c r="H802" i="20" a="1"/>
  <c r="H802" i="20" s="1"/>
  <c r="Y827" i="20" a="1"/>
  <c r="Y827" i="20" s="1"/>
  <c r="W827" i="20" a="1"/>
  <c r="W827" i="20" s="1"/>
  <c r="U827" i="20" a="1"/>
  <c r="U827" i="20" s="1"/>
  <c r="S827" i="20" a="1"/>
  <c r="S827" i="20" s="1"/>
  <c r="Q827" i="20" a="1"/>
  <c r="Q827" i="20" s="1"/>
  <c r="O827" i="20" a="1"/>
  <c r="O827" i="20" s="1"/>
  <c r="M827" i="20" a="1"/>
  <c r="M827" i="20" s="1"/>
  <c r="K827" i="20" a="1"/>
  <c r="K827" i="20" s="1"/>
  <c r="I827" i="20" a="1"/>
  <c r="I827" i="20" s="1"/>
  <c r="G827" i="20" a="1"/>
  <c r="G827" i="20" s="1"/>
  <c r="X827" i="20" a="1"/>
  <c r="X827" i="20" s="1"/>
  <c r="V827" i="20" a="1"/>
  <c r="V827" i="20" s="1"/>
  <c r="T827" i="20" a="1"/>
  <c r="T827" i="20" s="1"/>
  <c r="R827" i="20" a="1"/>
  <c r="R827" i="20" s="1"/>
  <c r="P827" i="20" a="1"/>
  <c r="P827" i="20" s="1"/>
  <c r="N827" i="20" a="1"/>
  <c r="N827" i="20" s="1"/>
  <c r="L827" i="20" a="1"/>
  <c r="L827" i="20" s="1"/>
  <c r="J827" i="20" a="1"/>
  <c r="J827" i="20" s="1"/>
  <c r="H827" i="20" a="1"/>
  <c r="H827" i="20" s="1"/>
  <c r="K828" i="20" a="1"/>
  <c r="K828" i="20" s="1"/>
  <c r="X828" i="20" a="1"/>
  <c r="X828" i="20" s="1"/>
  <c r="V828" i="20" a="1"/>
  <c r="V828" i="20" s="1"/>
  <c r="T828" i="20" a="1"/>
  <c r="T828" i="20" s="1"/>
  <c r="R828" i="20" a="1"/>
  <c r="R828" i="20" s="1"/>
  <c r="P828" i="20" a="1"/>
  <c r="P828" i="20" s="1"/>
  <c r="N828" i="20" a="1"/>
  <c r="N828" i="20" s="1"/>
  <c r="L828" i="20" a="1"/>
  <c r="L828" i="20" s="1"/>
  <c r="J828" i="20" a="1"/>
  <c r="J828" i="20" s="1"/>
  <c r="H828" i="20" a="1"/>
  <c r="H828" i="20" s="1"/>
  <c r="Y828" i="20" a="1"/>
  <c r="Y828" i="20" s="1"/>
  <c r="W828" i="20" a="1"/>
  <c r="W828" i="20" s="1"/>
  <c r="U828" i="20" a="1"/>
  <c r="U828" i="20" s="1"/>
  <c r="S828" i="20" a="1"/>
  <c r="S828" i="20" s="1"/>
  <c r="Q828" i="20" a="1"/>
  <c r="Q828" i="20" s="1"/>
  <c r="O828" i="20" a="1"/>
  <c r="O828" i="20" s="1"/>
  <c r="M828" i="20" a="1"/>
  <c r="M828" i="20" s="1"/>
  <c r="I828" i="20" a="1"/>
  <c r="I828" i="20" s="1"/>
  <c r="G828" i="20" a="1"/>
  <c r="G828" i="20" s="1"/>
  <c r="Y829" i="20" a="1"/>
  <c r="Y829" i="20" s="1"/>
  <c r="W829" i="20" a="1"/>
  <c r="W829" i="20" s="1"/>
  <c r="U829" i="20" a="1"/>
  <c r="U829" i="20" s="1"/>
  <c r="S829" i="20" a="1"/>
  <c r="S829" i="20" s="1"/>
  <c r="Q829" i="20" a="1"/>
  <c r="Q829" i="20" s="1"/>
  <c r="O829" i="20" a="1"/>
  <c r="O829" i="20" s="1"/>
  <c r="M829" i="20" a="1"/>
  <c r="M829" i="20" s="1"/>
  <c r="K829" i="20" a="1"/>
  <c r="K829" i="20" s="1"/>
  <c r="I829" i="20" a="1"/>
  <c r="I829" i="20" s="1"/>
  <c r="G829" i="20" a="1"/>
  <c r="G829" i="20" s="1"/>
  <c r="X829" i="20" a="1"/>
  <c r="X829" i="20" s="1"/>
  <c r="V829" i="20" a="1"/>
  <c r="V829" i="20" s="1"/>
  <c r="T829" i="20" a="1"/>
  <c r="T829" i="20" s="1"/>
  <c r="R829" i="20" a="1"/>
  <c r="R829" i="20" s="1"/>
  <c r="P829" i="20" a="1"/>
  <c r="P829" i="20" s="1"/>
  <c r="N829" i="20" a="1"/>
  <c r="N829" i="20" s="1"/>
  <c r="L829" i="20" a="1"/>
  <c r="L829" i="20" s="1"/>
  <c r="J829" i="20" a="1"/>
  <c r="J829" i="20" s="1"/>
  <c r="H829" i="20" a="1"/>
  <c r="H829" i="20" s="1"/>
  <c r="Y826" i="20" a="1"/>
  <c r="Y826" i="20" s="1"/>
  <c r="W826" i="20" a="1"/>
  <c r="W826" i="20" s="1"/>
  <c r="U826" i="20" a="1"/>
  <c r="U826" i="20" s="1"/>
  <c r="S826" i="20" a="1"/>
  <c r="S826" i="20" s="1"/>
  <c r="Q826" i="20" a="1"/>
  <c r="Q826" i="20" s="1"/>
  <c r="O826" i="20" a="1"/>
  <c r="O826" i="20" s="1"/>
  <c r="M826" i="20" a="1"/>
  <c r="M826" i="20" s="1"/>
  <c r="K826" i="20" a="1"/>
  <c r="K826" i="20" s="1"/>
  <c r="I826" i="20" a="1"/>
  <c r="I826" i="20" s="1"/>
  <c r="G826" i="20" a="1"/>
  <c r="G826" i="20" s="1"/>
  <c r="X826" i="20" a="1"/>
  <c r="X826" i="20" s="1"/>
  <c r="V826" i="20" a="1"/>
  <c r="V826" i="20" s="1"/>
  <c r="T826" i="20" a="1"/>
  <c r="T826" i="20" s="1"/>
  <c r="R826" i="20" a="1"/>
  <c r="R826" i="20" s="1"/>
  <c r="P826" i="20" a="1"/>
  <c r="P826" i="20" s="1"/>
  <c r="N826" i="20" a="1"/>
  <c r="N826" i="20" s="1"/>
  <c r="L826" i="20" a="1"/>
  <c r="L826" i="20" s="1"/>
  <c r="J826" i="20" a="1"/>
  <c r="J826" i="20" s="1"/>
  <c r="H826" i="20" a="1"/>
  <c r="H826" i="20" s="1"/>
  <c r="Y830" i="20" a="1"/>
  <c r="Y830" i="20" s="1"/>
  <c r="W830" i="20" a="1"/>
  <c r="W830" i="20" s="1"/>
  <c r="U830" i="20" a="1"/>
  <c r="U830" i="20" s="1"/>
  <c r="S830" i="20" a="1"/>
  <c r="S830" i="20" s="1"/>
  <c r="Q830" i="20" a="1"/>
  <c r="Q830" i="20" s="1"/>
  <c r="O830" i="20" a="1"/>
  <c r="O830" i="20" s="1"/>
  <c r="M830" i="20" a="1"/>
  <c r="M830" i="20" s="1"/>
  <c r="K830" i="20" a="1"/>
  <c r="K830" i="20" s="1"/>
  <c r="I830" i="20" a="1"/>
  <c r="I830" i="20" s="1"/>
  <c r="G830" i="20" a="1"/>
  <c r="G830" i="20" s="1"/>
  <c r="X830" i="20" a="1"/>
  <c r="X830" i="20" s="1"/>
  <c r="V830" i="20" a="1"/>
  <c r="V830" i="20" s="1"/>
  <c r="T830" i="20" a="1"/>
  <c r="T830" i="20" s="1"/>
  <c r="R830" i="20" a="1"/>
  <c r="R830" i="20" s="1"/>
  <c r="P830" i="20" a="1"/>
  <c r="P830" i="20" s="1"/>
  <c r="N830" i="20" a="1"/>
  <c r="N830" i="20" s="1"/>
  <c r="L830" i="20" a="1"/>
  <c r="L830" i="20" s="1"/>
  <c r="J830" i="20" a="1"/>
  <c r="J830" i="20" s="1"/>
  <c r="H830" i="20" a="1"/>
  <c r="H830" i="20" s="1"/>
  <c r="J854" i="20" a="1"/>
  <c r="J854" i="20" s="1"/>
  <c r="R854" i="20" a="1"/>
  <c r="R854" i="20" s="1"/>
  <c r="L854" i="20" a="1"/>
  <c r="L854" i="20" s="1"/>
  <c r="H855" i="20" a="1"/>
  <c r="H855" i="20" s="1"/>
  <c r="P855" i="20" a="1"/>
  <c r="P855" i="20" s="1"/>
  <c r="X855" i="20" a="1"/>
  <c r="X855" i="20" s="1"/>
  <c r="I856" i="20" a="1"/>
  <c r="I856" i="20" s="1"/>
  <c r="X856" i="20" a="1"/>
  <c r="X856" i="20" s="1"/>
  <c r="V856" i="20" a="1"/>
  <c r="V856" i="20" s="1"/>
  <c r="T856" i="20" a="1"/>
  <c r="T856" i="20" s="1"/>
  <c r="R856" i="20" a="1"/>
  <c r="R856" i="20" s="1"/>
  <c r="P856" i="20" a="1"/>
  <c r="P856" i="20" s="1"/>
  <c r="N856" i="20" a="1"/>
  <c r="N856" i="20" s="1"/>
  <c r="L856" i="20" a="1"/>
  <c r="L856" i="20" s="1"/>
  <c r="J856" i="20" a="1"/>
  <c r="J856" i="20" s="1"/>
  <c r="H856" i="20" a="1"/>
  <c r="H856" i="20" s="1"/>
  <c r="Y856" i="20" a="1"/>
  <c r="Y856" i="20" s="1"/>
  <c r="W856" i="20" a="1"/>
  <c r="W856" i="20" s="1"/>
  <c r="U856" i="20" a="1"/>
  <c r="U856" i="20" s="1"/>
  <c r="S856" i="20" a="1"/>
  <c r="S856" i="20" s="1"/>
  <c r="Q856" i="20" a="1"/>
  <c r="Q856" i="20" s="1"/>
  <c r="O856" i="20" a="1"/>
  <c r="O856" i="20" s="1"/>
  <c r="M856" i="20" a="1"/>
  <c r="M856" i="20" s="1"/>
  <c r="K856" i="20" a="1"/>
  <c r="K856" i="20" s="1"/>
  <c r="G856" i="20" a="1"/>
  <c r="G856" i="20" s="1"/>
  <c r="Y854" i="20" a="1"/>
  <c r="Y854" i="20" s="1"/>
  <c r="U854" i="20" a="1"/>
  <c r="U854" i="20" s="1"/>
  <c r="S854" i="20" a="1"/>
  <c r="S854" i="20" s="1"/>
  <c r="O854" i="20" a="1"/>
  <c r="O854" i="20" s="1"/>
  <c r="M854" i="20" a="1"/>
  <c r="M854" i="20" s="1"/>
  <c r="I854" i="20" a="1"/>
  <c r="I854" i="20" s="1"/>
  <c r="W854" i="20" a="1"/>
  <c r="W854" i="20" s="1"/>
  <c r="Q854" i="20" a="1"/>
  <c r="Q854" i="20" s="1"/>
  <c r="K854" i="20" a="1"/>
  <c r="K854" i="20" s="1"/>
  <c r="G854" i="20" a="1"/>
  <c r="G854" i="20" s="1"/>
  <c r="N854" i="20" a="1"/>
  <c r="N854" i="20" s="1"/>
  <c r="V854" i="20" a="1"/>
  <c r="V854" i="20" s="1"/>
  <c r="J855" i="20" a="1"/>
  <c r="J855" i="20" s="1"/>
  <c r="R855" i="20" a="1"/>
  <c r="R855" i="20" s="1"/>
  <c r="H854" i="20" a="1"/>
  <c r="H854" i="20" s="1"/>
  <c r="P854" i="20" a="1"/>
  <c r="P854" i="20" s="1"/>
  <c r="X854" i="20" a="1"/>
  <c r="X854" i="20" s="1"/>
  <c r="L855" i="20" a="1"/>
  <c r="L855" i="20" s="1"/>
  <c r="U857" i="20" a="1"/>
  <c r="U857" i="20" s="1"/>
  <c r="Y857" i="20" a="1"/>
  <c r="Y857" i="20" s="1"/>
  <c r="W857" i="20" a="1"/>
  <c r="W857" i="20" s="1"/>
  <c r="S857" i="20" a="1"/>
  <c r="S857" i="20" s="1"/>
  <c r="Q857" i="20" a="1"/>
  <c r="Q857" i="20" s="1"/>
  <c r="O857" i="20" a="1"/>
  <c r="O857" i="20" s="1"/>
  <c r="M857" i="20" a="1"/>
  <c r="M857" i="20" s="1"/>
  <c r="K857" i="20" a="1"/>
  <c r="K857" i="20" s="1"/>
  <c r="I857" i="20" a="1"/>
  <c r="I857" i="20" s="1"/>
  <c r="G857" i="20" a="1"/>
  <c r="G857" i="20" s="1"/>
  <c r="X857" i="20" a="1"/>
  <c r="X857" i="20" s="1"/>
  <c r="V857" i="20" a="1"/>
  <c r="V857" i="20" s="1"/>
  <c r="T857" i="20" a="1"/>
  <c r="T857" i="20" s="1"/>
  <c r="R857" i="20" a="1"/>
  <c r="R857" i="20" s="1"/>
  <c r="P857" i="20" a="1"/>
  <c r="P857" i="20" s="1"/>
  <c r="N857" i="20" a="1"/>
  <c r="N857" i="20" s="1"/>
  <c r="L857" i="20" a="1"/>
  <c r="L857" i="20" s="1"/>
  <c r="J857" i="20" a="1"/>
  <c r="J857" i="20" s="1"/>
  <c r="H857" i="20" a="1"/>
  <c r="H857" i="20" s="1"/>
  <c r="Y855" i="20" a="1"/>
  <c r="Y855" i="20" s="1"/>
  <c r="U855" i="20" a="1"/>
  <c r="U855" i="20" s="1"/>
  <c r="S855" i="20" a="1"/>
  <c r="S855" i="20" s="1"/>
  <c r="Q855" i="20" a="1"/>
  <c r="Q855" i="20" s="1"/>
  <c r="M855" i="20" a="1"/>
  <c r="M855" i="20" s="1"/>
  <c r="K855" i="20" a="1"/>
  <c r="K855" i="20" s="1"/>
  <c r="I855" i="20" a="1"/>
  <c r="I855" i="20" s="1"/>
  <c r="G855" i="20" a="1"/>
  <c r="G855" i="20" s="1"/>
  <c r="W855" i="20" a="1"/>
  <c r="W855" i="20" s="1"/>
  <c r="O855" i="20" a="1"/>
  <c r="O855" i="20" s="1"/>
  <c r="N855" i="20" a="1"/>
  <c r="N855" i="20" s="1"/>
  <c r="V855" i="20" a="1"/>
  <c r="V855" i="20" s="1"/>
  <c r="Y858" i="20" a="1"/>
  <c r="Y858" i="20" s="1"/>
  <c r="W858" i="20" a="1"/>
  <c r="W858" i="20" s="1"/>
  <c r="U858" i="20" a="1"/>
  <c r="U858" i="20" s="1"/>
  <c r="S858" i="20" a="1"/>
  <c r="S858" i="20" s="1"/>
  <c r="Q858" i="20" a="1"/>
  <c r="Q858" i="20" s="1"/>
  <c r="O858" i="20" a="1"/>
  <c r="O858" i="20" s="1"/>
  <c r="M858" i="20" a="1"/>
  <c r="M858" i="20" s="1"/>
  <c r="K858" i="20" a="1"/>
  <c r="K858" i="20" s="1"/>
  <c r="I858" i="20" a="1"/>
  <c r="I858" i="20" s="1"/>
  <c r="G858" i="20" a="1"/>
  <c r="G858" i="20" s="1"/>
  <c r="X858" i="20" a="1"/>
  <c r="X858" i="20" s="1"/>
  <c r="V858" i="20" a="1"/>
  <c r="V858" i="20" s="1"/>
  <c r="T858" i="20" a="1"/>
  <c r="T858" i="20" s="1"/>
  <c r="R858" i="20" a="1"/>
  <c r="R858" i="20" s="1"/>
  <c r="P858" i="20" a="1"/>
  <c r="P858" i="20" s="1"/>
  <c r="N858" i="20" a="1"/>
  <c r="N858" i="20" s="1"/>
  <c r="L858" i="20" a="1"/>
  <c r="L858" i="20" s="1"/>
  <c r="J858" i="20" a="1"/>
  <c r="J858" i="20" s="1"/>
  <c r="H858" i="20" a="1"/>
  <c r="H858" i="20" s="1"/>
  <c r="Y884" i="20" a="1"/>
  <c r="Y884" i="20" s="1"/>
  <c r="W884" i="20" a="1"/>
  <c r="W884" i="20" s="1"/>
  <c r="U884" i="20" a="1"/>
  <c r="U884" i="20" s="1"/>
  <c r="S884" i="20" a="1"/>
  <c r="S884" i="20" s="1"/>
  <c r="O884" i="20" a="1"/>
  <c r="O884" i="20" s="1"/>
  <c r="M884" i="20" a="1"/>
  <c r="M884" i="20" s="1"/>
  <c r="K884" i="20" a="1"/>
  <c r="K884" i="20" s="1"/>
  <c r="I884" i="20" a="1"/>
  <c r="I884" i="20" s="1"/>
  <c r="G884" i="20" a="1"/>
  <c r="G884" i="20" s="1"/>
  <c r="Q884" i="20" a="1"/>
  <c r="Q884" i="20" s="1"/>
  <c r="N884" i="20" a="1"/>
  <c r="N884" i="20" s="1"/>
  <c r="V884" i="20" a="1"/>
  <c r="V884" i="20" s="1"/>
  <c r="Y883" i="20" a="1"/>
  <c r="Y883" i="20" s="1"/>
  <c r="W883" i="20" a="1"/>
  <c r="W883" i="20" s="1"/>
  <c r="S883" i="20" a="1"/>
  <c r="S883" i="20" s="1"/>
  <c r="Q883" i="20" a="1"/>
  <c r="Q883" i="20" s="1"/>
  <c r="O883" i="20" a="1"/>
  <c r="O883" i="20" s="1"/>
  <c r="M883" i="20" a="1"/>
  <c r="M883" i="20" s="1"/>
  <c r="K883" i="20" a="1"/>
  <c r="K883" i="20" s="1"/>
  <c r="U883" i="20" a="1"/>
  <c r="U883" i="20" s="1"/>
  <c r="J883" i="20" a="1"/>
  <c r="J883" i="20" s="1"/>
  <c r="R883" i="20" a="1"/>
  <c r="R883" i="20" s="1"/>
  <c r="G882" i="20" a="1"/>
  <c r="G882" i="20" s="1"/>
  <c r="K882" i="20" a="1"/>
  <c r="K882" i="20" s="1"/>
  <c r="O882" i="20" a="1"/>
  <c r="O882" i="20" s="1"/>
  <c r="S882" i="20" a="1"/>
  <c r="S882" i="20" s="1"/>
  <c r="W882" i="20" a="1"/>
  <c r="W882" i="20" s="1"/>
  <c r="G883" i="20" a="1"/>
  <c r="G883" i="20" s="1"/>
  <c r="L883" i="20" a="1"/>
  <c r="L883" i="20" s="1"/>
  <c r="T883" i="20" a="1"/>
  <c r="T883" i="20" s="1"/>
  <c r="H884" i="20" a="1"/>
  <c r="H884" i="20" s="1"/>
  <c r="P884" i="20" a="1"/>
  <c r="P884" i="20" s="1"/>
  <c r="X884" i="20" a="1"/>
  <c r="X884" i="20" s="1"/>
  <c r="H882" i="20" a="1"/>
  <c r="H882" i="20" s="1"/>
  <c r="L882" i="20" a="1"/>
  <c r="L882" i="20" s="1"/>
  <c r="P882" i="20" a="1"/>
  <c r="P882" i="20" s="1"/>
  <c r="T882" i="20" a="1"/>
  <c r="T882" i="20" s="1"/>
  <c r="H883" i="20" a="1"/>
  <c r="H883" i="20" s="1"/>
  <c r="N883" i="20" a="1"/>
  <c r="N883" i="20" s="1"/>
  <c r="V883" i="20" a="1"/>
  <c r="V883" i="20" s="1"/>
  <c r="J884" i="20" a="1"/>
  <c r="J884" i="20" s="1"/>
  <c r="R884" i="20" a="1"/>
  <c r="R884" i="20" s="1"/>
  <c r="U885" i="20" a="1"/>
  <c r="U885" i="20" s="1"/>
  <c r="S885" i="20" a="1"/>
  <c r="S885" i="20" s="1"/>
  <c r="Q885" i="20" a="1"/>
  <c r="Q885" i="20" s="1"/>
  <c r="M885" i="20" a="1"/>
  <c r="M885" i="20" s="1"/>
  <c r="K885" i="20" a="1"/>
  <c r="K885" i="20" s="1"/>
  <c r="I885" i="20" a="1"/>
  <c r="I885" i="20" s="1"/>
  <c r="G885" i="20" a="1"/>
  <c r="G885" i="20" s="1"/>
  <c r="Y885" i="20" a="1"/>
  <c r="Y885" i="20" s="1"/>
  <c r="W885" i="20" a="1"/>
  <c r="W885" i="20" s="1"/>
  <c r="O885" i="20" a="1"/>
  <c r="O885" i="20" s="1"/>
  <c r="X885" i="20" a="1"/>
  <c r="X885" i="20" s="1"/>
  <c r="V885" i="20" a="1"/>
  <c r="V885" i="20" s="1"/>
  <c r="T885" i="20" a="1"/>
  <c r="T885" i="20" s="1"/>
  <c r="R885" i="20" a="1"/>
  <c r="R885" i="20" s="1"/>
  <c r="P885" i="20" a="1"/>
  <c r="P885" i="20" s="1"/>
  <c r="N885" i="20" a="1"/>
  <c r="N885" i="20" s="1"/>
  <c r="L885" i="20" a="1"/>
  <c r="L885" i="20" s="1"/>
  <c r="J885" i="20" a="1"/>
  <c r="J885" i="20" s="1"/>
  <c r="H885" i="20" a="1"/>
  <c r="H885" i="20" s="1"/>
  <c r="J882" i="20" a="1"/>
  <c r="J882" i="20" s="1"/>
  <c r="N882" i="20" a="1"/>
  <c r="N882" i="20" s="1"/>
  <c r="R882" i="20" a="1"/>
  <c r="R882" i="20" s="1"/>
  <c r="V882" i="20" a="1"/>
  <c r="V882" i="20" s="1"/>
  <c r="I882" i="20" a="1"/>
  <c r="I882" i="20" s="1"/>
  <c r="M882" i="20" a="1"/>
  <c r="M882" i="20" s="1"/>
  <c r="Q882" i="20" a="1"/>
  <c r="Q882" i="20" s="1"/>
  <c r="U882" i="20" a="1"/>
  <c r="U882" i="20" s="1"/>
  <c r="Y882" i="20" a="1"/>
  <c r="Y882" i="20" s="1"/>
  <c r="I883" i="20" a="1"/>
  <c r="I883" i="20" s="1"/>
  <c r="P883" i="20" a="1"/>
  <c r="P883" i="20" s="1"/>
  <c r="X883" i="20" a="1"/>
  <c r="X883" i="20" s="1"/>
  <c r="L884" i="20" a="1"/>
  <c r="L884" i="20" s="1"/>
  <c r="T884" i="20" a="1"/>
  <c r="T884" i="20" s="1"/>
  <c r="O886" i="20" a="1"/>
  <c r="O886" i="20" s="1"/>
  <c r="Y886" i="20" a="1"/>
  <c r="Y886" i="20" s="1"/>
  <c r="W886" i="20" a="1"/>
  <c r="W886" i="20" s="1"/>
  <c r="U886" i="20" a="1"/>
  <c r="U886" i="20" s="1"/>
  <c r="S886" i="20" a="1"/>
  <c r="S886" i="20" s="1"/>
  <c r="Q886" i="20" a="1"/>
  <c r="Q886" i="20" s="1"/>
  <c r="M886" i="20" a="1"/>
  <c r="M886" i="20" s="1"/>
  <c r="K886" i="20" a="1"/>
  <c r="K886" i="20" s="1"/>
  <c r="I886" i="20" a="1"/>
  <c r="I886" i="20" s="1"/>
  <c r="G886" i="20" a="1"/>
  <c r="G886" i="20" s="1"/>
  <c r="X886" i="20" a="1"/>
  <c r="X886" i="20" s="1"/>
  <c r="V886" i="20" a="1"/>
  <c r="V886" i="20" s="1"/>
  <c r="T886" i="20" a="1"/>
  <c r="T886" i="20" s="1"/>
  <c r="R886" i="20" a="1"/>
  <c r="R886" i="20" s="1"/>
  <c r="P886" i="20" a="1"/>
  <c r="P886" i="20" s="1"/>
  <c r="N886" i="20" a="1"/>
  <c r="N886" i="20" s="1"/>
  <c r="L886" i="20" a="1"/>
  <c r="L886" i="20" s="1"/>
  <c r="J886" i="20" a="1"/>
  <c r="J886" i="20" s="1"/>
  <c r="H886" i="20" a="1"/>
  <c r="H886" i="20" s="1"/>
  <c r="M911" i="20" a="1"/>
  <c r="M911" i="20" s="1"/>
  <c r="G911" i="20" a="1"/>
  <c r="G911" i="20" s="1"/>
  <c r="Y911" i="20" a="1"/>
  <c r="Y911" i="20" s="1"/>
  <c r="W911" i="20" a="1"/>
  <c r="W911" i="20" s="1"/>
  <c r="U911" i="20" a="1"/>
  <c r="U911" i="20" s="1"/>
  <c r="S911" i="20" a="1"/>
  <c r="S911" i="20" s="1"/>
  <c r="Q911" i="20" a="1"/>
  <c r="Q911" i="20" s="1"/>
  <c r="O911" i="20" a="1"/>
  <c r="O911" i="20" s="1"/>
  <c r="K911" i="20" a="1"/>
  <c r="K911" i="20" s="1"/>
  <c r="I911" i="20" a="1"/>
  <c r="I911" i="20" s="1"/>
  <c r="X911" i="20" a="1"/>
  <c r="X911" i="20" s="1"/>
  <c r="V911" i="20" a="1"/>
  <c r="V911" i="20" s="1"/>
  <c r="T911" i="20" a="1"/>
  <c r="T911" i="20" s="1"/>
  <c r="R911" i="20" a="1"/>
  <c r="R911" i="20" s="1"/>
  <c r="P911" i="20" a="1"/>
  <c r="P911" i="20" s="1"/>
  <c r="N911" i="20" a="1"/>
  <c r="N911" i="20" s="1"/>
  <c r="L911" i="20" a="1"/>
  <c r="L911" i="20" s="1"/>
  <c r="J911" i="20" a="1"/>
  <c r="J911" i="20" s="1"/>
  <c r="H911" i="20" a="1"/>
  <c r="H911" i="20" s="1"/>
  <c r="Q912" i="20" a="1"/>
  <c r="Q912" i="20" s="1"/>
  <c r="Y912" i="20" a="1"/>
  <c r="Y912" i="20" s="1"/>
  <c r="W912" i="20" a="1"/>
  <c r="W912" i="20" s="1"/>
  <c r="U912" i="20" a="1"/>
  <c r="U912" i="20" s="1"/>
  <c r="S912" i="20" a="1"/>
  <c r="S912" i="20" s="1"/>
  <c r="O912" i="20" a="1"/>
  <c r="O912" i="20" s="1"/>
  <c r="M912" i="20" a="1"/>
  <c r="M912" i="20" s="1"/>
  <c r="K912" i="20" a="1"/>
  <c r="K912" i="20" s="1"/>
  <c r="I912" i="20" a="1"/>
  <c r="I912" i="20" s="1"/>
  <c r="G912" i="20" a="1"/>
  <c r="G912" i="20" s="1"/>
  <c r="X912" i="20" a="1"/>
  <c r="X912" i="20" s="1"/>
  <c r="V912" i="20" a="1"/>
  <c r="V912" i="20" s="1"/>
  <c r="T912" i="20" a="1"/>
  <c r="T912" i="20" s="1"/>
  <c r="R912" i="20" a="1"/>
  <c r="R912" i="20" s="1"/>
  <c r="P912" i="20" a="1"/>
  <c r="P912" i="20" s="1"/>
  <c r="N912" i="20" a="1"/>
  <c r="N912" i="20" s="1"/>
  <c r="L912" i="20" a="1"/>
  <c r="L912" i="20" s="1"/>
  <c r="J912" i="20" a="1"/>
  <c r="J912" i="20" s="1"/>
  <c r="H912" i="20" a="1"/>
  <c r="H912" i="20" s="1"/>
  <c r="Y913" i="20" a="1"/>
  <c r="Y913" i="20" s="1"/>
  <c r="W913" i="20" a="1"/>
  <c r="W913" i="20" s="1"/>
  <c r="U913" i="20" a="1"/>
  <c r="U913" i="20" s="1"/>
  <c r="S913" i="20" a="1"/>
  <c r="S913" i="20" s="1"/>
  <c r="Q913" i="20" a="1"/>
  <c r="Q913" i="20" s="1"/>
  <c r="O913" i="20" a="1"/>
  <c r="O913" i="20" s="1"/>
  <c r="M913" i="20" a="1"/>
  <c r="M913" i="20" s="1"/>
  <c r="K913" i="20" a="1"/>
  <c r="K913" i="20" s="1"/>
  <c r="I913" i="20" a="1"/>
  <c r="I913" i="20" s="1"/>
  <c r="G913" i="20" a="1"/>
  <c r="G913" i="20" s="1"/>
  <c r="X913" i="20" a="1"/>
  <c r="X913" i="20" s="1"/>
  <c r="V913" i="20" a="1"/>
  <c r="V913" i="20" s="1"/>
  <c r="T913" i="20" a="1"/>
  <c r="T913" i="20" s="1"/>
  <c r="R913" i="20" a="1"/>
  <c r="R913" i="20" s="1"/>
  <c r="P913" i="20" a="1"/>
  <c r="P913" i="20" s="1"/>
  <c r="N913" i="20" a="1"/>
  <c r="N913" i="20" s="1"/>
  <c r="L913" i="20" a="1"/>
  <c r="L913" i="20" s="1"/>
  <c r="J913" i="20" a="1"/>
  <c r="J913" i="20" s="1"/>
  <c r="H913" i="20" a="1"/>
  <c r="H913" i="20" s="1"/>
  <c r="W910" i="20" a="1"/>
  <c r="W910" i="20" s="1"/>
  <c r="S910" i="20" a="1"/>
  <c r="S910" i="20" s="1"/>
  <c r="O910" i="20" a="1"/>
  <c r="O910" i="20" s="1"/>
  <c r="K910" i="20" a="1"/>
  <c r="K910" i="20" s="1"/>
  <c r="G910" i="20" a="1"/>
  <c r="G910" i="20" s="1"/>
  <c r="Y910" i="20" a="1"/>
  <c r="Y910" i="20" s="1"/>
  <c r="U910" i="20" a="1"/>
  <c r="U910" i="20" s="1"/>
  <c r="Q910" i="20" a="1"/>
  <c r="Q910" i="20" s="1"/>
  <c r="M910" i="20" a="1"/>
  <c r="M910" i="20" s="1"/>
  <c r="I910" i="20" a="1"/>
  <c r="I910" i="20" s="1"/>
  <c r="X910" i="20" a="1"/>
  <c r="X910" i="20" s="1"/>
  <c r="V910" i="20" a="1"/>
  <c r="V910" i="20" s="1"/>
  <c r="T910" i="20" a="1"/>
  <c r="T910" i="20" s="1"/>
  <c r="R910" i="20" a="1"/>
  <c r="R910" i="20" s="1"/>
  <c r="P910" i="20" a="1"/>
  <c r="P910" i="20" s="1"/>
  <c r="N910" i="20" a="1"/>
  <c r="N910" i="20" s="1"/>
  <c r="L910" i="20" a="1"/>
  <c r="L910" i="20" s="1"/>
  <c r="J910" i="20" a="1"/>
  <c r="J910" i="20" s="1"/>
  <c r="H910" i="20" a="1"/>
  <c r="H910" i="20" s="1"/>
  <c r="X914" i="20" a="1"/>
  <c r="X914" i="20" s="1"/>
  <c r="V914" i="20" a="1"/>
  <c r="V914" i="20" s="1"/>
  <c r="T914" i="20" a="1"/>
  <c r="T914" i="20" s="1"/>
  <c r="R914" i="20" a="1"/>
  <c r="R914" i="20" s="1"/>
  <c r="N914" i="20" a="1"/>
  <c r="N914" i="20" s="1"/>
  <c r="J914" i="20" a="1"/>
  <c r="J914" i="20" s="1"/>
  <c r="Y914" i="20" a="1"/>
  <c r="Y914" i="20" s="1"/>
  <c r="W914" i="20" a="1"/>
  <c r="W914" i="20" s="1"/>
  <c r="U914" i="20" a="1"/>
  <c r="U914" i="20" s="1"/>
  <c r="S914" i="20" a="1"/>
  <c r="S914" i="20" s="1"/>
  <c r="Q914" i="20" a="1"/>
  <c r="Q914" i="20" s="1"/>
  <c r="O914" i="20" a="1"/>
  <c r="O914" i="20" s="1"/>
  <c r="M914" i="20" a="1"/>
  <c r="M914" i="20" s="1"/>
  <c r="K914" i="20" a="1"/>
  <c r="K914" i="20" s="1"/>
  <c r="I914" i="20" a="1"/>
  <c r="I914" i="20" s="1"/>
  <c r="G914" i="20" a="1"/>
  <c r="G914" i="20" s="1"/>
  <c r="P914" i="20" a="1"/>
  <c r="P914" i="20" s="1"/>
  <c r="L914" i="20" a="1"/>
  <c r="L914" i="20" s="1"/>
  <c r="H914" i="20" a="1"/>
  <c r="H914" i="20" s="1"/>
  <c r="Y939" i="20" a="1"/>
  <c r="Y939" i="20" s="1"/>
  <c r="W939" i="20" a="1"/>
  <c r="W939" i="20" s="1"/>
  <c r="U939" i="20" a="1"/>
  <c r="U939" i="20" s="1"/>
  <c r="S939" i="20" a="1"/>
  <c r="S939" i="20" s="1"/>
  <c r="Q939" i="20" a="1"/>
  <c r="Q939" i="20" s="1"/>
  <c r="O939" i="20" a="1"/>
  <c r="O939" i="20" s="1"/>
  <c r="M939" i="20" a="1"/>
  <c r="M939" i="20" s="1"/>
  <c r="K939" i="20" a="1"/>
  <c r="K939" i="20" s="1"/>
  <c r="I939" i="20" a="1"/>
  <c r="I939" i="20" s="1"/>
  <c r="G939" i="20" a="1"/>
  <c r="G939" i="20" s="1"/>
  <c r="X939" i="20" a="1"/>
  <c r="X939" i="20" s="1"/>
  <c r="V939" i="20" a="1"/>
  <c r="V939" i="20" s="1"/>
  <c r="T939" i="20" a="1"/>
  <c r="T939" i="20" s="1"/>
  <c r="R939" i="20" a="1"/>
  <c r="R939" i="20" s="1"/>
  <c r="P939" i="20" a="1"/>
  <c r="P939" i="20" s="1"/>
  <c r="N939" i="20" a="1"/>
  <c r="N939" i="20" s="1"/>
  <c r="L939" i="20" a="1"/>
  <c r="L939" i="20" s="1"/>
  <c r="J939" i="20" a="1"/>
  <c r="J939" i="20" s="1"/>
  <c r="H939" i="20" a="1"/>
  <c r="H939" i="20" s="1"/>
  <c r="O940" i="20" a="1"/>
  <c r="O940" i="20" s="1"/>
  <c r="X940" i="20" a="1"/>
  <c r="X940" i="20" s="1"/>
  <c r="V940" i="20" a="1"/>
  <c r="V940" i="20" s="1"/>
  <c r="T940" i="20" a="1"/>
  <c r="T940" i="20" s="1"/>
  <c r="R940" i="20" a="1"/>
  <c r="R940" i="20" s="1"/>
  <c r="P940" i="20" a="1"/>
  <c r="P940" i="20" s="1"/>
  <c r="N940" i="20" a="1"/>
  <c r="N940" i="20" s="1"/>
  <c r="L940" i="20" a="1"/>
  <c r="L940" i="20" s="1"/>
  <c r="J940" i="20" a="1"/>
  <c r="J940" i="20" s="1"/>
  <c r="H940" i="20" a="1"/>
  <c r="H940" i="20" s="1"/>
  <c r="Y940" i="20" a="1"/>
  <c r="Y940" i="20" s="1"/>
  <c r="W940" i="20" a="1"/>
  <c r="W940" i="20" s="1"/>
  <c r="U940" i="20" a="1"/>
  <c r="U940" i="20" s="1"/>
  <c r="S940" i="20" a="1"/>
  <c r="S940" i="20" s="1"/>
  <c r="Q940" i="20" a="1"/>
  <c r="Q940" i="20" s="1"/>
  <c r="M940" i="20" a="1"/>
  <c r="M940" i="20" s="1"/>
  <c r="K940" i="20" a="1"/>
  <c r="K940" i="20" s="1"/>
  <c r="I940" i="20" a="1"/>
  <c r="I940" i="20" s="1"/>
  <c r="G940" i="20" a="1"/>
  <c r="G940" i="20" s="1"/>
  <c r="Y941" i="20" a="1"/>
  <c r="Y941" i="20" s="1"/>
  <c r="W941" i="20" a="1"/>
  <c r="W941" i="20" s="1"/>
  <c r="U941" i="20" a="1"/>
  <c r="U941" i="20" s="1"/>
  <c r="S941" i="20" a="1"/>
  <c r="S941" i="20" s="1"/>
  <c r="Q941" i="20" a="1"/>
  <c r="Q941" i="20" s="1"/>
  <c r="O941" i="20" a="1"/>
  <c r="O941" i="20" s="1"/>
  <c r="M941" i="20" a="1"/>
  <c r="M941" i="20" s="1"/>
  <c r="K941" i="20" a="1"/>
  <c r="K941" i="20" s="1"/>
  <c r="I941" i="20" a="1"/>
  <c r="I941" i="20" s="1"/>
  <c r="G941" i="20" a="1"/>
  <c r="G941" i="20" s="1"/>
  <c r="X941" i="20" a="1"/>
  <c r="X941" i="20" s="1"/>
  <c r="V941" i="20" a="1"/>
  <c r="V941" i="20" s="1"/>
  <c r="T941" i="20" a="1"/>
  <c r="T941" i="20" s="1"/>
  <c r="R941" i="20" a="1"/>
  <c r="R941" i="20" s="1"/>
  <c r="P941" i="20" a="1"/>
  <c r="P941" i="20" s="1"/>
  <c r="N941" i="20" a="1"/>
  <c r="N941" i="20" s="1"/>
  <c r="L941" i="20" a="1"/>
  <c r="L941" i="20" s="1"/>
  <c r="J941" i="20" a="1"/>
  <c r="J941" i="20" s="1"/>
  <c r="H941" i="20" a="1"/>
  <c r="H941" i="20" s="1"/>
  <c r="K938" i="20" a="1"/>
  <c r="K938" i="20" s="1"/>
  <c r="G938" i="20" a="1"/>
  <c r="G938" i="20" s="1"/>
  <c r="Y938" i="20" a="1"/>
  <c r="Y938" i="20" s="1"/>
  <c r="W938" i="20" a="1"/>
  <c r="W938" i="20" s="1"/>
  <c r="U938" i="20" a="1"/>
  <c r="U938" i="20" s="1"/>
  <c r="S938" i="20" a="1"/>
  <c r="S938" i="20" s="1"/>
  <c r="Q938" i="20" a="1"/>
  <c r="Q938" i="20" s="1"/>
  <c r="O938" i="20" a="1"/>
  <c r="O938" i="20" s="1"/>
  <c r="M938" i="20" a="1"/>
  <c r="M938" i="20" s="1"/>
  <c r="I938" i="20" a="1"/>
  <c r="I938" i="20" s="1"/>
  <c r="X938" i="20" a="1"/>
  <c r="X938" i="20" s="1"/>
  <c r="V938" i="20" a="1"/>
  <c r="V938" i="20" s="1"/>
  <c r="T938" i="20" a="1"/>
  <c r="T938" i="20" s="1"/>
  <c r="R938" i="20" a="1"/>
  <c r="R938" i="20" s="1"/>
  <c r="P938" i="20" a="1"/>
  <c r="P938" i="20" s="1"/>
  <c r="N938" i="20" a="1"/>
  <c r="N938" i="20" s="1"/>
  <c r="L938" i="20" a="1"/>
  <c r="L938" i="20" s="1"/>
  <c r="J938" i="20" a="1"/>
  <c r="J938" i="20" s="1"/>
  <c r="H938" i="20" a="1"/>
  <c r="H938" i="20" s="1"/>
  <c r="Y942" i="20" a="1"/>
  <c r="Y942" i="20" s="1"/>
  <c r="W942" i="20" a="1"/>
  <c r="W942" i="20" s="1"/>
  <c r="U942" i="20" a="1"/>
  <c r="U942" i="20" s="1"/>
  <c r="S942" i="20" a="1"/>
  <c r="S942" i="20" s="1"/>
  <c r="Q942" i="20" a="1"/>
  <c r="Q942" i="20" s="1"/>
  <c r="O942" i="20" a="1"/>
  <c r="O942" i="20" s="1"/>
  <c r="M942" i="20" a="1"/>
  <c r="M942" i="20" s="1"/>
  <c r="K942" i="20" a="1"/>
  <c r="K942" i="20" s="1"/>
  <c r="I942" i="20" a="1"/>
  <c r="I942" i="20" s="1"/>
  <c r="G942" i="20" a="1"/>
  <c r="G942" i="20" s="1"/>
  <c r="X942" i="20" a="1"/>
  <c r="X942" i="20" s="1"/>
  <c r="V942" i="20" a="1"/>
  <c r="V942" i="20" s="1"/>
  <c r="T942" i="20" a="1"/>
  <c r="T942" i="20" s="1"/>
  <c r="R942" i="20" a="1"/>
  <c r="R942" i="20" s="1"/>
  <c r="P942" i="20" a="1"/>
  <c r="P942" i="20" s="1"/>
  <c r="N942" i="20" a="1"/>
  <c r="N942" i="20" s="1"/>
  <c r="L942" i="20" a="1"/>
  <c r="L942" i="20" s="1"/>
  <c r="J942" i="20" a="1"/>
  <c r="J942" i="20" s="1"/>
  <c r="H942" i="20" a="1"/>
  <c r="H942" i="20" s="1"/>
  <c r="X967" i="20" a="1"/>
  <c r="X967" i="20" s="1"/>
  <c r="V967" i="20" a="1"/>
  <c r="V967" i="20" s="1"/>
  <c r="T967" i="20" a="1"/>
  <c r="T967" i="20" s="1"/>
  <c r="R967" i="20" a="1"/>
  <c r="R967" i="20" s="1"/>
  <c r="P967" i="20" a="1"/>
  <c r="P967" i="20" s="1"/>
  <c r="N967" i="20" a="1"/>
  <c r="N967" i="20" s="1"/>
  <c r="L967" i="20" a="1"/>
  <c r="L967" i="20" s="1"/>
  <c r="J967" i="20" a="1"/>
  <c r="J967" i="20" s="1"/>
  <c r="H967" i="20" a="1"/>
  <c r="H967" i="20" s="1"/>
  <c r="Y967" i="20" a="1"/>
  <c r="Y967" i="20" s="1"/>
  <c r="W967" i="20" a="1"/>
  <c r="W967" i="20" s="1"/>
  <c r="U967" i="20" a="1"/>
  <c r="U967" i="20" s="1"/>
  <c r="S967" i="20" a="1"/>
  <c r="S967" i="20" s="1"/>
  <c r="Q967" i="20" a="1"/>
  <c r="Q967" i="20" s="1"/>
  <c r="O967" i="20" a="1"/>
  <c r="O967" i="20" s="1"/>
  <c r="M967" i="20" a="1"/>
  <c r="M967" i="20" s="1"/>
  <c r="K967" i="20" a="1"/>
  <c r="K967" i="20" s="1"/>
  <c r="I967" i="20" a="1"/>
  <c r="I967" i="20" s="1"/>
  <c r="G967" i="20" a="1"/>
  <c r="G967" i="20" s="1"/>
  <c r="X966" i="20" a="1"/>
  <c r="X966" i="20" s="1"/>
  <c r="V966" i="20" a="1"/>
  <c r="V966" i="20" s="1"/>
  <c r="T966" i="20" a="1"/>
  <c r="T966" i="20" s="1"/>
  <c r="Y966" i="20" a="1"/>
  <c r="Y966" i="20" s="1"/>
  <c r="W966" i="20" a="1"/>
  <c r="W966" i="20" s="1"/>
  <c r="U966" i="20" a="1"/>
  <c r="U966" i="20" s="1"/>
  <c r="S966" i="20" a="1"/>
  <c r="S966" i="20" s="1"/>
  <c r="Q966" i="20" a="1"/>
  <c r="Q966" i="20" s="1"/>
  <c r="O966" i="20" a="1"/>
  <c r="O966" i="20" s="1"/>
  <c r="M966" i="20" a="1"/>
  <c r="M966" i="20" s="1"/>
  <c r="K966" i="20" a="1"/>
  <c r="K966" i="20" s="1"/>
  <c r="I966" i="20" a="1"/>
  <c r="I966" i="20" s="1"/>
  <c r="G966" i="20" a="1"/>
  <c r="G966" i="20" s="1"/>
  <c r="N966" i="20" a="1"/>
  <c r="N966" i="20" s="1"/>
  <c r="X968" i="20" a="1"/>
  <c r="X968" i="20" s="1"/>
  <c r="V968" i="20" a="1"/>
  <c r="V968" i="20" s="1"/>
  <c r="T968" i="20" a="1"/>
  <c r="T968" i="20" s="1"/>
  <c r="R968" i="20" a="1"/>
  <c r="R968" i="20" s="1"/>
  <c r="L968" i="20" a="1"/>
  <c r="L968" i="20" s="1"/>
  <c r="J968" i="20" a="1"/>
  <c r="J968" i="20" s="1"/>
  <c r="Y968" i="20" a="1"/>
  <c r="Y968" i="20" s="1"/>
  <c r="W968" i="20" a="1"/>
  <c r="W968" i="20" s="1"/>
  <c r="U968" i="20" a="1"/>
  <c r="U968" i="20" s="1"/>
  <c r="S968" i="20" a="1"/>
  <c r="S968" i="20" s="1"/>
  <c r="Q968" i="20" a="1"/>
  <c r="Q968" i="20" s="1"/>
  <c r="O968" i="20" a="1"/>
  <c r="O968" i="20" s="1"/>
  <c r="M968" i="20" a="1"/>
  <c r="M968" i="20" s="1"/>
  <c r="K968" i="20" a="1"/>
  <c r="K968" i="20" s="1"/>
  <c r="I968" i="20" a="1"/>
  <c r="I968" i="20" s="1"/>
  <c r="G968" i="20" a="1"/>
  <c r="G968" i="20" s="1"/>
  <c r="P968" i="20" a="1"/>
  <c r="P968" i="20" s="1"/>
  <c r="N968" i="20" a="1"/>
  <c r="N968" i="20" s="1"/>
  <c r="H968" i="20" a="1"/>
  <c r="H968" i="20" s="1"/>
  <c r="H966" i="20" a="1"/>
  <c r="H966" i="20" s="1"/>
  <c r="P966" i="20" a="1"/>
  <c r="P966" i="20" s="1"/>
  <c r="X969" i="20" a="1"/>
  <c r="X969" i="20" s="1"/>
  <c r="V969" i="20" a="1"/>
  <c r="V969" i="20" s="1"/>
  <c r="R969" i="20" a="1"/>
  <c r="R969" i="20" s="1"/>
  <c r="N969" i="20" a="1"/>
  <c r="N969" i="20" s="1"/>
  <c r="L969" i="20" a="1"/>
  <c r="L969" i="20" s="1"/>
  <c r="J969" i="20" a="1"/>
  <c r="J969" i="20" s="1"/>
  <c r="H969" i="20" a="1"/>
  <c r="H969" i="20" s="1"/>
  <c r="Y969" i="20" a="1"/>
  <c r="Y969" i="20" s="1"/>
  <c r="W969" i="20" a="1"/>
  <c r="W969" i="20" s="1"/>
  <c r="U969" i="20" a="1"/>
  <c r="U969" i="20" s="1"/>
  <c r="S969" i="20" a="1"/>
  <c r="S969" i="20" s="1"/>
  <c r="Q969" i="20" a="1"/>
  <c r="Q969" i="20" s="1"/>
  <c r="O969" i="20" a="1"/>
  <c r="O969" i="20" s="1"/>
  <c r="M969" i="20" a="1"/>
  <c r="M969" i="20" s="1"/>
  <c r="K969" i="20" a="1"/>
  <c r="K969" i="20" s="1"/>
  <c r="I969" i="20" a="1"/>
  <c r="I969" i="20" s="1"/>
  <c r="G969" i="20" a="1"/>
  <c r="G969" i="20" s="1"/>
  <c r="P969" i="20" a="1"/>
  <c r="P969" i="20" s="1"/>
  <c r="T969" i="20" a="1"/>
  <c r="T969" i="20" s="1"/>
  <c r="J966" i="20" a="1"/>
  <c r="J966" i="20" s="1"/>
  <c r="R966" i="20" a="1"/>
  <c r="R966" i="20" s="1"/>
  <c r="Y970" i="20" a="1"/>
  <c r="Y970" i="20" s="1"/>
  <c r="W970" i="20" a="1"/>
  <c r="W970" i="20" s="1"/>
  <c r="U970" i="20" a="1"/>
  <c r="U970" i="20" s="1"/>
  <c r="S970" i="20" a="1"/>
  <c r="S970" i="20" s="1"/>
  <c r="Q970" i="20" a="1"/>
  <c r="Q970" i="20" s="1"/>
  <c r="O970" i="20" a="1"/>
  <c r="O970" i="20" s="1"/>
  <c r="M970" i="20" a="1"/>
  <c r="M970" i="20" s="1"/>
  <c r="K970" i="20" a="1"/>
  <c r="K970" i="20" s="1"/>
  <c r="I970" i="20" a="1"/>
  <c r="I970" i="20" s="1"/>
  <c r="G970" i="20" a="1"/>
  <c r="G970" i="20" s="1"/>
  <c r="X970" i="20" a="1"/>
  <c r="X970" i="20" s="1"/>
  <c r="V970" i="20" a="1"/>
  <c r="V970" i="20" s="1"/>
  <c r="T970" i="20" a="1"/>
  <c r="T970" i="20" s="1"/>
  <c r="R970" i="20" a="1"/>
  <c r="R970" i="20" s="1"/>
  <c r="P970" i="20" a="1"/>
  <c r="P970" i="20" s="1"/>
  <c r="N970" i="20" a="1"/>
  <c r="N970" i="20" s="1"/>
  <c r="L970" i="20" a="1"/>
  <c r="L970" i="20" s="1"/>
  <c r="J970" i="20" a="1"/>
  <c r="J970" i="20" s="1"/>
  <c r="H970" i="20" a="1"/>
  <c r="H970" i="20" s="1"/>
  <c r="Y995" i="20" a="1"/>
  <c r="Y995" i="20" s="1"/>
  <c r="W995" i="20" a="1"/>
  <c r="W995" i="20" s="1"/>
  <c r="U995" i="20" a="1"/>
  <c r="U995" i="20" s="1"/>
  <c r="S995" i="20" a="1"/>
  <c r="S995" i="20" s="1"/>
  <c r="Q995" i="20" a="1"/>
  <c r="Q995" i="20" s="1"/>
  <c r="M995" i="20" a="1"/>
  <c r="M995" i="20" s="1"/>
  <c r="K995" i="20" a="1"/>
  <c r="K995" i="20" s="1"/>
  <c r="I995" i="20" a="1"/>
  <c r="I995" i="20" s="1"/>
  <c r="G995" i="20" a="1"/>
  <c r="G995" i="20" s="1"/>
  <c r="O995" i="20" a="1"/>
  <c r="O995" i="20" s="1"/>
  <c r="N995" i="20" a="1"/>
  <c r="N995" i="20" s="1"/>
  <c r="V995" i="20" a="1"/>
  <c r="V995" i="20" s="1"/>
  <c r="J996" i="20" a="1"/>
  <c r="J996" i="20" s="1"/>
  <c r="R996" i="20" a="1"/>
  <c r="R996" i="20" s="1"/>
  <c r="J994" i="20" a="1"/>
  <c r="J994" i="20" s="1"/>
  <c r="R994" i="20" a="1"/>
  <c r="R994" i="20" s="1"/>
  <c r="L994" i="20" a="1"/>
  <c r="L994" i="20" s="1"/>
  <c r="H995" i="20" a="1"/>
  <c r="H995" i="20" s="1"/>
  <c r="P995" i="20" a="1"/>
  <c r="P995" i="20" s="1"/>
  <c r="X995" i="20" a="1"/>
  <c r="X995" i="20" s="1"/>
  <c r="L996" i="20" a="1"/>
  <c r="L996" i="20" s="1"/>
  <c r="M996" i="20" a="1"/>
  <c r="M996" i="20" s="1"/>
  <c r="I996" i="20" a="1"/>
  <c r="I996" i="20" s="1"/>
  <c r="G996" i="20" a="1"/>
  <c r="G996" i="20" s="1"/>
  <c r="X996" i="20" a="1"/>
  <c r="X996" i="20" s="1"/>
  <c r="V996" i="20" a="1"/>
  <c r="V996" i="20" s="1"/>
  <c r="Y996" i="20" a="1"/>
  <c r="Y996" i="20" s="1"/>
  <c r="W996" i="20" a="1"/>
  <c r="W996" i="20" s="1"/>
  <c r="U996" i="20" a="1"/>
  <c r="U996" i="20" s="1"/>
  <c r="S996" i="20" a="1"/>
  <c r="S996" i="20" s="1"/>
  <c r="Q996" i="20" a="1"/>
  <c r="Q996" i="20" s="1"/>
  <c r="O996" i="20" a="1"/>
  <c r="O996" i="20" s="1"/>
  <c r="K996" i="20" a="1"/>
  <c r="K996" i="20" s="1"/>
  <c r="N996" i="20" a="1"/>
  <c r="N996" i="20" s="1"/>
  <c r="O997" i="20" a="1"/>
  <c r="O997" i="20" s="1"/>
  <c r="Y997" i="20" a="1"/>
  <c r="Y997" i="20" s="1"/>
  <c r="W997" i="20" a="1"/>
  <c r="W997" i="20" s="1"/>
  <c r="U997" i="20" a="1"/>
  <c r="U997" i="20" s="1"/>
  <c r="S997" i="20" a="1"/>
  <c r="S997" i="20" s="1"/>
  <c r="Q997" i="20" a="1"/>
  <c r="Q997" i="20" s="1"/>
  <c r="M997" i="20" a="1"/>
  <c r="M997" i="20" s="1"/>
  <c r="K997" i="20" a="1"/>
  <c r="K997" i="20" s="1"/>
  <c r="I997" i="20" a="1"/>
  <c r="I997" i="20" s="1"/>
  <c r="G997" i="20" a="1"/>
  <c r="G997" i="20" s="1"/>
  <c r="X997" i="20" a="1"/>
  <c r="X997" i="20" s="1"/>
  <c r="V997" i="20" a="1"/>
  <c r="V997" i="20" s="1"/>
  <c r="T997" i="20" a="1"/>
  <c r="T997" i="20" s="1"/>
  <c r="R997" i="20" a="1"/>
  <c r="R997" i="20" s="1"/>
  <c r="P997" i="20" a="1"/>
  <c r="P997" i="20" s="1"/>
  <c r="N997" i="20" a="1"/>
  <c r="N997" i="20" s="1"/>
  <c r="L997" i="20" a="1"/>
  <c r="L997" i="20" s="1"/>
  <c r="J997" i="20" a="1"/>
  <c r="J997" i="20" s="1"/>
  <c r="H997" i="20" a="1"/>
  <c r="H997" i="20" s="1"/>
  <c r="Y994" i="20" a="1"/>
  <c r="Y994" i="20" s="1"/>
  <c r="W994" i="20" a="1"/>
  <c r="W994" i="20" s="1"/>
  <c r="U994" i="20" a="1"/>
  <c r="U994" i="20" s="1"/>
  <c r="S994" i="20" a="1"/>
  <c r="S994" i="20" s="1"/>
  <c r="Q994" i="20" a="1"/>
  <c r="Q994" i="20" s="1"/>
  <c r="O994" i="20" a="1"/>
  <c r="O994" i="20" s="1"/>
  <c r="M994" i="20" a="1"/>
  <c r="M994" i="20" s="1"/>
  <c r="K994" i="20" a="1"/>
  <c r="K994" i="20" s="1"/>
  <c r="I994" i="20" a="1"/>
  <c r="I994" i="20" s="1"/>
  <c r="G994" i="20" a="1"/>
  <c r="G994" i="20" s="1"/>
  <c r="N994" i="20" a="1"/>
  <c r="N994" i="20" s="1"/>
  <c r="V994" i="20" a="1"/>
  <c r="V994" i="20" s="1"/>
  <c r="J995" i="20" a="1"/>
  <c r="J995" i="20" s="1"/>
  <c r="R995" i="20" a="1"/>
  <c r="R995" i="20" s="1"/>
  <c r="H994" i="20" a="1"/>
  <c r="H994" i="20" s="1"/>
  <c r="P994" i="20" a="1"/>
  <c r="P994" i="20" s="1"/>
  <c r="X994" i="20" a="1"/>
  <c r="X994" i="20" s="1"/>
  <c r="L995" i="20" a="1"/>
  <c r="L995" i="20" s="1"/>
  <c r="T995" i="20" a="1"/>
  <c r="T995" i="20" s="1"/>
  <c r="H996" i="20" a="1"/>
  <c r="H996" i="20" s="1"/>
  <c r="P996" i="20" a="1"/>
  <c r="P996" i="20" s="1"/>
  <c r="Y998" i="20" a="1"/>
  <c r="Y998" i="20" s="1"/>
  <c r="W998" i="20" a="1"/>
  <c r="W998" i="20" s="1"/>
  <c r="U998" i="20" a="1"/>
  <c r="U998" i="20" s="1"/>
  <c r="S998" i="20" a="1"/>
  <c r="S998" i="20" s="1"/>
  <c r="Q998" i="20" a="1"/>
  <c r="Q998" i="20" s="1"/>
  <c r="O998" i="20" a="1"/>
  <c r="O998" i="20" s="1"/>
  <c r="M998" i="20" a="1"/>
  <c r="M998" i="20" s="1"/>
  <c r="K998" i="20" a="1"/>
  <c r="K998" i="20" s="1"/>
  <c r="I998" i="20" a="1"/>
  <c r="I998" i="20" s="1"/>
  <c r="G998" i="20" a="1"/>
  <c r="G998" i="20" s="1"/>
  <c r="X998" i="20" a="1"/>
  <c r="X998" i="20" s="1"/>
  <c r="V998" i="20" a="1"/>
  <c r="V998" i="20" s="1"/>
  <c r="T998" i="20" a="1"/>
  <c r="T998" i="20" s="1"/>
  <c r="R998" i="20" a="1"/>
  <c r="R998" i="20" s="1"/>
  <c r="P998" i="20" a="1"/>
  <c r="P998" i="20" s="1"/>
  <c r="N998" i="20" a="1"/>
  <c r="N998" i="20" s="1"/>
  <c r="L998" i="20" a="1"/>
  <c r="L998" i="20" s="1"/>
  <c r="J998" i="20" a="1"/>
  <c r="J998" i="20" s="1"/>
  <c r="H998" i="20" a="1"/>
  <c r="H998" i="20" s="1"/>
  <c r="Y1023" i="20" a="1"/>
  <c r="Y1023" i="20" s="1"/>
  <c r="W1023" i="20" a="1"/>
  <c r="W1023" i="20" s="1"/>
  <c r="U1023" i="20" a="1"/>
  <c r="U1023" i="20" s="1"/>
  <c r="S1023" i="20" a="1"/>
  <c r="S1023" i="20" s="1"/>
  <c r="Q1023" i="20" a="1"/>
  <c r="Q1023" i="20" s="1"/>
  <c r="O1023" i="20" a="1"/>
  <c r="O1023" i="20" s="1"/>
  <c r="M1023" i="20" a="1"/>
  <c r="M1023" i="20" s="1"/>
  <c r="K1023" i="20" a="1"/>
  <c r="K1023" i="20" s="1"/>
  <c r="I1023" i="20" a="1"/>
  <c r="I1023" i="20" s="1"/>
  <c r="G1023" i="20" a="1"/>
  <c r="G1023" i="20" s="1"/>
  <c r="N1023" i="20" a="1"/>
  <c r="N1023" i="20" s="1"/>
  <c r="V1023" i="20" a="1"/>
  <c r="V1023" i="20" s="1"/>
  <c r="J1024" i="20" a="1"/>
  <c r="J1024" i="20" s="1"/>
  <c r="R1024" i="20" a="1"/>
  <c r="R1024" i="20" s="1"/>
  <c r="J1022" i="20" a="1"/>
  <c r="J1022" i="20" s="1"/>
  <c r="R1022" i="20" a="1"/>
  <c r="R1022" i="20" s="1"/>
  <c r="L1022" i="20" a="1"/>
  <c r="L1022" i="20" s="1"/>
  <c r="H1023" i="20" a="1"/>
  <c r="H1023" i="20" s="1"/>
  <c r="P1023" i="20" a="1"/>
  <c r="P1023" i="20" s="1"/>
  <c r="X1023" i="20" a="1"/>
  <c r="X1023" i="20" s="1"/>
  <c r="L1024" i="20" a="1"/>
  <c r="L1024" i="20" s="1"/>
  <c r="U1024" i="20" a="1"/>
  <c r="U1024" i="20" s="1"/>
  <c r="Q1024" i="20" a="1"/>
  <c r="Q1024" i="20" s="1"/>
  <c r="O1024" i="20" a="1"/>
  <c r="O1024" i="20" s="1"/>
  <c r="M1024" i="20" a="1"/>
  <c r="M1024" i="20" s="1"/>
  <c r="K1024" i="20" a="1"/>
  <c r="K1024" i="20" s="1"/>
  <c r="I1024" i="20" a="1"/>
  <c r="I1024" i="20" s="1"/>
  <c r="X1024" i="20" a="1"/>
  <c r="X1024" i="20" s="1"/>
  <c r="V1024" i="20" a="1"/>
  <c r="V1024" i="20" s="1"/>
  <c r="Y1024" i="20" a="1"/>
  <c r="Y1024" i="20" s="1"/>
  <c r="W1024" i="20" a="1"/>
  <c r="W1024" i="20" s="1"/>
  <c r="S1024" i="20" a="1"/>
  <c r="S1024" i="20" s="1"/>
  <c r="G1024" i="20" a="1"/>
  <c r="G1024" i="20" s="1"/>
  <c r="N1024" i="20" a="1"/>
  <c r="N1024" i="20" s="1"/>
  <c r="Y1025" i="20" a="1"/>
  <c r="Y1025" i="20" s="1"/>
  <c r="W1025" i="20" a="1"/>
  <c r="W1025" i="20" s="1"/>
  <c r="U1025" i="20" a="1"/>
  <c r="U1025" i="20" s="1"/>
  <c r="S1025" i="20" a="1"/>
  <c r="S1025" i="20" s="1"/>
  <c r="Q1025" i="20" a="1"/>
  <c r="Q1025" i="20" s="1"/>
  <c r="O1025" i="20" a="1"/>
  <c r="O1025" i="20" s="1"/>
  <c r="M1025" i="20" a="1"/>
  <c r="M1025" i="20" s="1"/>
  <c r="K1025" i="20" a="1"/>
  <c r="K1025" i="20" s="1"/>
  <c r="I1025" i="20" a="1"/>
  <c r="I1025" i="20" s="1"/>
  <c r="G1025" i="20" a="1"/>
  <c r="G1025" i="20" s="1"/>
  <c r="X1025" i="20" a="1"/>
  <c r="X1025" i="20" s="1"/>
  <c r="V1025" i="20" a="1"/>
  <c r="V1025" i="20" s="1"/>
  <c r="T1025" i="20" a="1"/>
  <c r="T1025" i="20" s="1"/>
  <c r="R1025" i="20" a="1"/>
  <c r="R1025" i="20" s="1"/>
  <c r="P1025" i="20" a="1"/>
  <c r="P1025" i="20" s="1"/>
  <c r="N1025" i="20" a="1"/>
  <c r="N1025" i="20" s="1"/>
  <c r="L1025" i="20" a="1"/>
  <c r="L1025" i="20" s="1"/>
  <c r="J1025" i="20" a="1"/>
  <c r="J1025" i="20" s="1"/>
  <c r="H1025" i="20" a="1"/>
  <c r="H1025" i="20" s="1"/>
  <c r="Y1022" i="20" a="1"/>
  <c r="Y1022" i="20" s="1"/>
  <c r="W1022" i="20" a="1"/>
  <c r="W1022" i="20" s="1"/>
  <c r="U1022" i="20" a="1"/>
  <c r="U1022" i="20" s="1"/>
  <c r="S1022" i="20" a="1"/>
  <c r="S1022" i="20" s="1"/>
  <c r="Q1022" i="20" a="1"/>
  <c r="Q1022" i="20" s="1"/>
  <c r="O1022" i="20" a="1"/>
  <c r="O1022" i="20" s="1"/>
  <c r="G1022" i="20" a="1"/>
  <c r="G1022" i="20" s="1"/>
  <c r="M1022" i="20" a="1"/>
  <c r="M1022" i="20" s="1"/>
  <c r="K1022" i="20" a="1"/>
  <c r="K1022" i="20" s="1"/>
  <c r="I1022" i="20" a="1"/>
  <c r="I1022" i="20" s="1"/>
  <c r="N1022" i="20" a="1"/>
  <c r="N1022" i="20" s="1"/>
  <c r="V1022" i="20" a="1"/>
  <c r="V1022" i="20" s="1"/>
  <c r="J1023" i="20" a="1"/>
  <c r="J1023" i="20" s="1"/>
  <c r="R1023" i="20" a="1"/>
  <c r="R1023" i="20" s="1"/>
  <c r="H1022" i="20" a="1"/>
  <c r="H1022" i="20" s="1"/>
  <c r="P1022" i="20" a="1"/>
  <c r="P1022" i="20" s="1"/>
  <c r="X1022" i="20" a="1"/>
  <c r="X1022" i="20" s="1"/>
  <c r="L1023" i="20" a="1"/>
  <c r="L1023" i="20" s="1"/>
  <c r="T1023" i="20" a="1"/>
  <c r="T1023" i="20" s="1"/>
  <c r="H1024" i="20" a="1"/>
  <c r="H1024" i="20" s="1"/>
  <c r="P1024" i="20" a="1"/>
  <c r="P1024" i="20" s="1"/>
  <c r="S1026" i="20" a="1"/>
  <c r="S1026" i="20" s="1"/>
  <c r="Y1026" i="20" a="1"/>
  <c r="Y1026" i="20" s="1"/>
  <c r="W1026" i="20" a="1"/>
  <c r="W1026" i="20" s="1"/>
  <c r="U1026" i="20" a="1"/>
  <c r="U1026" i="20" s="1"/>
  <c r="Q1026" i="20" a="1"/>
  <c r="Q1026" i="20" s="1"/>
  <c r="O1026" i="20" a="1"/>
  <c r="O1026" i="20" s="1"/>
  <c r="M1026" i="20" a="1"/>
  <c r="M1026" i="20" s="1"/>
  <c r="K1026" i="20" a="1"/>
  <c r="K1026" i="20" s="1"/>
  <c r="I1026" i="20" a="1"/>
  <c r="I1026" i="20" s="1"/>
  <c r="G1026" i="20" a="1"/>
  <c r="G1026" i="20" s="1"/>
  <c r="R1026" i="20" a="1"/>
  <c r="R1026" i="20" s="1"/>
  <c r="X1026" i="20" a="1"/>
  <c r="X1026" i="20" s="1"/>
  <c r="V1026" i="20" a="1"/>
  <c r="V1026" i="20" s="1"/>
  <c r="T1026" i="20" a="1"/>
  <c r="T1026" i="20" s="1"/>
  <c r="P1026" i="20" a="1"/>
  <c r="P1026" i="20" s="1"/>
  <c r="N1026" i="20" a="1"/>
  <c r="N1026" i="20" s="1"/>
  <c r="L1026" i="20" a="1"/>
  <c r="L1026" i="20" s="1"/>
  <c r="J1026" i="20" a="1"/>
  <c r="J1026" i="20" s="1"/>
  <c r="H1026" i="20" a="1"/>
  <c r="H1026" i="20" s="1"/>
  <c r="J1050" i="20" a="1"/>
  <c r="J1050" i="20" s="1"/>
  <c r="N1050" i="20" a="1"/>
  <c r="N1050" i="20" s="1"/>
  <c r="R1050" i="20" a="1"/>
  <c r="R1050" i="20" s="1"/>
  <c r="V1050" i="20" a="1"/>
  <c r="V1050" i="20" s="1"/>
  <c r="J1053" i="20" a="1"/>
  <c r="J1053" i="20" s="1"/>
  <c r="N1053" i="20" a="1"/>
  <c r="N1053" i="20" s="1"/>
  <c r="V1053" i="20" a="1"/>
  <c r="V1053" i="20" s="1"/>
  <c r="H1050" i="20" a="1"/>
  <c r="H1050" i="20" s="1"/>
  <c r="L1050" i="20" a="1"/>
  <c r="L1050" i="20" s="1"/>
  <c r="P1050" i="20" a="1"/>
  <c r="P1050" i="20" s="1"/>
  <c r="T1050" i="20" a="1"/>
  <c r="T1050" i="20" s="1"/>
  <c r="X1050" i="20" a="1"/>
  <c r="X1050" i="20" s="1"/>
  <c r="H1051" i="20" a="1"/>
  <c r="H1051" i="20" s="1"/>
  <c r="L1051" i="20" a="1"/>
  <c r="L1051" i="20" s="1"/>
  <c r="P1051" i="20" a="1"/>
  <c r="P1051" i="20" s="1"/>
  <c r="T1051" i="20" a="1"/>
  <c r="T1051" i="20" s="1"/>
  <c r="X1051" i="20" a="1"/>
  <c r="X1051" i="20" s="1"/>
  <c r="H1052" i="20" a="1"/>
  <c r="H1052" i="20" s="1"/>
  <c r="L1052" i="20" a="1"/>
  <c r="L1052" i="20" s="1"/>
  <c r="P1052" i="20" a="1"/>
  <c r="P1052" i="20" s="1"/>
  <c r="T1052" i="20" a="1"/>
  <c r="T1052" i="20" s="1"/>
  <c r="X1052" i="20" a="1"/>
  <c r="X1052" i="20" s="1"/>
  <c r="H1053" i="20" a="1"/>
  <c r="H1053" i="20" s="1"/>
  <c r="L1053" i="20" a="1"/>
  <c r="L1053" i="20" s="1"/>
  <c r="P1053" i="20" a="1"/>
  <c r="P1053" i="20" s="1"/>
  <c r="T1053" i="20" a="1"/>
  <c r="T1053" i="20" s="1"/>
  <c r="X1053" i="20" a="1"/>
  <c r="X1053" i="20" s="1"/>
  <c r="H1054" i="20" a="1"/>
  <c r="H1054" i="20" s="1"/>
  <c r="L1054" i="20" a="1"/>
  <c r="L1054" i="20" s="1"/>
  <c r="P1054" i="20" a="1"/>
  <c r="P1054" i="20" s="1"/>
  <c r="T1054" i="20" a="1"/>
  <c r="T1054" i="20" s="1"/>
  <c r="X1054" i="20" a="1"/>
  <c r="X1054" i="20" s="1"/>
  <c r="J1051" i="20" a="1"/>
  <c r="J1051" i="20" s="1"/>
  <c r="N1051" i="20" a="1"/>
  <c r="N1051" i="20" s="1"/>
  <c r="R1051" i="20" a="1"/>
  <c r="R1051" i="20" s="1"/>
  <c r="V1051" i="20" a="1"/>
  <c r="V1051" i="20" s="1"/>
  <c r="J1052" i="20" a="1"/>
  <c r="J1052" i="20" s="1"/>
  <c r="V1052" i="20" a="1"/>
  <c r="V1052" i="20" s="1"/>
  <c r="I1050" i="20" a="1"/>
  <c r="I1050" i="20" s="1"/>
  <c r="M1050" i="20" a="1"/>
  <c r="M1050" i="20" s="1"/>
  <c r="Q1050" i="20" a="1"/>
  <c r="Q1050" i="20" s="1"/>
  <c r="U1050" i="20" a="1"/>
  <c r="U1050" i="20" s="1"/>
  <c r="Y1050" i="20" a="1"/>
  <c r="Y1050" i="20" s="1"/>
  <c r="I1051" i="20" a="1"/>
  <c r="I1051" i="20" s="1"/>
  <c r="M1051" i="20" a="1"/>
  <c r="M1051" i="20" s="1"/>
  <c r="Q1051" i="20" a="1"/>
  <c r="Q1051" i="20" s="1"/>
  <c r="U1051" i="20" a="1"/>
  <c r="U1051" i="20" s="1"/>
  <c r="Y1051" i="20" a="1"/>
  <c r="Y1051" i="20" s="1"/>
  <c r="I1052" i="20" a="1"/>
  <c r="I1052" i="20" s="1"/>
  <c r="M1052" i="20" a="1"/>
  <c r="M1052" i="20" s="1"/>
  <c r="Q1052" i="20" a="1"/>
  <c r="Q1052" i="20" s="1"/>
  <c r="U1052" i="20" a="1"/>
  <c r="U1052" i="20" s="1"/>
  <c r="Y1052" i="20" a="1"/>
  <c r="Y1052" i="20" s="1"/>
  <c r="I1053" i="20" a="1"/>
  <c r="I1053" i="20" s="1"/>
  <c r="M1053" i="20" a="1"/>
  <c r="M1053" i="20" s="1"/>
  <c r="Q1053" i="20" a="1"/>
  <c r="Q1053" i="20" s="1"/>
  <c r="U1053" i="20" a="1"/>
  <c r="U1053" i="20" s="1"/>
  <c r="Y1053" i="20" a="1"/>
  <c r="Y1053" i="20" s="1"/>
  <c r="I1054" i="20" a="1"/>
  <c r="I1054" i="20" s="1"/>
  <c r="M1054" i="20" a="1"/>
  <c r="M1054" i="20" s="1"/>
  <c r="Q1054" i="20" a="1"/>
  <c r="Q1054" i="20" s="1"/>
  <c r="U1054" i="20" a="1"/>
  <c r="U1054" i="20" s="1"/>
  <c r="Y1054" i="20" a="1"/>
  <c r="Y1054" i="20" s="1"/>
  <c r="J1054" i="20" a="1"/>
  <c r="J1054" i="20" s="1"/>
  <c r="N1054" i="20" a="1"/>
  <c r="N1054" i="20" s="1"/>
  <c r="R1054" i="20" a="1"/>
  <c r="R1054" i="20" s="1"/>
  <c r="V1054" i="20" a="1"/>
  <c r="V1054" i="20" s="1"/>
  <c r="N1052" i="20" a="1"/>
  <c r="N1052" i="20" s="1"/>
  <c r="R1052" i="20" a="1"/>
  <c r="R1052" i="20" s="1"/>
  <c r="R1053" i="20" a="1"/>
  <c r="R1053" i="20" s="1"/>
  <c r="G1050" i="20" a="1"/>
  <c r="G1050" i="20" s="1"/>
  <c r="K1050" i="20" a="1"/>
  <c r="K1050" i="20" s="1"/>
  <c r="O1050" i="20" a="1"/>
  <c r="O1050" i="20" s="1"/>
  <c r="S1050" i="20" a="1"/>
  <c r="S1050" i="20" s="1"/>
  <c r="G1051" i="20" a="1"/>
  <c r="G1051" i="20" s="1"/>
  <c r="K1051" i="20" a="1"/>
  <c r="K1051" i="20" s="1"/>
  <c r="O1051" i="20" a="1"/>
  <c r="O1051" i="20" s="1"/>
  <c r="S1051" i="20" a="1"/>
  <c r="S1051" i="20" s="1"/>
  <c r="G1052" i="20" a="1"/>
  <c r="G1052" i="20" s="1"/>
  <c r="K1052" i="20" a="1"/>
  <c r="K1052" i="20" s="1"/>
  <c r="O1052" i="20" a="1"/>
  <c r="O1052" i="20" s="1"/>
  <c r="S1052" i="20" a="1"/>
  <c r="S1052" i="20" s="1"/>
  <c r="G1053" i="20" a="1"/>
  <c r="G1053" i="20" s="1"/>
  <c r="K1053" i="20" a="1"/>
  <c r="K1053" i="20" s="1"/>
  <c r="O1053" i="20" a="1"/>
  <c r="O1053" i="20" s="1"/>
  <c r="S1053" i="20" a="1"/>
  <c r="S1053" i="20" s="1"/>
  <c r="G1054" i="20" a="1"/>
  <c r="G1054" i="20" s="1"/>
  <c r="K1054" i="20" a="1"/>
  <c r="K1054" i="20" s="1"/>
  <c r="O1054" i="20" a="1"/>
  <c r="O1054" i="20" s="1"/>
  <c r="S1054" i="20" a="1"/>
  <c r="S1054" i="20" s="1"/>
  <c r="Y1107" i="20" a="1"/>
  <c r="Y1107" i="20" s="1"/>
  <c r="W1107" i="20" a="1"/>
  <c r="W1107" i="20" s="1"/>
  <c r="U1107" i="20" a="1"/>
  <c r="U1107" i="20" s="1"/>
  <c r="S1107" i="20" a="1"/>
  <c r="S1107" i="20" s="1"/>
  <c r="Q1107" i="20" a="1"/>
  <c r="Q1107" i="20" s="1"/>
  <c r="O1107" i="20" a="1"/>
  <c r="O1107" i="20" s="1"/>
  <c r="M1107" i="20" a="1"/>
  <c r="M1107" i="20" s="1"/>
  <c r="K1107" i="20" a="1"/>
  <c r="K1107" i="20" s="1"/>
  <c r="I1107" i="20" a="1"/>
  <c r="I1107" i="20" s="1"/>
  <c r="G1107" i="20" a="1"/>
  <c r="G1107" i="20" s="1"/>
  <c r="X1107" i="20" a="1"/>
  <c r="X1107" i="20" s="1"/>
  <c r="V1107" i="20" a="1"/>
  <c r="V1107" i="20" s="1"/>
  <c r="T1107" i="20" a="1"/>
  <c r="T1107" i="20" s="1"/>
  <c r="R1107" i="20" a="1"/>
  <c r="R1107" i="20" s="1"/>
  <c r="P1107" i="20" a="1"/>
  <c r="P1107" i="20" s="1"/>
  <c r="N1107" i="20" a="1"/>
  <c r="N1107" i="20" s="1"/>
  <c r="L1107" i="20" a="1"/>
  <c r="L1107" i="20" s="1"/>
  <c r="J1107" i="20" a="1"/>
  <c r="J1107" i="20" s="1"/>
  <c r="H1107" i="20" a="1"/>
  <c r="H1107" i="20" s="1"/>
  <c r="X1108" i="20" a="1"/>
  <c r="X1108" i="20" s="1"/>
  <c r="V1108" i="20" a="1"/>
  <c r="V1108" i="20" s="1"/>
  <c r="T1108" i="20" a="1"/>
  <c r="T1108" i="20" s="1"/>
  <c r="R1108" i="20" a="1"/>
  <c r="R1108" i="20" s="1"/>
  <c r="P1108" i="20" a="1"/>
  <c r="P1108" i="20" s="1"/>
  <c r="N1108" i="20" a="1"/>
  <c r="N1108" i="20" s="1"/>
  <c r="L1108" i="20" a="1"/>
  <c r="L1108" i="20" s="1"/>
  <c r="J1108" i="20" a="1"/>
  <c r="J1108" i="20" s="1"/>
  <c r="H1108" i="20" a="1"/>
  <c r="H1108" i="20" s="1"/>
  <c r="Y1108" i="20" a="1"/>
  <c r="Y1108" i="20" s="1"/>
  <c r="W1108" i="20" a="1"/>
  <c r="W1108" i="20" s="1"/>
  <c r="U1108" i="20" a="1"/>
  <c r="U1108" i="20" s="1"/>
  <c r="S1108" i="20" a="1"/>
  <c r="S1108" i="20" s="1"/>
  <c r="Q1108" i="20" a="1"/>
  <c r="Q1108" i="20" s="1"/>
  <c r="O1108" i="20" a="1"/>
  <c r="O1108" i="20" s="1"/>
  <c r="M1108" i="20" a="1"/>
  <c r="M1108" i="20" s="1"/>
  <c r="K1108" i="20" a="1"/>
  <c r="K1108" i="20" s="1"/>
  <c r="I1108" i="20" a="1"/>
  <c r="I1108" i="20" s="1"/>
  <c r="G1108" i="20" a="1"/>
  <c r="G1108" i="20" s="1"/>
  <c r="Y1109" i="20" a="1"/>
  <c r="Y1109" i="20" s="1"/>
  <c r="W1109" i="20" a="1"/>
  <c r="W1109" i="20" s="1"/>
  <c r="U1109" i="20" a="1"/>
  <c r="U1109" i="20" s="1"/>
  <c r="S1109" i="20" a="1"/>
  <c r="S1109" i="20" s="1"/>
  <c r="Q1109" i="20" a="1"/>
  <c r="Q1109" i="20" s="1"/>
  <c r="O1109" i="20" a="1"/>
  <c r="O1109" i="20" s="1"/>
  <c r="M1109" i="20" a="1"/>
  <c r="M1109" i="20" s="1"/>
  <c r="K1109" i="20" a="1"/>
  <c r="K1109" i="20" s="1"/>
  <c r="I1109" i="20" a="1"/>
  <c r="I1109" i="20" s="1"/>
  <c r="G1109" i="20" a="1"/>
  <c r="G1109" i="20" s="1"/>
  <c r="X1109" i="20" a="1"/>
  <c r="X1109" i="20" s="1"/>
  <c r="V1109" i="20" a="1"/>
  <c r="V1109" i="20" s="1"/>
  <c r="T1109" i="20" a="1"/>
  <c r="T1109" i="20" s="1"/>
  <c r="R1109" i="20" a="1"/>
  <c r="R1109" i="20" s="1"/>
  <c r="P1109" i="20" a="1"/>
  <c r="P1109" i="20" s="1"/>
  <c r="N1109" i="20" a="1"/>
  <c r="N1109" i="20" s="1"/>
  <c r="L1109" i="20" a="1"/>
  <c r="L1109" i="20" s="1"/>
  <c r="J1109" i="20" a="1"/>
  <c r="J1109" i="20" s="1"/>
  <c r="H1109" i="20" a="1"/>
  <c r="H1109" i="20" s="1"/>
  <c r="M1106" i="20" a="1"/>
  <c r="M1106" i="20" s="1"/>
  <c r="Y1106" i="20" a="1"/>
  <c r="Y1106" i="20" s="1"/>
  <c r="W1106" i="20" a="1"/>
  <c r="W1106" i="20" s="1"/>
  <c r="U1106" i="20" a="1"/>
  <c r="U1106" i="20" s="1"/>
  <c r="S1106" i="20" a="1"/>
  <c r="S1106" i="20" s="1"/>
  <c r="Q1106" i="20" a="1"/>
  <c r="Q1106" i="20" s="1"/>
  <c r="O1106" i="20" a="1"/>
  <c r="O1106" i="20" s="1"/>
  <c r="K1106" i="20" a="1"/>
  <c r="K1106" i="20" s="1"/>
  <c r="I1106" i="20" a="1"/>
  <c r="I1106" i="20" s="1"/>
  <c r="G1106" i="20" a="1"/>
  <c r="G1106" i="20" s="1"/>
  <c r="X1106" i="20" a="1"/>
  <c r="X1106" i="20" s="1"/>
  <c r="V1106" i="20" a="1"/>
  <c r="V1106" i="20" s="1"/>
  <c r="T1106" i="20" a="1"/>
  <c r="T1106" i="20" s="1"/>
  <c r="R1106" i="20" a="1"/>
  <c r="R1106" i="20" s="1"/>
  <c r="P1106" i="20" a="1"/>
  <c r="P1106" i="20" s="1"/>
  <c r="N1106" i="20" a="1"/>
  <c r="N1106" i="20" s="1"/>
  <c r="L1106" i="20" a="1"/>
  <c r="L1106" i="20" s="1"/>
  <c r="J1106" i="20" a="1"/>
  <c r="J1106" i="20" s="1"/>
  <c r="H1106" i="20" a="1"/>
  <c r="H1106" i="20" s="1"/>
  <c r="Y1110" i="20" a="1"/>
  <c r="Y1110" i="20" s="1"/>
  <c r="W1110" i="20" a="1"/>
  <c r="W1110" i="20" s="1"/>
  <c r="U1110" i="20" a="1"/>
  <c r="U1110" i="20" s="1"/>
  <c r="S1110" i="20" a="1"/>
  <c r="S1110" i="20" s="1"/>
  <c r="Q1110" i="20" a="1"/>
  <c r="Q1110" i="20" s="1"/>
  <c r="O1110" i="20" a="1"/>
  <c r="O1110" i="20" s="1"/>
  <c r="M1110" i="20" a="1"/>
  <c r="M1110" i="20" s="1"/>
  <c r="K1110" i="20" a="1"/>
  <c r="K1110" i="20" s="1"/>
  <c r="I1110" i="20" a="1"/>
  <c r="I1110" i="20" s="1"/>
  <c r="G1110" i="20" a="1"/>
  <c r="G1110" i="20" s="1"/>
  <c r="X1110" i="20" a="1"/>
  <c r="X1110" i="20" s="1"/>
  <c r="V1110" i="20" a="1"/>
  <c r="V1110" i="20" s="1"/>
  <c r="T1110" i="20" a="1"/>
  <c r="T1110" i="20" s="1"/>
  <c r="R1110" i="20" a="1"/>
  <c r="R1110" i="20" s="1"/>
  <c r="P1110" i="20" a="1"/>
  <c r="P1110" i="20" s="1"/>
  <c r="N1110" i="20" a="1"/>
  <c r="N1110" i="20" s="1"/>
  <c r="L1110" i="20" a="1"/>
  <c r="L1110" i="20" s="1"/>
  <c r="J1110" i="20" a="1"/>
  <c r="J1110" i="20" s="1"/>
  <c r="H1110" i="20" a="1"/>
  <c r="H1110" i="20" s="1"/>
  <c r="Y1136" i="20" a="1"/>
  <c r="Y1136" i="20" s="1"/>
  <c r="U1136" i="20" a="1"/>
  <c r="U1136" i="20" s="1"/>
  <c r="Q1136" i="20" a="1"/>
  <c r="Q1136" i="20" s="1"/>
  <c r="M1136" i="20" a="1"/>
  <c r="M1136" i="20" s="1"/>
  <c r="K1136" i="20" a="1"/>
  <c r="K1136" i="20" s="1"/>
  <c r="G1136" i="20" a="1"/>
  <c r="G1136" i="20" s="1"/>
  <c r="W1136" i="20" a="1"/>
  <c r="W1136" i="20" s="1"/>
  <c r="S1136" i="20" a="1"/>
  <c r="S1136" i="20" s="1"/>
  <c r="O1136" i="20" a="1"/>
  <c r="O1136" i="20" s="1"/>
  <c r="I1136" i="20" a="1"/>
  <c r="I1136" i="20" s="1"/>
  <c r="N1136" i="20" a="1"/>
  <c r="N1136" i="20" s="1"/>
  <c r="V1136" i="20" a="1"/>
  <c r="V1136" i="20" s="1"/>
  <c r="W1134" i="20" a="1"/>
  <c r="W1134" i="20" s="1"/>
  <c r="U1134" i="20" a="1"/>
  <c r="U1134" i="20" s="1"/>
  <c r="S1134" i="20" a="1"/>
  <c r="S1134" i="20" s="1"/>
  <c r="Q1134" i="20" a="1"/>
  <c r="Q1134" i="20" s="1"/>
  <c r="Y1134" i="20" a="1"/>
  <c r="Y1134" i="20" s="1"/>
  <c r="O1134" i="20" a="1"/>
  <c r="O1134" i="20" s="1"/>
  <c r="J1134" i="20" a="1"/>
  <c r="J1134" i="20" s="1"/>
  <c r="N1134" i="20" a="1"/>
  <c r="N1134" i="20" s="1"/>
  <c r="V1134" i="20" a="1"/>
  <c r="V1134" i="20" s="1"/>
  <c r="J1135" i="20" a="1"/>
  <c r="J1135" i="20" s="1"/>
  <c r="R1135" i="20" a="1"/>
  <c r="R1135" i="20" s="1"/>
  <c r="G1134" i="20" a="1"/>
  <c r="G1134" i="20" s="1"/>
  <c r="K1134" i="20" a="1"/>
  <c r="K1134" i="20" s="1"/>
  <c r="P1134" i="20" a="1"/>
  <c r="P1134" i="20" s="1"/>
  <c r="X1134" i="20" a="1"/>
  <c r="X1134" i="20" s="1"/>
  <c r="L1135" i="20" a="1"/>
  <c r="L1135" i="20" s="1"/>
  <c r="H1136" i="20" a="1"/>
  <c r="H1136" i="20" s="1"/>
  <c r="P1136" i="20" a="1"/>
  <c r="P1136" i="20" s="1"/>
  <c r="X1136" i="20" a="1"/>
  <c r="X1136" i="20" s="1"/>
  <c r="Y1135" i="20" a="1"/>
  <c r="Y1135" i="20" s="1"/>
  <c r="W1135" i="20" a="1"/>
  <c r="W1135" i="20" s="1"/>
  <c r="U1135" i="20" a="1"/>
  <c r="U1135" i="20" s="1"/>
  <c r="Q1135" i="20" a="1"/>
  <c r="Q1135" i="20" s="1"/>
  <c r="O1135" i="20" a="1"/>
  <c r="O1135" i="20" s="1"/>
  <c r="K1135" i="20" a="1"/>
  <c r="K1135" i="20" s="1"/>
  <c r="I1135" i="20" a="1"/>
  <c r="I1135" i="20" s="1"/>
  <c r="G1135" i="20" a="1"/>
  <c r="G1135" i="20" s="1"/>
  <c r="S1135" i="20" a="1"/>
  <c r="S1135" i="20" s="1"/>
  <c r="M1135" i="20" a="1"/>
  <c r="M1135" i="20" s="1"/>
  <c r="N1135" i="20" a="1"/>
  <c r="N1135" i="20" s="1"/>
  <c r="V1135" i="20" a="1"/>
  <c r="V1135" i="20" s="1"/>
  <c r="J1136" i="20" a="1"/>
  <c r="J1136" i="20" s="1"/>
  <c r="R1136" i="20" a="1"/>
  <c r="R1136" i="20" s="1"/>
  <c r="W1137" i="20" a="1"/>
  <c r="W1137" i="20" s="1"/>
  <c r="S1137" i="20" a="1"/>
  <c r="S1137" i="20" s="1"/>
  <c r="Q1137" i="20" a="1"/>
  <c r="Q1137" i="20" s="1"/>
  <c r="M1137" i="20" a="1"/>
  <c r="M1137" i="20" s="1"/>
  <c r="I1137" i="20" a="1"/>
  <c r="I1137" i="20" s="1"/>
  <c r="G1137" i="20" a="1"/>
  <c r="G1137" i="20" s="1"/>
  <c r="Y1137" i="20" a="1"/>
  <c r="Y1137" i="20" s="1"/>
  <c r="U1137" i="20" a="1"/>
  <c r="U1137" i="20" s="1"/>
  <c r="O1137" i="20" a="1"/>
  <c r="O1137" i="20" s="1"/>
  <c r="K1137" i="20" a="1"/>
  <c r="K1137" i="20" s="1"/>
  <c r="X1137" i="20" a="1"/>
  <c r="X1137" i="20" s="1"/>
  <c r="V1137" i="20" a="1"/>
  <c r="V1137" i="20" s="1"/>
  <c r="T1137" i="20" a="1"/>
  <c r="T1137" i="20" s="1"/>
  <c r="R1137" i="20" a="1"/>
  <c r="R1137" i="20" s="1"/>
  <c r="P1137" i="20" a="1"/>
  <c r="P1137" i="20" s="1"/>
  <c r="N1137" i="20" a="1"/>
  <c r="N1137" i="20" s="1"/>
  <c r="L1137" i="20" a="1"/>
  <c r="L1137" i="20" s="1"/>
  <c r="J1137" i="20" a="1"/>
  <c r="J1137" i="20" s="1"/>
  <c r="H1137" i="20" a="1"/>
  <c r="H1137" i="20" s="1"/>
  <c r="H1134" i="20" a="1"/>
  <c r="H1134" i="20" s="1"/>
  <c r="L1134" i="20" a="1"/>
  <c r="L1134" i="20" s="1"/>
  <c r="R1134" i="20" a="1"/>
  <c r="R1134" i="20" s="1"/>
  <c r="I1134" i="20" a="1"/>
  <c r="I1134" i="20" s="1"/>
  <c r="M1134" i="20" a="1"/>
  <c r="M1134" i="20" s="1"/>
  <c r="T1134" i="20" a="1"/>
  <c r="T1134" i="20" s="1"/>
  <c r="H1135" i="20" a="1"/>
  <c r="H1135" i="20" s="1"/>
  <c r="P1135" i="20" a="1"/>
  <c r="P1135" i="20" s="1"/>
  <c r="X1135" i="20" a="1"/>
  <c r="X1135" i="20" s="1"/>
  <c r="L1136" i="20" a="1"/>
  <c r="L1136" i="20" s="1"/>
  <c r="T1136" i="20" a="1"/>
  <c r="T1136" i="20" s="1"/>
  <c r="W1138" i="20" a="1"/>
  <c r="W1138" i="20" s="1"/>
  <c r="Y1138" i="20" a="1"/>
  <c r="Y1138" i="20" s="1"/>
  <c r="U1138" i="20" a="1"/>
  <c r="U1138" i="20" s="1"/>
  <c r="S1138" i="20" a="1"/>
  <c r="S1138" i="20" s="1"/>
  <c r="Q1138" i="20" a="1"/>
  <c r="Q1138" i="20" s="1"/>
  <c r="O1138" i="20" a="1"/>
  <c r="O1138" i="20" s="1"/>
  <c r="M1138" i="20" a="1"/>
  <c r="M1138" i="20" s="1"/>
  <c r="K1138" i="20" a="1"/>
  <c r="K1138" i="20" s="1"/>
  <c r="I1138" i="20" a="1"/>
  <c r="I1138" i="20" s="1"/>
  <c r="G1138" i="20" a="1"/>
  <c r="G1138" i="20" s="1"/>
  <c r="X1138" i="20" a="1"/>
  <c r="X1138" i="20" s="1"/>
  <c r="V1138" i="20" a="1"/>
  <c r="V1138" i="20" s="1"/>
  <c r="T1138" i="20" a="1"/>
  <c r="T1138" i="20" s="1"/>
  <c r="R1138" i="20" a="1"/>
  <c r="R1138" i="20" s="1"/>
  <c r="P1138" i="20" a="1"/>
  <c r="P1138" i="20" s="1"/>
  <c r="N1138" i="20" a="1"/>
  <c r="N1138" i="20" s="1"/>
  <c r="L1138" i="20" a="1"/>
  <c r="L1138" i="20" s="1"/>
  <c r="J1138" i="20" a="1"/>
  <c r="J1138" i="20" s="1"/>
  <c r="H1138" i="20" a="1"/>
  <c r="H1138" i="20" s="1"/>
  <c r="Y156" i="20" a="1"/>
  <c r="Y156" i="20" s="1"/>
  <c r="W156" i="20" a="1"/>
  <c r="W156" i="20" s="1"/>
  <c r="S156" i="20" a="1"/>
  <c r="S156" i="20" s="1"/>
  <c r="Q156" i="20" a="1"/>
  <c r="Q156" i="20" s="1"/>
  <c r="M156" i="20" a="1"/>
  <c r="M156" i="20" s="1"/>
  <c r="K156" i="20" a="1"/>
  <c r="K156" i="20" s="1"/>
  <c r="G156" i="20" a="1"/>
  <c r="G156" i="20" s="1"/>
  <c r="U156" i="20" a="1"/>
  <c r="U156" i="20" s="1"/>
  <c r="O156" i="20" a="1"/>
  <c r="O156" i="20" s="1"/>
  <c r="I156" i="20" a="1"/>
  <c r="I156" i="20" s="1"/>
  <c r="N156" i="20" a="1"/>
  <c r="N156" i="20" s="1"/>
  <c r="V156" i="20" a="1"/>
  <c r="V156" i="20" s="1"/>
  <c r="I154" i="20" a="1"/>
  <c r="I154" i="20" s="1"/>
  <c r="M154" i="20" a="1"/>
  <c r="M154" i="20" s="1"/>
  <c r="Q154" i="20" a="1"/>
  <c r="Q154" i="20" s="1"/>
  <c r="U154" i="20" a="1"/>
  <c r="U154" i="20" s="1"/>
  <c r="G154" i="20" a="1"/>
  <c r="G154" i="20" s="1"/>
  <c r="K154" i="20" a="1"/>
  <c r="K154" i="20" s="1"/>
  <c r="O154" i="20" a="1"/>
  <c r="O154" i="20" s="1"/>
  <c r="S154" i="20" a="1"/>
  <c r="S154" i="20" s="1"/>
  <c r="W154" i="20" a="1"/>
  <c r="W154" i="20" s="1"/>
  <c r="J155" i="20" a="1"/>
  <c r="J155" i="20" s="1"/>
  <c r="R155" i="20" a="1"/>
  <c r="R155" i="20" s="1"/>
  <c r="H154" i="20" a="1"/>
  <c r="H154" i="20" s="1"/>
  <c r="L154" i="20" a="1"/>
  <c r="L154" i="20" s="1"/>
  <c r="P154" i="20" a="1"/>
  <c r="P154" i="20" s="1"/>
  <c r="T154" i="20" a="1"/>
  <c r="T154" i="20" s="1"/>
  <c r="L155" i="20" a="1"/>
  <c r="L155" i="20" s="1"/>
  <c r="H156" i="20" a="1"/>
  <c r="H156" i="20" s="1"/>
  <c r="P156" i="20" a="1"/>
  <c r="P156" i="20" s="1"/>
  <c r="X156" i="20" a="1"/>
  <c r="X156" i="20" s="1"/>
  <c r="Y155" i="20" a="1"/>
  <c r="Y155" i="20" s="1"/>
  <c r="W155" i="20" a="1"/>
  <c r="W155" i="20" s="1"/>
  <c r="S155" i="20" a="1"/>
  <c r="S155" i="20" s="1"/>
  <c r="Q155" i="20" a="1"/>
  <c r="Q155" i="20" s="1"/>
  <c r="M155" i="20" a="1"/>
  <c r="M155" i="20" s="1"/>
  <c r="I155" i="20" a="1"/>
  <c r="I155" i="20" s="1"/>
  <c r="G155" i="20" a="1"/>
  <c r="G155" i="20" s="1"/>
  <c r="U155" i="20" a="1"/>
  <c r="U155" i="20" s="1"/>
  <c r="O155" i="20" a="1"/>
  <c r="O155" i="20" s="1"/>
  <c r="K155" i="20" a="1"/>
  <c r="K155" i="20" s="1"/>
  <c r="N155" i="20" a="1"/>
  <c r="N155" i="20" s="1"/>
  <c r="V155" i="20" a="1"/>
  <c r="V155" i="20" s="1"/>
  <c r="J156" i="20" a="1"/>
  <c r="J156" i="20" s="1"/>
  <c r="R156" i="20" a="1"/>
  <c r="R156" i="20" s="1"/>
  <c r="W157" i="20" a="1"/>
  <c r="W157" i="20" s="1"/>
  <c r="U157" i="20" a="1"/>
  <c r="U157" i="20" s="1"/>
  <c r="Q157" i="20" a="1"/>
  <c r="Q157" i="20" s="1"/>
  <c r="O157" i="20" a="1"/>
  <c r="O157" i="20" s="1"/>
  <c r="K157" i="20" a="1"/>
  <c r="K157" i="20" s="1"/>
  <c r="I157" i="20" a="1"/>
  <c r="I157" i="20" s="1"/>
  <c r="Y157" i="20" a="1"/>
  <c r="Y157" i="20" s="1"/>
  <c r="S157" i="20" a="1"/>
  <c r="S157" i="20" s="1"/>
  <c r="M157" i="20" a="1"/>
  <c r="M157" i="20" s="1"/>
  <c r="G157" i="20" a="1"/>
  <c r="G157" i="20" s="1"/>
  <c r="X157" i="20" a="1"/>
  <c r="X157" i="20" s="1"/>
  <c r="V157" i="20" a="1"/>
  <c r="V157" i="20" s="1"/>
  <c r="T157" i="20" a="1"/>
  <c r="T157" i="20" s="1"/>
  <c r="R157" i="20" a="1"/>
  <c r="R157" i="20" s="1"/>
  <c r="P157" i="20" a="1"/>
  <c r="P157" i="20" s="1"/>
  <c r="N157" i="20" a="1"/>
  <c r="N157" i="20" s="1"/>
  <c r="L157" i="20" a="1"/>
  <c r="L157" i="20" s="1"/>
  <c r="J157" i="20" a="1"/>
  <c r="J157" i="20" s="1"/>
  <c r="H157" i="20" a="1"/>
  <c r="H157" i="20" s="1"/>
  <c r="Y154" i="20" a="1"/>
  <c r="Y154" i="20" s="1"/>
  <c r="F159" i="20" a="1"/>
  <c r="J154" i="20" a="1"/>
  <c r="J154" i="20" s="1"/>
  <c r="N154" i="20" a="1"/>
  <c r="N154" i="20" s="1"/>
  <c r="R154" i="20" a="1"/>
  <c r="R154" i="20" s="1"/>
  <c r="V154" i="20" a="1"/>
  <c r="V154" i="20" s="1"/>
  <c r="H155" i="20" a="1"/>
  <c r="H155" i="20" s="1"/>
  <c r="P155" i="20" a="1"/>
  <c r="P155" i="20" s="1"/>
  <c r="X155" i="20" a="1"/>
  <c r="X155" i="20" s="1"/>
  <c r="L156" i="20" a="1"/>
  <c r="L156" i="20" s="1"/>
  <c r="T156" i="20" a="1"/>
  <c r="T156" i="20" s="1"/>
  <c r="Y158" i="20" a="1"/>
  <c r="Y158" i="20" s="1"/>
  <c r="K158" i="20" a="1"/>
  <c r="K158" i="20" s="1"/>
  <c r="G158" i="20" a="1"/>
  <c r="G158" i="20" s="1"/>
  <c r="W158" i="20" a="1"/>
  <c r="W158" i="20" s="1"/>
  <c r="U158" i="20" a="1"/>
  <c r="U158" i="20" s="1"/>
  <c r="S158" i="20" a="1"/>
  <c r="S158" i="20" s="1"/>
  <c r="Q158" i="20" a="1"/>
  <c r="Q158" i="20" s="1"/>
  <c r="O158" i="20" a="1"/>
  <c r="O158" i="20" s="1"/>
  <c r="M158" i="20" a="1"/>
  <c r="M158" i="20" s="1"/>
  <c r="I158" i="20" a="1"/>
  <c r="I158" i="20" s="1"/>
  <c r="X158" i="20" a="1"/>
  <c r="X158" i="20" s="1"/>
  <c r="V158" i="20" a="1"/>
  <c r="V158" i="20" s="1"/>
  <c r="T158" i="20" a="1"/>
  <c r="T158" i="20" s="1"/>
  <c r="R158" i="20" a="1"/>
  <c r="R158" i="20" s="1"/>
  <c r="P158" i="20" a="1"/>
  <c r="P158" i="20" s="1"/>
  <c r="N158" i="20" a="1"/>
  <c r="N158" i="20" s="1"/>
  <c r="L158" i="20" a="1"/>
  <c r="L158" i="20" s="1"/>
  <c r="J158" i="20" a="1"/>
  <c r="J158" i="20" s="1"/>
  <c r="H158" i="20" a="1"/>
  <c r="H158" i="20" s="1"/>
  <c r="I127" i="20" a="1"/>
  <c r="I127" i="20" s="1"/>
  <c r="N127" i="20" a="1"/>
  <c r="N127" i="20" s="1"/>
  <c r="V127" i="20" a="1"/>
  <c r="V127" i="20" s="1"/>
  <c r="J128" i="20" a="1"/>
  <c r="J128" i="20" s="1"/>
  <c r="R128" i="20" a="1"/>
  <c r="R128" i="20" s="1"/>
  <c r="F131" i="20" a="1"/>
  <c r="J126" i="20" a="1"/>
  <c r="J126" i="20" s="1"/>
  <c r="N126" i="20" a="1"/>
  <c r="N126" i="20" s="1"/>
  <c r="R126" i="20" a="1"/>
  <c r="R126" i="20" s="1"/>
  <c r="V126" i="20" a="1"/>
  <c r="V126" i="20" s="1"/>
  <c r="G126" i="20" a="1"/>
  <c r="G126" i="20" s="1"/>
  <c r="K126" i="20" a="1"/>
  <c r="K126" i="20" s="1"/>
  <c r="O126" i="20" a="1"/>
  <c r="O126" i="20" s="1"/>
  <c r="S126" i="20" a="1"/>
  <c r="S126" i="20" s="1"/>
  <c r="W126" i="20" a="1"/>
  <c r="W126" i="20" s="1"/>
  <c r="G127" i="20" a="1"/>
  <c r="G127" i="20" s="1"/>
  <c r="K127" i="20" a="1"/>
  <c r="K127" i="20" s="1"/>
  <c r="R127" i="20" a="1"/>
  <c r="R127" i="20" s="1"/>
  <c r="H126" i="20" a="1"/>
  <c r="H126" i="20" s="1"/>
  <c r="L126" i="20" a="1"/>
  <c r="L126" i="20" s="1"/>
  <c r="P126" i="20" a="1"/>
  <c r="P126" i="20" s="1"/>
  <c r="T126" i="20" a="1"/>
  <c r="T126" i="20" s="1"/>
  <c r="X126" i="20" a="1"/>
  <c r="X126" i="20" s="1"/>
  <c r="H127" i="20" a="1"/>
  <c r="H127" i="20" s="1"/>
  <c r="L127" i="20" a="1"/>
  <c r="L127" i="20" s="1"/>
  <c r="H128" i="20" a="1"/>
  <c r="H128" i="20" s="1"/>
  <c r="P128" i="20" a="1"/>
  <c r="P128" i="20" s="1"/>
  <c r="X128" i="20" a="1"/>
  <c r="X128" i="20" s="1"/>
  <c r="L129" i="20" a="1"/>
  <c r="L129" i="20" s="1"/>
  <c r="Y129" i="20" a="1"/>
  <c r="Y129" i="20" s="1"/>
  <c r="W129" i="20" a="1"/>
  <c r="W129" i="20" s="1"/>
  <c r="S129" i="20" a="1"/>
  <c r="S129" i="20" s="1"/>
  <c r="Q129" i="20" a="1"/>
  <c r="Q129" i="20" s="1"/>
  <c r="O129" i="20" a="1"/>
  <c r="O129" i="20" s="1"/>
  <c r="K129" i="20" a="1"/>
  <c r="K129" i="20" s="1"/>
  <c r="I129" i="20" a="1"/>
  <c r="I129" i="20" s="1"/>
  <c r="U129" i="20" a="1"/>
  <c r="U129" i="20" s="1"/>
  <c r="M129" i="20" a="1"/>
  <c r="M129" i="20" s="1"/>
  <c r="G129" i="20" a="1"/>
  <c r="G129" i="20" s="1"/>
  <c r="N129" i="20" a="1"/>
  <c r="N129" i="20" s="1"/>
  <c r="V129" i="20" a="1"/>
  <c r="V129" i="20" s="1"/>
  <c r="W127" i="20" a="1"/>
  <c r="W127" i="20" s="1"/>
  <c r="U127" i="20" a="1"/>
  <c r="U127" i="20" s="1"/>
  <c r="S127" i="20" a="1"/>
  <c r="S127" i="20" s="1"/>
  <c r="O127" i="20" a="1"/>
  <c r="O127" i="20" s="1"/>
  <c r="M127" i="20" a="1"/>
  <c r="M127" i="20" s="1"/>
  <c r="Y127" i="20" a="1"/>
  <c r="Y127" i="20" s="1"/>
  <c r="Q127" i="20" a="1"/>
  <c r="Q127" i="20" s="1"/>
  <c r="J127" i="20" a="1"/>
  <c r="J127" i="20" s="1"/>
  <c r="P127" i="20" a="1"/>
  <c r="P127" i="20" s="1"/>
  <c r="X127" i="20" a="1"/>
  <c r="X127" i="20" s="1"/>
  <c r="L128" i="20" a="1"/>
  <c r="L128" i="20" s="1"/>
  <c r="H129" i="20" a="1"/>
  <c r="H129" i="20" s="1"/>
  <c r="P129" i="20" a="1"/>
  <c r="P129" i="20" s="1"/>
  <c r="X129" i="20" a="1"/>
  <c r="X129" i="20" s="1"/>
  <c r="Y128" i="20" a="1"/>
  <c r="Y128" i="20" s="1"/>
  <c r="U128" i="20" a="1"/>
  <c r="U128" i="20" s="1"/>
  <c r="S128" i="20" a="1"/>
  <c r="S128" i="20" s="1"/>
  <c r="O128" i="20" a="1"/>
  <c r="O128" i="20" s="1"/>
  <c r="M128" i="20" a="1"/>
  <c r="M128" i="20" s="1"/>
  <c r="I128" i="20" a="1"/>
  <c r="I128" i="20" s="1"/>
  <c r="G128" i="20" a="1"/>
  <c r="G128" i="20" s="1"/>
  <c r="W128" i="20" a="1"/>
  <c r="W128" i="20" s="1"/>
  <c r="Q128" i="20" a="1"/>
  <c r="Q128" i="20" s="1"/>
  <c r="K128" i="20" a="1"/>
  <c r="K128" i="20" s="1"/>
  <c r="N128" i="20" a="1"/>
  <c r="N128" i="20" s="1"/>
  <c r="V128" i="20" a="1"/>
  <c r="V128" i="20" s="1"/>
  <c r="J129" i="20" a="1"/>
  <c r="J129" i="20" s="1"/>
  <c r="R129" i="20" a="1"/>
  <c r="R129" i="20" s="1"/>
  <c r="Y130" i="20" a="1"/>
  <c r="Y130" i="20" s="1"/>
  <c r="O130" i="20" a="1"/>
  <c r="O130" i="20" s="1"/>
  <c r="K130" i="20" a="1"/>
  <c r="K130" i="20" s="1"/>
  <c r="I130" i="20" a="1"/>
  <c r="I130" i="20" s="1"/>
  <c r="W130" i="20" a="1"/>
  <c r="W130" i="20" s="1"/>
  <c r="U130" i="20" a="1"/>
  <c r="U130" i="20" s="1"/>
  <c r="S130" i="20" a="1"/>
  <c r="S130" i="20" s="1"/>
  <c r="Q130" i="20" a="1"/>
  <c r="Q130" i="20" s="1"/>
  <c r="M130" i="20" a="1"/>
  <c r="M130" i="20" s="1"/>
  <c r="G130" i="20" a="1"/>
  <c r="G130" i="20" s="1"/>
  <c r="X130" i="20" a="1"/>
  <c r="X130" i="20" s="1"/>
  <c r="V130" i="20" a="1"/>
  <c r="V130" i="20" s="1"/>
  <c r="T130" i="20" a="1"/>
  <c r="T130" i="20" s="1"/>
  <c r="R130" i="20" a="1"/>
  <c r="R130" i="20" s="1"/>
  <c r="P130" i="20" a="1"/>
  <c r="P130" i="20" s="1"/>
  <c r="N130" i="20" a="1"/>
  <c r="N130" i="20" s="1"/>
  <c r="L130" i="20" a="1"/>
  <c r="L130" i="20" s="1"/>
  <c r="J130" i="20" a="1"/>
  <c r="J130" i="20" s="1"/>
  <c r="H130" i="20" a="1"/>
  <c r="H130" i="20" s="1"/>
  <c r="Y99" i="20" a="1"/>
  <c r="Y99" i="20" s="1"/>
  <c r="W99" i="20" a="1"/>
  <c r="W99" i="20" s="1"/>
  <c r="U99" i="20" a="1"/>
  <c r="U99" i="20" s="1"/>
  <c r="Q99" i="20" a="1"/>
  <c r="Q99" i="20" s="1"/>
  <c r="S99" i="20" a="1"/>
  <c r="S99" i="20" s="1"/>
  <c r="J99" i="20" a="1"/>
  <c r="J99" i="20" s="1"/>
  <c r="N99" i="20" a="1"/>
  <c r="N99" i="20" s="1"/>
  <c r="T99" i="20" a="1"/>
  <c r="T99" i="20" s="1"/>
  <c r="H100" i="20" a="1"/>
  <c r="H100" i="20" s="1"/>
  <c r="P100" i="20" a="1"/>
  <c r="P100" i="20" s="1"/>
  <c r="X100" i="20" a="1"/>
  <c r="X100" i="20" s="1"/>
  <c r="L101" i="20" a="1"/>
  <c r="L101" i="20" s="1"/>
  <c r="Y101" i="20" a="1"/>
  <c r="Y101" i="20" s="1"/>
  <c r="U101" i="20" a="1"/>
  <c r="U101" i="20" s="1"/>
  <c r="S101" i="20" a="1"/>
  <c r="S101" i="20" s="1"/>
  <c r="O101" i="20" a="1"/>
  <c r="O101" i="20" s="1"/>
  <c r="M101" i="20" a="1"/>
  <c r="M101" i="20" s="1"/>
  <c r="K101" i="20" a="1"/>
  <c r="K101" i="20" s="1"/>
  <c r="I101" i="20" a="1"/>
  <c r="I101" i="20" s="1"/>
  <c r="W101" i="20" a="1"/>
  <c r="W101" i="20" s="1"/>
  <c r="Q101" i="20" a="1"/>
  <c r="Q101" i="20" s="1"/>
  <c r="G101" i="20" a="1"/>
  <c r="G101" i="20" s="1"/>
  <c r="N101" i="20" a="1"/>
  <c r="N101" i="20" s="1"/>
  <c r="V101" i="20" a="1"/>
  <c r="V101" i="20" s="1"/>
  <c r="I99" i="20" a="1"/>
  <c r="I99" i="20" s="1"/>
  <c r="M99" i="20" a="1"/>
  <c r="M99" i="20" s="1"/>
  <c r="R99" i="20" a="1"/>
  <c r="R99" i="20" s="1"/>
  <c r="F103" i="20" a="1"/>
  <c r="J98" i="20" a="1"/>
  <c r="J98" i="20" s="1"/>
  <c r="N98" i="20" a="1"/>
  <c r="N98" i="20" s="1"/>
  <c r="R98" i="20" a="1"/>
  <c r="R98" i="20" s="1"/>
  <c r="V98" i="20" a="1"/>
  <c r="V98" i="20" s="1"/>
  <c r="G98" i="20" a="1"/>
  <c r="G98" i="20" s="1"/>
  <c r="K98" i="20" a="1"/>
  <c r="K98" i="20" s="1"/>
  <c r="O98" i="20" a="1"/>
  <c r="O98" i="20" s="1"/>
  <c r="S98" i="20" a="1"/>
  <c r="S98" i="20" s="1"/>
  <c r="W98" i="20" a="1"/>
  <c r="W98" i="20" s="1"/>
  <c r="G99" i="20" a="1"/>
  <c r="G99" i="20" s="1"/>
  <c r="K99" i="20" a="1"/>
  <c r="K99" i="20" s="1"/>
  <c r="O99" i="20" a="1"/>
  <c r="O99" i="20" s="1"/>
  <c r="V99" i="20" a="1"/>
  <c r="V99" i="20" s="1"/>
  <c r="J100" i="20" a="1"/>
  <c r="J100" i="20" s="1"/>
  <c r="R100" i="20" a="1"/>
  <c r="R100" i="20" s="1"/>
  <c r="H98" i="20" a="1"/>
  <c r="H98" i="20" s="1"/>
  <c r="L98" i="20" a="1"/>
  <c r="L98" i="20" s="1"/>
  <c r="P98" i="20" a="1"/>
  <c r="P98" i="20" s="1"/>
  <c r="T98" i="20" a="1"/>
  <c r="T98" i="20" s="1"/>
  <c r="X98" i="20" a="1"/>
  <c r="X98" i="20" s="1"/>
  <c r="H99" i="20" a="1"/>
  <c r="H99" i="20" s="1"/>
  <c r="L99" i="20" a="1"/>
  <c r="L99" i="20" s="1"/>
  <c r="P99" i="20" a="1"/>
  <c r="P99" i="20" s="1"/>
  <c r="X99" i="20" a="1"/>
  <c r="X99" i="20" s="1"/>
  <c r="L100" i="20" a="1"/>
  <c r="L100" i="20" s="1"/>
  <c r="H101" i="20" a="1"/>
  <c r="H101" i="20" s="1"/>
  <c r="P101" i="20" a="1"/>
  <c r="P101" i="20" s="1"/>
  <c r="X101" i="20" a="1"/>
  <c r="X101" i="20" s="1"/>
  <c r="Y100" i="20" a="1"/>
  <c r="Y100" i="20" s="1"/>
  <c r="W100" i="20" a="1"/>
  <c r="W100" i="20" s="1"/>
  <c r="U100" i="20" a="1"/>
  <c r="U100" i="20" s="1"/>
  <c r="Q100" i="20" a="1"/>
  <c r="Q100" i="20" s="1"/>
  <c r="M100" i="20" a="1"/>
  <c r="M100" i="20" s="1"/>
  <c r="K100" i="20" a="1"/>
  <c r="K100" i="20" s="1"/>
  <c r="I100" i="20" a="1"/>
  <c r="I100" i="20" s="1"/>
  <c r="S100" i="20" a="1"/>
  <c r="S100" i="20" s="1"/>
  <c r="O100" i="20" a="1"/>
  <c r="O100" i="20" s="1"/>
  <c r="G100" i="20" a="1"/>
  <c r="G100" i="20" s="1"/>
  <c r="N100" i="20" a="1"/>
  <c r="N100" i="20" s="1"/>
  <c r="V100" i="20" a="1"/>
  <c r="V100" i="20" s="1"/>
  <c r="J101" i="20" a="1"/>
  <c r="J101" i="20" s="1"/>
  <c r="R101" i="20" a="1"/>
  <c r="R101" i="20" s="1"/>
  <c r="Y102" i="20" a="1"/>
  <c r="Y102" i="20" s="1"/>
  <c r="M102" i="20" a="1"/>
  <c r="M102" i="20" s="1"/>
  <c r="K102" i="20" a="1"/>
  <c r="K102" i="20" s="1"/>
  <c r="I102" i="20" a="1"/>
  <c r="I102" i="20" s="1"/>
  <c r="W102" i="20" a="1"/>
  <c r="W102" i="20" s="1"/>
  <c r="U102" i="20" a="1"/>
  <c r="U102" i="20" s="1"/>
  <c r="S102" i="20" a="1"/>
  <c r="S102" i="20" s="1"/>
  <c r="Q102" i="20" a="1"/>
  <c r="Q102" i="20" s="1"/>
  <c r="O102" i="20" a="1"/>
  <c r="O102" i="20" s="1"/>
  <c r="G102" i="20" a="1"/>
  <c r="G102" i="20" s="1"/>
  <c r="X102" i="20" a="1"/>
  <c r="X102" i="20" s="1"/>
  <c r="V102" i="20" a="1"/>
  <c r="V102" i="20" s="1"/>
  <c r="T102" i="20" a="1"/>
  <c r="T102" i="20" s="1"/>
  <c r="R102" i="20" a="1"/>
  <c r="R102" i="20" s="1"/>
  <c r="P102" i="20" a="1"/>
  <c r="P102" i="20" s="1"/>
  <c r="N102" i="20" a="1"/>
  <c r="N102" i="20" s="1"/>
  <c r="L102" i="20" a="1"/>
  <c r="L102" i="20" s="1"/>
  <c r="J102" i="20" a="1"/>
  <c r="J102" i="20" s="1"/>
  <c r="H102" i="20" a="1"/>
  <c r="H102" i="20" s="1"/>
  <c r="Y71" i="20" a="1"/>
  <c r="Y71" i="20" s="1"/>
  <c r="W71" i="20" a="1"/>
  <c r="W71" i="20" s="1"/>
  <c r="U71" i="20" a="1"/>
  <c r="U71" i="20" s="1"/>
  <c r="S71" i="20" a="1"/>
  <c r="S71" i="20" s="1"/>
  <c r="Q71" i="20" a="1"/>
  <c r="Q71" i="20" s="1"/>
  <c r="O71" i="20" a="1"/>
  <c r="O71" i="20" s="1"/>
  <c r="M71" i="20" a="1"/>
  <c r="M71" i="20" s="1"/>
  <c r="K71" i="20" a="1"/>
  <c r="K71" i="20" s="1"/>
  <c r="I71" i="20" a="1"/>
  <c r="I71" i="20" s="1"/>
  <c r="G71" i="20" a="1"/>
  <c r="G71" i="20" s="1"/>
  <c r="X71" i="20" a="1"/>
  <c r="X71" i="20" s="1"/>
  <c r="V71" i="20" a="1"/>
  <c r="V71" i="20" s="1"/>
  <c r="T71" i="20" a="1"/>
  <c r="T71" i="20" s="1"/>
  <c r="R71" i="20" a="1"/>
  <c r="R71" i="20" s="1"/>
  <c r="P71" i="20" a="1"/>
  <c r="P71" i="20" s="1"/>
  <c r="N71" i="20" a="1"/>
  <c r="N71" i="20" s="1"/>
  <c r="L71" i="20" a="1"/>
  <c r="L71" i="20" s="1"/>
  <c r="J71" i="20" a="1"/>
  <c r="J71" i="20" s="1"/>
  <c r="H71" i="20" a="1"/>
  <c r="H71" i="20" s="1"/>
  <c r="X72" i="20" a="1"/>
  <c r="X72" i="20" s="1"/>
  <c r="V72" i="20" a="1"/>
  <c r="V72" i="20" s="1"/>
  <c r="T72" i="20" a="1"/>
  <c r="T72" i="20" s="1"/>
  <c r="R72" i="20" a="1"/>
  <c r="R72" i="20" s="1"/>
  <c r="P72" i="20" a="1"/>
  <c r="P72" i="20" s="1"/>
  <c r="N72" i="20" a="1"/>
  <c r="N72" i="20" s="1"/>
  <c r="L72" i="20" a="1"/>
  <c r="L72" i="20" s="1"/>
  <c r="J72" i="20" a="1"/>
  <c r="J72" i="20" s="1"/>
  <c r="H72" i="20" a="1"/>
  <c r="H72" i="20" s="1"/>
  <c r="Y72" i="20" a="1"/>
  <c r="Y72" i="20" s="1"/>
  <c r="W72" i="20" a="1"/>
  <c r="W72" i="20" s="1"/>
  <c r="U72" i="20" a="1"/>
  <c r="U72" i="20" s="1"/>
  <c r="S72" i="20" a="1"/>
  <c r="S72" i="20" s="1"/>
  <c r="Q72" i="20" a="1"/>
  <c r="Q72" i="20" s="1"/>
  <c r="O72" i="20" a="1"/>
  <c r="O72" i="20" s="1"/>
  <c r="M72" i="20" a="1"/>
  <c r="M72" i="20" s="1"/>
  <c r="K72" i="20" a="1"/>
  <c r="K72" i="20" s="1"/>
  <c r="I72" i="20" a="1"/>
  <c r="I72" i="20" s="1"/>
  <c r="G72" i="20" a="1"/>
  <c r="G72" i="20" s="1"/>
  <c r="Y73" i="20" a="1"/>
  <c r="Y73" i="20" s="1"/>
  <c r="W73" i="20" a="1"/>
  <c r="W73" i="20" s="1"/>
  <c r="U73" i="20" a="1"/>
  <c r="U73" i="20" s="1"/>
  <c r="S73" i="20" a="1"/>
  <c r="S73" i="20" s="1"/>
  <c r="Q73" i="20" a="1"/>
  <c r="Q73" i="20" s="1"/>
  <c r="O73" i="20" a="1"/>
  <c r="O73" i="20" s="1"/>
  <c r="M73" i="20" a="1"/>
  <c r="M73" i="20" s="1"/>
  <c r="K73" i="20" a="1"/>
  <c r="K73" i="20" s="1"/>
  <c r="I73" i="20" a="1"/>
  <c r="I73" i="20" s="1"/>
  <c r="G73" i="20" a="1"/>
  <c r="G73" i="20" s="1"/>
  <c r="X73" i="20" a="1"/>
  <c r="X73" i="20" s="1"/>
  <c r="V73" i="20" a="1"/>
  <c r="V73" i="20" s="1"/>
  <c r="T73" i="20" a="1"/>
  <c r="T73" i="20" s="1"/>
  <c r="R73" i="20" a="1"/>
  <c r="R73" i="20" s="1"/>
  <c r="P73" i="20" a="1"/>
  <c r="P73" i="20" s="1"/>
  <c r="N73" i="20" a="1"/>
  <c r="N73" i="20" s="1"/>
  <c r="L73" i="20" a="1"/>
  <c r="L73" i="20" s="1"/>
  <c r="J73" i="20" a="1"/>
  <c r="J73" i="20" s="1"/>
  <c r="H73" i="20" a="1"/>
  <c r="H73" i="20" s="1"/>
  <c r="W70" i="20" a="1"/>
  <c r="W70" i="20" s="1"/>
  <c r="G70" i="20" a="1"/>
  <c r="G70" i="20" s="1"/>
  <c r="Y70" i="20" a="1"/>
  <c r="Y70" i="20" s="1"/>
  <c r="U70" i="20" a="1"/>
  <c r="U70" i="20" s="1"/>
  <c r="S70" i="20" a="1"/>
  <c r="S70" i="20" s="1"/>
  <c r="Q70" i="20" a="1"/>
  <c r="Q70" i="20" s="1"/>
  <c r="O70" i="20" a="1"/>
  <c r="O70" i="20" s="1"/>
  <c r="M70" i="20" a="1"/>
  <c r="M70" i="20" s="1"/>
  <c r="K70" i="20" a="1"/>
  <c r="K70" i="20" s="1"/>
  <c r="I70" i="20" a="1"/>
  <c r="I70" i="20" s="1"/>
  <c r="F75" i="20" a="1"/>
  <c r="X70" i="20" a="1"/>
  <c r="X70" i="20" s="1"/>
  <c r="V70" i="20" a="1"/>
  <c r="V70" i="20" s="1"/>
  <c r="T70" i="20" a="1"/>
  <c r="T70" i="20" s="1"/>
  <c r="R70" i="20" a="1"/>
  <c r="R70" i="20" s="1"/>
  <c r="P70" i="20" a="1"/>
  <c r="P70" i="20" s="1"/>
  <c r="N70" i="20" a="1"/>
  <c r="N70" i="20" s="1"/>
  <c r="L70" i="20" a="1"/>
  <c r="L70" i="20" s="1"/>
  <c r="J70" i="20" a="1"/>
  <c r="J70" i="20" s="1"/>
  <c r="H70" i="20" a="1"/>
  <c r="H70" i="20" s="1"/>
  <c r="Y74" i="20" a="1"/>
  <c r="Y74" i="20" s="1"/>
  <c r="W74" i="20" a="1"/>
  <c r="W74" i="20" s="1"/>
  <c r="U74" i="20" a="1"/>
  <c r="U74" i="20" s="1"/>
  <c r="S74" i="20" a="1"/>
  <c r="S74" i="20" s="1"/>
  <c r="Q74" i="20" a="1"/>
  <c r="Q74" i="20" s="1"/>
  <c r="O74" i="20" a="1"/>
  <c r="O74" i="20" s="1"/>
  <c r="M74" i="20" a="1"/>
  <c r="M74" i="20" s="1"/>
  <c r="K74" i="20" a="1"/>
  <c r="K74" i="20" s="1"/>
  <c r="I74" i="20" a="1"/>
  <c r="I74" i="20" s="1"/>
  <c r="G74" i="20" a="1"/>
  <c r="G74" i="20" s="1"/>
  <c r="X74" i="20" a="1"/>
  <c r="X74" i="20" s="1"/>
  <c r="V74" i="20" a="1"/>
  <c r="V74" i="20" s="1"/>
  <c r="T74" i="20" a="1"/>
  <c r="T74" i="20" s="1"/>
  <c r="R74" i="20" a="1"/>
  <c r="R74" i="20" s="1"/>
  <c r="P74" i="20" a="1"/>
  <c r="P74" i="20" s="1"/>
  <c r="N74" i="20" a="1"/>
  <c r="N74" i="20" s="1"/>
  <c r="L74" i="20" a="1"/>
  <c r="L74" i="20" s="1"/>
  <c r="J74" i="20" a="1"/>
  <c r="J74" i="20" s="1"/>
  <c r="H74" i="20" a="1"/>
  <c r="H74" i="20" s="1"/>
  <c r="W44" i="20" a="1"/>
  <c r="W44" i="20" s="1"/>
  <c r="U44" i="20" a="1"/>
  <c r="U44" i="20" s="1"/>
  <c r="Q44" i="20" a="1"/>
  <c r="Q44" i="20" s="1"/>
  <c r="M44" i="20" a="1"/>
  <c r="M44" i="20" s="1"/>
  <c r="K44" i="20" a="1"/>
  <c r="K44" i="20" s="1"/>
  <c r="I44" i="20" a="1"/>
  <c r="I44" i="20" s="1"/>
  <c r="G44" i="20" a="1"/>
  <c r="G44" i="20" s="1"/>
  <c r="Y44" i="20" a="1"/>
  <c r="Y44" i="20" s="1"/>
  <c r="S44" i="20" a="1"/>
  <c r="S44" i="20" s="1"/>
  <c r="O44" i="20" a="1"/>
  <c r="O44" i="20" s="1"/>
  <c r="N44" i="20" a="1"/>
  <c r="N44" i="20" s="1"/>
  <c r="V44" i="20" a="1"/>
  <c r="V44" i="20" s="1"/>
  <c r="I42" i="20" a="1"/>
  <c r="I42" i="20" s="1"/>
  <c r="M42" i="20" a="1"/>
  <c r="M42" i="20" s="1"/>
  <c r="R42" i="20" a="1"/>
  <c r="R42" i="20" s="1"/>
  <c r="G42" i="20" a="1"/>
  <c r="G42" i="20" s="1"/>
  <c r="K42" i="20" a="1"/>
  <c r="K42" i="20" s="1"/>
  <c r="O42" i="20" a="1"/>
  <c r="O42" i="20" s="1"/>
  <c r="V42" i="20" a="1"/>
  <c r="V42" i="20" s="1"/>
  <c r="J43" i="20" a="1"/>
  <c r="J43" i="20" s="1"/>
  <c r="R43" i="20" a="1"/>
  <c r="R43" i="20" s="1"/>
  <c r="H42" i="20" a="1"/>
  <c r="H42" i="20" s="1"/>
  <c r="L42" i="20" a="1"/>
  <c r="L42" i="20" s="1"/>
  <c r="P42" i="20" a="1"/>
  <c r="P42" i="20" s="1"/>
  <c r="L43" i="20" a="1"/>
  <c r="L43" i="20" s="1"/>
  <c r="H44" i="20" a="1"/>
  <c r="H44" i="20" s="1"/>
  <c r="P44" i="20" a="1"/>
  <c r="P44" i="20" s="1"/>
  <c r="X44" i="20" a="1"/>
  <c r="X44" i="20" s="1"/>
  <c r="Y43" i="20" a="1"/>
  <c r="Y43" i="20" s="1"/>
  <c r="U43" i="20" a="1"/>
  <c r="U43" i="20" s="1"/>
  <c r="S43" i="20" a="1"/>
  <c r="S43" i="20" s="1"/>
  <c r="O43" i="20" a="1"/>
  <c r="O43" i="20" s="1"/>
  <c r="M43" i="20" a="1"/>
  <c r="M43" i="20" s="1"/>
  <c r="I43" i="20" a="1"/>
  <c r="I43" i="20" s="1"/>
  <c r="G43" i="20" a="1"/>
  <c r="G43" i="20" s="1"/>
  <c r="W43" i="20" a="1"/>
  <c r="W43" i="20" s="1"/>
  <c r="Q43" i="20" a="1"/>
  <c r="Q43" i="20" s="1"/>
  <c r="K43" i="20" a="1"/>
  <c r="K43" i="20" s="1"/>
  <c r="N43" i="20" a="1"/>
  <c r="N43" i="20" s="1"/>
  <c r="V43" i="20" a="1"/>
  <c r="V43" i="20" s="1"/>
  <c r="J44" i="20" a="1"/>
  <c r="J44" i="20" s="1"/>
  <c r="R44" i="20" a="1"/>
  <c r="R44" i="20" s="1"/>
  <c r="S45" i="20" a="1"/>
  <c r="S45" i="20" s="1"/>
  <c r="O45" i="20" a="1"/>
  <c r="O45" i="20" s="1"/>
  <c r="M45" i="20" a="1"/>
  <c r="M45" i="20" s="1"/>
  <c r="I45" i="20" a="1"/>
  <c r="I45" i="20" s="1"/>
  <c r="G45" i="20" a="1"/>
  <c r="G45" i="20" s="1"/>
  <c r="Y45" i="20" a="1"/>
  <c r="Y45" i="20" s="1"/>
  <c r="W45" i="20" a="1"/>
  <c r="W45" i="20" s="1"/>
  <c r="U45" i="20" a="1"/>
  <c r="U45" i="20" s="1"/>
  <c r="Q45" i="20" a="1"/>
  <c r="Q45" i="20" s="1"/>
  <c r="K45" i="20" a="1"/>
  <c r="K45" i="20" s="1"/>
  <c r="X45" i="20" a="1"/>
  <c r="X45" i="20" s="1"/>
  <c r="V45" i="20" a="1"/>
  <c r="V45" i="20" s="1"/>
  <c r="T45" i="20" a="1"/>
  <c r="T45" i="20" s="1"/>
  <c r="R45" i="20" a="1"/>
  <c r="R45" i="20" s="1"/>
  <c r="P45" i="20" a="1"/>
  <c r="P45" i="20" s="1"/>
  <c r="N45" i="20" a="1"/>
  <c r="N45" i="20" s="1"/>
  <c r="L45" i="20" a="1"/>
  <c r="L45" i="20" s="1"/>
  <c r="J45" i="20" a="1"/>
  <c r="J45" i="20" s="1"/>
  <c r="H45" i="20" a="1"/>
  <c r="H45" i="20" s="1"/>
  <c r="W42" i="20" a="1"/>
  <c r="W42" i="20" s="1"/>
  <c r="S42" i="20" a="1"/>
  <c r="S42" i="20" s="1"/>
  <c r="Y42" i="20" a="1"/>
  <c r="Y42" i="20" s="1"/>
  <c r="U42" i="20" a="1"/>
  <c r="U42" i="20" s="1"/>
  <c r="Q42" i="20" a="1"/>
  <c r="Q42" i="20" s="1"/>
  <c r="F47" i="20" a="1"/>
  <c r="J42" i="20" a="1"/>
  <c r="J42" i="20" s="1"/>
  <c r="N42" i="20" a="1"/>
  <c r="N42" i="20" s="1"/>
  <c r="T42" i="20" a="1"/>
  <c r="T42" i="20" s="1"/>
  <c r="H43" i="20" a="1"/>
  <c r="H43" i="20" s="1"/>
  <c r="P43" i="20" a="1"/>
  <c r="P43" i="20" s="1"/>
  <c r="X43" i="20" a="1"/>
  <c r="X43" i="20" s="1"/>
  <c r="L44" i="20" a="1"/>
  <c r="L44" i="20" s="1"/>
  <c r="T44" i="20" a="1"/>
  <c r="T44" i="20" s="1"/>
  <c r="Q46" i="20" a="1"/>
  <c r="Q46" i="20" s="1"/>
  <c r="Y46" i="20" a="1"/>
  <c r="Y46" i="20" s="1"/>
  <c r="W46" i="20" a="1"/>
  <c r="W46" i="20" s="1"/>
  <c r="U46" i="20" a="1"/>
  <c r="U46" i="20" s="1"/>
  <c r="S46" i="20" a="1"/>
  <c r="S46" i="20" s="1"/>
  <c r="O46" i="20" a="1"/>
  <c r="O46" i="20" s="1"/>
  <c r="M46" i="20" a="1"/>
  <c r="M46" i="20" s="1"/>
  <c r="K46" i="20" a="1"/>
  <c r="K46" i="20" s="1"/>
  <c r="I46" i="20" a="1"/>
  <c r="I46" i="20" s="1"/>
  <c r="G46" i="20" a="1"/>
  <c r="G46" i="20" s="1"/>
  <c r="X46" i="20" a="1"/>
  <c r="X46" i="20" s="1"/>
  <c r="V46" i="20" a="1"/>
  <c r="V46" i="20" s="1"/>
  <c r="T46" i="20" a="1"/>
  <c r="T46" i="20" s="1"/>
  <c r="R46" i="20" a="1"/>
  <c r="R46" i="20" s="1"/>
  <c r="P46" i="20" a="1"/>
  <c r="P46" i="20" s="1"/>
  <c r="N46" i="20" a="1"/>
  <c r="N46" i="20" s="1"/>
  <c r="L46" i="20" a="1"/>
  <c r="L46" i="20" s="1"/>
  <c r="J46" i="20" a="1"/>
  <c r="J46" i="20" s="1"/>
  <c r="H46" i="20" a="1"/>
  <c r="H46" i="20" s="1"/>
  <c r="F19" i="20" a="1"/>
  <c r="F18" i="20" a="1"/>
  <c r="F18" i="20" s="1"/>
  <c r="F17" i="20" a="1"/>
  <c r="F17" i="20" s="1"/>
  <c r="F16" i="20" a="1"/>
  <c r="F16" i="20" s="1"/>
  <c r="F15" i="20" a="1"/>
  <c r="F15" i="20" s="1"/>
  <c r="F14" i="20" a="1"/>
  <c r="F14" i="20" s="1"/>
  <c r="D2" i="19" a="1"/>
  <c r="D2" i="19" s="1"/>
  <c r="D4" i="19" a="1"/>
  <c r="D4" i="19" s="1"/>
  <c r="D3" i="19" a="1"/>
  <c r="D3" i="19" s="1"/>
  <c r="D14" i="19" a="1"/>
  <c r="D14" i="19" s="1"/>
  <c r="D13" i="19" a="1"/>
  <c r="D13" i="19" s="1"/>
  <c r="D21" i="19" a="1"/>
  <c r="D21" i="19" s="1"/>
  <c r="D7" i="19" a="1"/>
  <c r="D7" i="19" s="1"/>
  <c r="D30" i="19"/>
  <c r="D29" i="19" a="1"/>
  <c r="D29" i="19" s="1"/>
  <c r="D33" i="19" a="1"/>
  <c r="D33" i="19" s="1"/>
  <c r="D17" i="19" a="1"/>
  <c r="D17" i="19" s="1"/>
  <c r="D23" i="19" a="1"/>
  <c r="D23" i="19" s="1"/>
  <c r="D15" i="19"/>
  <c r="D32" i="19" a="1"/>
  <c r="D32" i="19" s="1"/>
  <c r="D8" i="19" a="1"/>
  <c r="D8" i="19" s="1"/>
  <c r="D22" i="19"/>
  <c r="D34" i="19" a="1"/>
  <c r="D34" i="19" s="1"/>
  <c r="D35" i="19" a="1"/>
  <c r="D35" i="19" s="1"/>
  <c r="D42" i="19"/>
  <c r="D27" i="19"/>
  <c r="D38" i="19" a="1"/>
  <c r="D38" i="19" s="1"/>
  <c r="D18" i="19" a="1"/>
  <c r="D18" i="19" s="1"/>
  <c r="D20" i="19" a="1"/>
  <c r="D20" i="19" s="1"/>
  <c r="D41" i="19" a="1"/>
  <c r="D41" i="19" s="1"/>
  <c r="D9" i="19" a="1"/>
  <c r="D9" i="19" s="1"/>
  <c r="D24" i="19" a="1"/>
  <c r="D24" i="19" s="1"/>
  <c r="D6" i="19" a="1"/>
  <c r="D6" i="19" s="1"/>
  <c r="D26" i="19" a="1"/>
  <c r="D26" i="19" s="1"/>
  <c r="D11" i="19" a="1"/>
  <c r="D11" i="19" s="1"/>
  <c r="D39" i="19" a="1"/>
  <c r="D39" i="19" s="1"/>
  <c r="D12" i="19" a="1"/>
  <c r="D12" i="19" s="1"/>
  <c r="D28" i="19" a="1"/>
  <c r="D28" i="19" s="1"/>
  <c r="D10" i="19" a="1"/>
  <c r="D10" i="19" s="1"/>
  <c r="D5" i="19" a="1"/>
  <c r="D5" i="19" s="1"/>
  <c r="D40" i="19" a="1"/>
  <c r="D40" i="19" s="1"/>
  <c r="D31" i="19" a="1"/>
  <c r="D31" i="19" s="1"/>
  <c r="D16" i="19" a="1"/>
  <c r="D16" i="19" s="1"/>
  <c r="D25" i="19" a="1"/>
  <c r="D25" i="19" s="1"/>
  <c r="D37" i="19" a="1"/>
  <c r="D37" i="19" s="1"/>
  <c r="D36" i="19"/>
  <c r="D19" i="19" a="1"/>
  <c r="D19" i="19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F12" i="20" a="1"/>
  <c r="F12" i="20" s="1"/>
  <c r="F13" i="20" a="1"/>
  <c r="F13" i="20" s="1"/>
  <c r="F32" i="20" a="1"/>
  <c r="F32" i="20" s="1"/>
  <c r="F33" i="20" a="1"/>
  <c r="F33" i="20" s="1"/>
  <c r="F34" i="20" a="1"/>
  <c r="F34" i="20" s="1"/>
  <c r="F35" i="20" a="1"/>
  <c r="F35" i="20" s="1"/>
  <c r="F36" i="20" a="1"/>
  <c r="F36" i="20" s="1"/>
  <c r="F37" i="20" a="1"/>
  <c r="F37" i="20" s="1"/>
  <c r="F38" i="20" a="1"/>
  <c r="F38" i="20" s="1"/>
  <c r="F39" i="20" a="1"/>
  <c r="F39" i="20" s="1"/>
  <c r="F40" i="20" a="1"/>
  <c r="F40" i="20" s="1"/>
  <c r="F41" i="20" a="1"/>
  <c r="F41" i="20" s="1"/>
  <c r="F60" i="20" a="1"/>
  <c r="F60" i="20" s="1"/>
  <c r="F61" i="20" a="1"/>
  <c r="F61" i="20" s="1"/>
  <c r="F62" i="20" a="1"/>
  <c r="F62" i="20" s="1"/>
  <c r="F63" i="20" a="1"/>
  <c r="F63" i="20" s="1"/>
  <c r="F64" i="20" a="1"/>
  <c r="F64" i="20" s="1"/>
  <c r="F65" i="20" a="1"/>
  <c r="F65" i="20" s="1"/>
  <c r="F66" i="20" a="1"/>
  <c r="F66" i="20" s="1"/>
  <c r="F67" i="20" a="1"/>
  <c r="F67" i="20" s="1"/>
  <c r="F68" i="20" a="1"/>
  <c r="F68" i="20" s="1"/>
  <c r="F69" i="20" a="1"/>
  <c r="F69" i="20" s="1"/>
  <c r="F88" i="20" a="1"/>
  <c r="F88" i="20" s="1"/>
  <c r="F89" i="20" a="1"/>
  <c r="F89" i="20" s="1"/>
  <c r="F90" i="20" a="1"/>
  <c r="F90" i="20" s="1"/>
  <c r="F91" i="20" a="1"/>
  <c r="F91" i="20" s="1"/>
  <c r="F92" i="20" a="1"/>
  <c r="F92" i="20" s="1"/>
  <c r="F93" i="20" a="1"/>
  <c r="F93" i="20" s="1"/>
  <c r="F94" i="20" a="1"/>
  <c r="F94" i="20" s="1"/>
  <c r="F95" i="20" a="1"/>
  <c r="F95" i="20" s="1"/>
  <c r="F96" i="20" a="1"/>
  <c r="F96" i="20" s="1"/>
  <c r="F97" i="20" a="1"/>
  <c r="F97" i="20" s="1"/>
  <c r="F116" i="20" a="1"/>
  <c r="F116" i="20" s="1"/>
  <c r="F117" i="20" a="1"/>
  <c r="F117" i="20" s="1"/>
  <c r="F118" i="20" a="1"/>
  <c r="F118" i="20" s="1"/>
  <c r="F119" i="20" a="1"/>
  <c r="F119" i="20" s="1"/>
  <c r="F120" i="20" a="1"/>
  <c r="F120" i="20" s="1"/>
  <c r="F121" i="20" a="1"/>
  <c r="F121" i="20" s="1"/>
  <c r="F122" i="20" a="1"/>
  <c r="F122" i="20" s="1"/>
  <c r="F123" i="20" a="1"/>
  <c r="F123" i="20" s="1"/>
  <c r="F124" i="20" a="1"/>
  <c r="F124" i="20" s="1"/>
  <c r="F125" i="20" a="1"/>
  <c r="F125" i="20" s="1"/>
  <c r="F144" i="20" a="1"/>
  <c r="F144" i="20" s="1"/>
  <c r="F145" i="20" a="1"/>
  <c r="F145" i="20" s="1"/>
  <c r="F146" i="20" a="1"/>
  <c r="F146" i="20" s="1"/>
  <c r="F147" i="20" a="1"/>
  <c r="F147" i="20" s="1"/>
  <c r="F148" i="20" a="1"/>
  <c r="F148" i="20" s="1"/>
  <c r="F149" i="20" a="1"/>
  <c r="F149" i="20" s="1"/>
  <c r="F150" i="20" a="1"/>
  <c r="F150" i="20" s="1"/>
  <c r="F151" i="20" a="1"/>
  <c r="F151" i="20" s="1"/>
  <c r="F152" i="20" a="1"/>
  <c r="F152" i="20" s="1"/>
  <c r="F153" i="20" a="1"/>
  <c r="F153" i="20" s="1"/>
  <c r="F172" i="20" a="1"/>
  <c r="F172" i="20" s="1"/>
  <c r="F173" i="20" a="1"/>
  <c r="F173" i="20" s="1"/>
  <c r="F174" i="20" a="1"/>
  <c r="F174" i="20" s="1"/>
  <c r="F175" i="20" a="1"/>
  <c r="F175" i="20" s="1"/>
  <c r="F176" i="20" a="1"/>
  <c r="F176" i="20" s="1"/>
  <c r="F177" i="20" a="1"/>
  <c r="F177" i="20" s="1"/>
  <c r="F178" i="20" a="1"/>
  <c r="F178" i="20" s="1"/>
  <c r="F179" i="20" a="1"/>
  <c r="F179" i="20" s="1"/>
  <c r="F180" i="20" a="1"/>
  <c r="F180" i="20" s="1"/>
  <c r="F181" i="20" a="1"/>
  <c r="F181" i="20" s="1"/>
  <c r="F200" i="20" a="1"/>
  <c r="F200" i="20" s="1"/>
  <c r="F201" i="20" a="1"/>
  <c r="F201" i="20" s="1"/>
  <c r="F202" i="20" a="1"/>
  <c r="F202" i="20" s="1"/>
  <c r="F203" i="20" a="1"/>
  <c r="F203" i="20" s="1"/>
  <c r="F204" i="20" a="1"/>
  <c r="F204" i="20" s="1"/>
  <c r="F205" i="20" a="1"/>
  <c r="F205" i="20" s="1"/>
  <c r="F206" i="20" a="1"/>
  <c r="F206" i="20" s="1"/>
  <c r="F207" i="20" a="1"/>
  <c r="F207" i="20" s="1"/>
  <c r="F208" i="20" a="1"/>
  <c r="F208" i="20" s="1"/>
  <c r="F209" i="20" a="1"/>
  <c r="F209" i="20" s="1"/>
  <c r="F228" i="20" a="1"/>
  <c r="F228" i="20" s="1"/>
  <c r="F229" i="20" a="1"/>
  <c r="F229" i="20" s="1"/>
  <c r="F230" i="20" a="1"/>
  <c r="F230" i="20" s="1"/>
  <c r="F231" i="20" a="1"/>
  <c r="F231" i="20" s="1"/>
  <c r="F232" i="20" a="1"/>
  <c r="F232" i="20" s="1"/>
  <c r="F233" i="20" a="1"/>
  <c r="F233" i="20" s="1"/>
  <c r="F234" i="20" a="1"/>
  <c r="F234" i="20" s="1"/>
  <c r="F235" i="20" a="1"/>
  <c r="F235" i="20" s="1"/>
  <c r="F236" i="20" a="1"/>
  <c r="F236" i="20" s="1"/>
  <c r="F237" i="20" a="1"/>
  <c r="F237" i="20" s="1"/>
  <c r="F256" i="20" a="1"/>
  <c r="F256" i="20" s="1"/>
  <c r="F257" i="20" a="1"/>
  <c r="F257" i="20" s="1"/>
  <c r="F258" i="20" a="1"/>
  <c r="F258" i="20" s="1"/>
  <c r="F259" i="20" a="1"/>
  <c r="F259" i="20" s="1"/>
  <c r="F260" i="20" a="1"/>
  <c r="F260" i="20" s="1"/>
  <c r="F261" i="20" a="1"/>
  <c r="F261" i="20" s="1"/>
  <c r="F262" i="20" a="1"/>
  <c r="F262" i="20" s="1"/>
  <c r="F263" i="20" a="1"/>
  <c r="F263" i="20" s="1"/>
  <c r="F264" i="20" a="1"/>
  <c r="F264" i="20" s="1"/>
  <c r="F265" i="20" a="1"/>
  <c r="F265" i="20" s="1"/>
  <c r="F284" i="20" a="1"/>
  <c r="F284" i="20" s="1"/>
  <c r="F285" i="20" a="1"/>
  <c r="F285" i="20" s="1"/>
  <c r="F286" i="20" a="1"/>
  <c r="F286" i="20" s="1"/>
  <c r="F287" i="20" a="1"/>
  <c r="F287" i="20" s="1"/>
  <c r="F288" i="20" a="1"/>
  <c r="F288" i="20" s="1"/>
  <c r="F289" i="20" a="1"/>
  <c r="F289" i="20" s="1"/>
  <c r="F290" i="20" a="1"/>
  <c r="F290" i="20" s="1"/>
  <c r="F291" i="20" a="1"/>
  <c r="F291" i="20" s="1"/>
  <c r="F292" i="20" a="1"/>
  <c r="F292" i="20" s="1"/>
  <c r="F293" i="20" a="1"/>
  <c r="F293" i="20" s="1"/>
  <c r="F312" i="20" a="1"/>
  <c r="F312" i="20" s="1"/>
  <c r="F313" i="20" a="1"/>
  <c r="F313" i="20" s="1"/>
  <c r="F314" i="20" a="1"/>
  <c r="F314" i="20" s="1"/>
  <c r="F315" i="20" a="1"/>
  <c r="F315" i="20" s="1"/>
  <c r="F316" i="20" a="1"/>
  <c r="F316" i="20" s="1"/>
  <c r="F317" i="20" a="1"/>
  <c r="F317" i="20" s="1"/>
  <c r="F318" i="20" a="1"/>
  <c r="F318" i="20" s="1"/>
  <c r="F319" i="20" a="1"/>
  <c r="F319" i="20" s="1"/>
  <c r="F320" i="20" a="1"/>
  <c r="F320" i="20" s="1"/>
  <c r="F321" i="20" a="1"/>
  <c r="F321" i="20" s="1"/>
  <c r="F340" i="20" a="1"/>
  <c r="F340" i="20" s="1"/>
  <c r="F341" i="20" a="1"/>
  <c r="F341" i="20" s="1"/>
  <c r="F342" i="20" a="1"/>
  <c r="F342" i="20" s="1"/>
  <c r="F343" i="20" a="1"/>
  <c r="F343" i="20" s="1"/>
  <c r="F344" i="20" a="1"/>
  <c r="F344" i="20" s="1"/>
  <c r="F345" i="20" a="1"/>
  <c r="F345" i="20" s="1"/>
  <c r="F346" i="20" a="1"/>
  <c r="F346" i="20" s="1"/>
  <c r="F347" i="20" a="1"/>
  <c r="F347" i="20" s="1"/>
  <c r="F348" i="20" a="1"/>
  <c r="F348" i="20" s="1"/>
  <c r="F349" i="20" a="1"/>
  <c r="F349" i="20" s="1"/>
  <c r="F368" i="20" a="1"/>
  <c r="F368" i="20" s="1"/>
  <c r="F369" i="20" a="1"/>
  <c r="F369" i="20" s="1"/>
  <c r="F370" i="20" a="1"/>
  <c r="F370" i="20" s="1"/>
  <c r="F371" i="20" a="1"/>
  <c r="F371" i="20" s="1"/>
  <c r="F372" i="20" a="1"/>
  <c r="F372" i="20" s="1"/>
  <c r="F373" i="20" a="1"/>
  <c r="F373" i="20" s="1"/>
  <c r="F374" i="20" a="1"/>
  <c r="F374" i="20" s="1"/>
  <c r="F375" i="20" a="1"/>
  <c r="F375" i="20" s="1"/>
  <c r="F376" i="20" a="1"/>
  <c r="F376" i="20" s="1"/>
  <c r="F377" i="20" a="1"/>
  <c r="F377" i="20" s="1"/>
  <c r="F396" i="20" a="1"/>
  <c r="F396" i="20" s="1"/>
  <c r="F397" i="20" a="1"/>
  <c r="F397" i="20" s="1"/>
  <c r="F398" i="20" a="1"/>
  <c r="F398" i="20" s="1"/>
  <c r="F399" i="20" a="1"/>
  <c r="F399" i="20" s="1"/>
  <c r="F400" i="20" a="1"/>
  <c r="F400" i="20" s="1"/>
  <c r="F401" i="20" a="1"/>
  <c r="F401" i="20" s="1"/>
  <c r="F402" i="20" a="1"/>
  <c r="F402" i="20" s="1"/>
  <c r="F403" i="20" a="1"/>
  <c r="F403" i="20" s="1"/>
  <c r="F404" i="20" a="1"/>
  <c r="F404" i="20" s="1"/>
  <c r="F405" i="20" a="1"/>
  <c r="F405" i="20" s="1"/>
  <c r="F424" i="20" a="1"/>
  <c r="F424" i="20" s="1"/>
  <c r="F425" i="20" a="1"/>
  <c r="F425" i="20" s="1"/>
  <c r="F426" i="20" a="1"/>
  <c r="F426" i="20" s="1"/>
  <c r="F427" i="20" a="1"/>
  <c r="F427" i="20" s="1"/>
  <c r="F428" i="20" a="1"/>
  <c r="F428" i="20" s="1"/>
  <c r="F429" i="20" a="1"/>
  <c r="F429" i="20" s="1"/>
  <c r="F430" i="20" a="1"/>
  <c r="F430" i="20" s="1"/>
  <c r="F431" i="20" a="1"/>
  <c r="F431" i="20" s="1"/>
  <c r="F432" i="20" a="1"/>
  <c r="F432" i="20" s="1"/>
  <c r="F433" i="20" a="1"/>
  <c r="F433" i="20" s="1"/>
  <c r="F452" i="20" a="1"/>
  <c r="F452" i="20" s="1"/>
  <c r="F453" i="20" a="1"/>
  <c r="F453" i="20" s="1"/>
  <c r="F454" i="20" a="1"/>
  <c r="F454" i="20" s="1"/>
  <c r="F455" i="20" a="1"/>
  <c r="F455" i="20" s="1"/>
  <c r="F456" i="20" a="1"/>
  <c r="F456" i="20" s="1"/>
  <c r="F457" i="20" a="1"/>
  <c r="F457" i="20" s="1"/>
  <c r="F458" i="20" a="1"/>
  <c r="F458" i="20" s="1"/>
  <c r="F459" i="20" a="1"/>
  <c r="F459" i="20" s="1"/>
  <c r="F460" i="20" a="1"/>
  <c r="F460" i="20" s="1"/>
  <c r="F461" i="20" a="1"/>
  <c r="F461" i="20" s="1"/>
  <c r="F480" i="20" a="1"/>
  <c r="F480" i="20" s="1"/>
  <c r="F481" i="20" a="1"/>
  <c r="F481" i="20" s="1"/>
  <c r="F482" i="20" a="1"/>
  <c r="F482" i="20" s="1"/>
  <c r="F483" i="20" a="1"/>
  <c r="F483" i="20" s="1"/>
  <c r="F484" i="20" a="1"/>
  <c r="F484" i="20" s="1"/>
  <c r="F485" i="20" a="1"/>
  <c r="F485" i="20" s="1"/>
  <c r="F486" i="20" a="1"/>
  <c r="F486" i="20" s="1"/>
  <c r="F487" i="20" a="1"/>
  <c r="F487" i="20" s="1"/>
  <c r="F488" i="20" a="1"/>
  <c r="F488" i="20" s="1"/>
  <c r="F489" i="20" a="1"/>
  <c r="F489" i="20" s="1"/>
  <c r="F508" i="20" a="1"/>
  <c r="F508" i="20" s="1"/>
  <c r="F509" i="20" a="1"/>
  <c r="F509" i="20" s="1"/>
  <c r="F510" i="20" a="1"/>
  <c r="F510" i="20" s="1"/>
  <c r="F511" i="20" a="1"/>
  <c r="F511" i="20" s="1"/>
  <c r="F512" i="20" a="1"/>
  <c r="F512" i="20" s="1"/>
  <c r="F513" i="20" a="1"/>
  <c r="F513" i="20" s="1"/>
  <c r="F514" i="20" a="1"/>
  <c r="F514" i="20" s="1"/>
  <c r="F515" i="20" a="1"/>
  <c r="F515" i="20" s="1"/>
  <c r="F516" i="20" a="1"/>
  <c r="F516" i="20" s="1"/>
  <c r="F517" i="20" a="1"/>
  <c r="F517" i="20" s="1"/>
  <c r="F536" i="20" a="1"/>
  <c r="F536" i="20" s="1"/>
  <c r="F537" i="20" a="1"/>
  <c r="F537" i="20" s="1"/>
  <c r="F538" i="20" a="1"/>
  <c r="F538" i="20" s="1"/>
  <c r="F539" i="20" a="1"/>
  <c r="F539" i="20" s="1"/>
  <c r="F540" i="20" a="1"/>
  <c r="F540" i="20" s="1"/>
  <c r="F541" i="20" a="1"/>
  <c r="F541" i="20" s="1"/>
  <c r="F542" i="20" a="1"/>
  <c r="F542" i="20" s="1"/>
  <c r="F543" i="20" a="1"/>
  <c r="F543" i="20" s="1"/>
  <c r="F544" i="20" a="1"/>
  <c r="F544" i="20" s="1"/>
  <c r="F545" i="20" a="1"/>
  <c r="F545" i="20" s="1"/>
  <c r="F564" i="20" a="1"/>
  <c r="F564" i="20" s="1"/>
  <c r="F565" i="20" a="1"/>
  <c r="F565" i="20" s="1"/>
  <c r="F566" i="20" a="1"/>
  <c r="F566" i="20" s="1"/>
  <c r="F567" i="20" a="1"/>
  <c r="F567" i="20" s="1"/>
  <c r="F568" i="20" a="1"/>
  <c r="F568" i="20" s="1"/>
  <c r="F569" i="20" a="1"/>
  <c r="F569" i="20" s="1"/>
  <c r="F570" i="20" a="1"/>
  <c r="F570" i="20" s="1"/>
  <c r="F571" i="20" a="1"/>
  <c r="F571" i="20" s="1"/>
  <c r="F572" i="20" a="1"/>
  <c r="F572" i="20" s="1"/>
  <c r="F573" i="20" a="1"/>
  <c r="F573" i="20" s="1"/>
  <c r="F592" i="20" a="1"/>
  <c r="F592" i="20" s="1"/>
  <c r="F593" i="20" a="1"/>
  <c r="F593" i="20" s="1"/>
  <c r="F594" i="20" a="1"/>
  <c r="F594" i="20" s="1"/>
  <c r="F595" i="20" a="1"/>
  <c r="F595" i="20" s="1"/>
  <c r="F596" i="20" a="1"/>
  <c r="F596" i="20" s="1"/>
  <c r="F597" i="20" a="1"/>
  <c r="F597" i="20" s="1"/>
  <c r="F598" i="20" a="1"/>
  <c r="F598" i="20" s="1"/>
  <c r="F599" i="20" a="1"/>
  <c r="F599" i="20" s="1"/>
  <c r="F600" i="20" a="1"/>
  <c r="F600" i="20" s="1"/>
  <c r="F601" i="20" a="1"/>
  <c r="F601" i="20" s="1"/>
  <c r="F620" i="20" a="1"/>
  <c r="F620" i="20" s="1"/>
  <c r="F621" i="20" a="1"/>
  <c r="F621" i="20" s="1"/>
  <c r="F622" i="20" a="1"/>
  <c r="F622" i="20" s="1"/>
  <c r="F623" i="20" a="1"/>
  <c r="F623" i="20" s="1"/>
  <c r="F624" i="20" a="1"/>
  <c r="F624" i="20" s="1"/>
  <c r="F625" i="20" a="1"/>
  <c r="F625" i="20" s="1"/>
  <c r="F626" i="20" a="1"/>
  <c r="F626" i="20" s="1"/>
  <c r="F627" i="20" a="1"/>
  <c r="F627" i="20" s="1"/>
  <c r="F628" i="20" a="1"/>
  <c r="F628" i="20" s="1"/>
  <c r="F629" i="20" a="1"/>
  <c r="F629" i="20" s="1"/>
  <c r="F648" i="20" a="1"/>
  <c r="F648" i="20" s="1"/>
  <c r="F649" i="20" a="1"/>
  <c r="F649" i="20" s="1"/>
  <c r="F650" i="20" a="1"/>
  <c r="F650" i="20" s="1"/>
  <c r="F651" i="20" a="1"/>
  <c r="F651" i="20" s="1"/>
  <c r="F652" i="20" a="1"/>
  <c r="F652" i="20" s="1"/>
  <c r="F653" i="20" a="1"/>
  <c r="F653" i="20" s="1"/>
  <c r="F654" i="20" a="1"/>
  <c r="F654" i="20" s="1"/>
  <c r="F655" i="20" a="1"/>
  <c r="F655" i="20" s="1"/>
  <c r="F656" i="20" a="1"/>
  <c r="F656" i="20" s="1"/>
  <c r="F657" i="20" a="1"/>
  <c r="F657" i="20" s="1"/>
  <c r="F676" i="20" a="1"/>
  <c r="F676" i="20" s="1"/>
  <c r="F677" i="20" a="1"/>
  <c r="F677" i="20" s="1"/>
  <c r="F678" i="20" a="1"/>
  <c r="F678" i="20" s="1"/>
  <c r="F679" i="20" a="1"/>
  <c r="F679" i="20" s="1"/>
  <c r="F680" i="20" a="1"/>
  <c r="F680" i="20" s="1"/>
  <c r="F681" i="20" a="1"/>
  <c r="F681" i="20" s="1"/>
  <c r="F682" i="20" a="1"/>
  <c r="F682" i="20" s="1"/>
  <c r="F683" i="20" a="1"/>
  <c r="F683" i="20" s="1"/>
  <c r="F684" i="20" a="1"/>
  <c r="F684" i="20" s="1"/>
  <c r="F685" i="20" a="1"/>
  <c r="F685" i="20" s="1"/>
  <c r="F704" i="20" a="1"/>
  <c r="F704" i="20" s="1"/>
  <c r="F705" i="20" a="1"/>
  <c r="F705" i="20" s="1"/>
  <c r="F706" i="20" a="1"/>
  <c r="F706" i="20" s="1"/>
  <c r="F707" i="20" a="1"/>
  <c r="F707" i="20" s="1"/>
  <c r="F708" i="20" a="1"/>
  <c r="F708" i="20" s="1"/>
  <c r="F709" i="20" a="1"/>
  <c r="F709" i="20" s="1"/>
  <c r="F710" i="20" a="1"/>
  <c r="F710" i="20" s="1"/>
  <c r="F711" i="20" a="1"/>
  <c r="F711" i="20" s="1"/>
  <c r="F712" i="20" a="1"/>
  <c r="F712" i="20" s="1"/>
  <c r="F713" i="20" a="1"/>
  <c r="F713" i="20" s="1"/>
  <c r="F732" i="20" a="1"/>
  <c r="F732" i="20" s="1"/>
  <c r="F733" i="20" a="1"/>
  <c r="F733" i="20" s="1"/>
  <c r="F734" i="20" a="1"/>
  <c r="F734" i="20" s="1"/>
  <c r="F735" i="20" a="1"/>
  <c r="F735" i="20" s="1"/>
  <c r="F736" i="20" a="1"/>
  <c r="F736" i="20" s="1"/>
  <c r="F737" i="20" a="1"/>
  <c r="F737" i="20" s="1"/>
  <c r="F738" i="20" a="1"/>
  <c r="F738" i="20" s="1"/>
  <c r="F739" i="20" a="1"/>
  <c r="F739" i="20" s="1"/>
  <c r="F740" i="20" a="1"/>
  <c r="F740" i="20" s="1"/>
  <c r="F741" i="20" a="1"/>
  <c r="F741" i="20" s="1"/>
  <c r="F760" i="20" a="1"/>
  <c r="F760" i="20" s="1"/>
  <c r="F761" i="20" a="1"/>
  <c r="F761" i="20" s="1"/>
  <c r="F762" i="20" a="1"/>
  <c r="F762" i="20" s="1"/>
  <c r="F763" i="20" a="1"/>
  <c r="F763" i="20" s="1"/>
  <c r="F764" i="20" a="1"/>
  <c r="F764" i="20" s="1"/>
  <c r="F765" i="20" a="1"/>
  <c r="F765" i="20" s="1"/>
  <c r="F766" i="20" a="1"/>
  <c r="F766" i="20" s="1"/>
  <c r="F767" i="20" a="1"/>
  <c r="F767" i="20" s="1"/>
  <c r="F768" i="20" a="1"/>
  <c r="F768" i="20" s="1"/>
  <c r="F769" i="20" a="1"/>
  <c r="F769" i="20" s="1"/>
  <c r="F788" i="20" a="1"/>
  <c r="F788" i="20" s="1"/>
  <c r="F789" i="20" a="1"/>
  <c r="F789" i="20" s="1"/>
  <c r="F790" i="20" a="1"/>
  <c r="F790" i="20" s="1"/>
  <c r="F791" i="20" a="1"/>
  <c r="F791" i="20" s="1"/>
  <c r="F792" i="20" a="1"/>
  <c r="F792" i="20" s="1"/>
  <c r="F793" i="20" a="1"/>
  <c r="F793" i="20" s="1"/>
  <c r="F794" i="20" a="1"/>
  <c r="F794" i="20" s="1"/>
  <c r="F795" i="20" a="1"/>
  <c r="F795" i="20" s="1"/>
  <c r="F796" i="20" a="1"/>
  <c r="F796" i="20" s="1"/>
  <c r="F797" i="20" a="1"/>
  <c r="F797" i="20" s="1"/>
  <c r="F816" i="20" a="1"/>
  <c r="F816" i="20" s="1"/>
  <c r="F817" i="20" a="1"/>
  <c r="F817" i="20" s="1"/>
  <c r="F818" i="20" a="1"/>
  <c r="F818" i="20" s="1"/>
  <c r="F819" i="20" a="1"/>
  <c r="F819" i="20" s="1"/>
  <c r="F820" i="20" a="1"/>
  <c r="F820" i="20" s="1"/>
  <c r="F821" i="20" a="1"/>
  <c r="F821" i="20" s="1"/>
  <c r="F822" i="20" a="1"/>
  <c r="F822" i="20" s="1"/>
  <c r="F823" i="20" a="1"/>
  <c r="F823" i="20" s="1"/>
  <c r="F824" i="20" a="1"/>
  <c r="F824" i="20" s="1"/>
  <c r="F825" i="20" a="1"/>
  <c r="F825" i="20" s="1"/>
  <c r="F844" i="20" a="1"/>
  <c r="F844" i="20" s="1"/>
  <c r="F845" i="20" a="1"/>
  <c r="F845" i="20" s="1"/>
  <c r="F846" i="20" a="1"/>
  <c r="F846" i="20" s="1"/>
  <c r="F847" i="20" a="1"/>
  <c r="F847" i="20" s="1"/>
  <c r="F848" i="20" a="1"/>
  <c r="F848" i="20" s="1"/>
  <c r="F849" i="20" a="1"/>
  <c r="F849" i="20" s="1"/>
  <c r="F850" i="20" a="1"/>
  <c r="F850" i="20" s="1"/>
  <c r="F851" i="20" a="1"/>
  <c r="F851" i="20" s="1"/>
  <c r="F852" i="20" a="1"/>
  <c r="F852" i="20" s="1"/>
  <c r="F853" i="20" a="1"/>
  <c r="F853" i="20" s="1"/>
  <c r="F872" i="20" a="1"/>
  <c r="F872" i="20" s="1"/>
  <c r="F873" i="20" a="1"/>
  <c r="F873" i="20" s="1"/>
  <c r="F874" i="20" a="1"/>
  <c r="F874" i="20" s="1"/>
  <c r="F875" i="20" a="1"/>
  <c r="F875" i="20" s="1"/>
  <c r="F876" i="20" a="1"/>
  <c r="F876" i="20" s="1"/>
  <c r="F877" i="20" a="1"/>
  <c r="F877" i="20" s="1"/>
  <c r="F878" i="20" a="1"/>
  <c r="F878" i="20" s="1"/>
  <c r="F879" i="20" a="1"/>
  <c r="F879" i="20" s="1"/>
  <c r="F880" i="20" a="1"/>
  <c r="F880" i="20" s="1"/>
  <c r="F881" i="20" a="1"/>
  <c r="F881" i="20" s="1"/>
  <c r="F900" i="20" a="1"/>
  <c r="F900" i="20" s="1"/>
  <c r="F901" i="20" a="1"/>
  <c r="F901" i="20" s="1"/>
  <c r="F902" i="20" a="1"/>
  <c r="F902" i="20" s="1"/>
  <c r="F903" i="20" a="1"/>
  <c r="F903" i="20" s="1"/>
  <c r="F904" i="20" a="1"/>
  <c r="F904" i="20" s="1"/>
  <c r="F905" i="20" a="1"/>
  <c r="F905" i="20" s="1"/>
  <c r="F906" i="20" a="1"/>
  <c r="F906" i="20" s="1"/>
  <c r="F907" i="20" a="1"/>
  <c r="F907" i="20" s="1"/>
  <c r="F908" i="20" a="1"/>
  <c r="F908" i="20" s="1"/>
  <c r="F909" i="20" a="1"/>
  <c r="F909" i="20" s="1"/>
  <c r="F928" i="20" a="1"/>
  <c r="F928" i="20" s="1"/>
  <c r="F929" i="20" a="1"/>
  <c r="F929" i="20" s="1"/>
  <c r="F930" i="20" a="1"/>
  <c r="F930" i="20" s="1"/>
  <c r="F931" i="20" a="1"/>
  <c r="F931" i="20" s="1"/>
  <c r="F932" i="20" a="1"/>
  <c r="F932" i="20" s="1"/>
  <c r="F933" i="20" a="1"/>
  <c r="F933" i="20" s="1"/>
  <c r="F934" i="20" a="1"/>
  <c r="F934" i="20" s="1"/>
  <c r="F935" i="20" a="1"/>
  <c r="F935" i="20" s="1"/>
  <c r="F936" i="20" a="1"/>
  <c r="F936" i="20" s="1"/>
  <c r="F937" i="20" a="1"/>
  <c r="F937" i="20" s="1"/>
  <c r="F956" i="20" a="1"/>
  <c r="F956" i="20" s="1"/>
  <c r="F957" i="20" a="1"/>
  <c r="F957" i="20" s="1"/>
  <c r="F958" i="20" a="1"/>
  <c r="F958" i="20" s="1"/>
  <c r="F959" i="20" a="1"/>
  <c r="F959" i="20" s="1"/>
  <c r="F960" i="20" a="1"/>
  <c r="F960" i="20" s="1"/>
  <c r="F961" i="20" a="1"/>
  <c r="F961" i="20" s="1"/>
  <c r="F962" i="20" a="1"/>
  <c r="F962" i="20" s="1"/>
  <c r="F963" i="20" a="1"/>
  <c r="F963" i="20" s="1"/>
  <c r="F964" i="20" a="1"/>
  <c r="F964" i="20" s="1"/>
  <c r="F965" i="20" a="1"/>
  <c r="F965" i="20" s="1"/>
  <c r="F984" i="20" a="1"/>
  <c r="F984" i="20" s="1"/>
  <c r="F985" i="20" a="1"/>
  <c r="F985" i="20" s="1"/>
  <c r="F986" i="20" a="1"/>
  <c r="F986" i="20" s="1"/>
  <c r="F987" i="20" a="1"/>
  <c r="F987" i="20" s="1"/>
  <c r="F988" i="20" a="1"/>
  <c r="F988" i="20" s="1"/>
  <c r="F989" i="20" a="1"/>
  <c r="F989" i="20" s="1"/>
  <c r="F990" i="20" a="1"/>
  <c r="F990" i="20" s="1"/>
  <c r="F991" i="20" a="1"/>
  <c r="F991" i="20" s="1"/>
  <c r="F992" i="20" a="1"/>
  <c r="F992" i="20" s="1"/>
  <c r="F993" i="20" a="1"/>
  <c r="F993" i="20" s="1"/>
  <c r="F1012" i="20" a="1"/>
  <c r="F1012" i="20" s="1"/>
  <c r="F1013" i="20" a="1"/>
  <c r="F1013" i="20" s="1"/>
  <c r="F1014" i="20" a="1"/>
  <c r="F1014" i="20" s="1"/>
  <c r="F1015" i="20" a="1"/>
  <c r="F1015" i="20" s="1"/>
  <c r="F1016" i="20" a="1"/>
  <c r="F1016" i="20" s="1"/>
  <c r="F1017" i="20" a="1"/>
  <c r="F1017" i="20" s="1"/>
  <c r="F1018" i="20" a="1"/>
  <c r="F1018" i="20" s="1"/>
  <c r="F1019" i="20" a="1"/>
  <c r="F1019" i="20" s="1"/>
  <c r="F1020" i="20" a="1"/>
  <c r="F1020" i="20" s="1"/>
  <c r="F1021" i="20" a="1"/>
  <c r="F1021" i="20" s="1"/>
  <c r="F1040" i="20" a="1"/>
  <c r="F1040" i="20" s="1"/>
  <c r="F1041" i="20" a="1"/>
  <c r="F1041" i="20" s="1"/>
  <c r="F1042" i="20" a="1"/>
  <c r="F1042" i="20" s="1"/>
  <c r="F1043" i="20" a="1"/>
  <c r="F1043" i="20" s="1"/>
  <c r="F1044" i="20" a="1"/>
  <c r="F1044" i="20" s="1"/>
  <c r="F1045" i="20" a="1"/>
  <c r="F1045" i="20" s="1"/>
  <c r="F1046" i="20" a="1"/>
  <c r="F1046" i="20" s="1"/>
  <c r="F1047" i="20" a="1"/>
  <c r="F1047" i="20" s="1"/>
  <c r="F1048" i="20" a="1"/>
  <c r="F1048" i="20" s="1"/>
  <c r="F1049" i="20" a="1"/>
  <c r="F1049" i="20" s="1"/>
  <c r="F1068" i="20" a="1"/>
  <c r="F1068" i="20" s="1"/>
  <c r="F1069" i="20" a="1"/>
  <c r="F1069" i="20" s="1"/>
  <c r="F1070" i="20" a="1"/>
  <c r="F1070" i="20" s="1"/>
  <c r="F1071" i="20" a="1"/>
  <c r="F1071" i="20" s="1"/>
  <c r="F1072" i="20" a="1"/>
  <c r="F1072" i="20" s="1"/>
  <c r="F1073" i="20" a="1"/>
  <c r="F1073" i="20" s="1"/>
  <c r="F1074" i="20" a="1"/>
  <c r="F1074" i="20" s="1"/>
  <c r="F1075" i="20" a="1"/>
  <c r="F1075" i="20" s="1"/>
  <c r="F1076" i="20" a="1"/>
  <c r="F1076" i="20" s="1"/>
  <c r="F1077" i="20" a="1"/>
  <c r="F1077" i="20" s="1"/>
  <c r="F1096" i="20" a="1"/>
  <c r="F1096" i="20" s="1"/>
  <c r="F1097" i="20" a="1"/>
  <c r="F1097" i="20" s="1"/>
  <c r="F1098" i="20" a="1"/>
  <c r="F1098" i="20" s="1"/>
  <c r="F1099" i="20" a="1"/>
  <c r="F1099" i="20" s="1"/>
  <c r="F1100" i="20" a="1"/>
  <c r="F1100" i="20" s="1"/>
  <c r="F1101" i="20" a="1"/>
  <c r="F1101" i="20" s="1"/>
  <c r="F1102" i="20" a="1"/>
  <c r="F1102" i="20" s="1"/>
  <c r="F1103" i="20" a="1"/>
  <c r="F1103" i="20" s="1"/>
  <c r="F1104" i="20" a="1"/>
  <c r="F1104" i="20" s="1"/>
  <c r="F1105" i="20" a="1"/>
  <c r="F1105" i="20" s="1"/>
  <c r="F1124" i="20" a="1"/>
  <c r="F1124" i="20" s="1"/>
  <c r="F1125" i="20" a="1"/>
  <c r="F1125" i="20" s="1"/>
  <c r="F1126" i="20" a="1"/>
  <c r="F1126" i="20" s="1"/>
  <c r="F1127" i="20" a="1"/>
  <c r="F1127" i="20" s="1"/>
  <c r="F1128" i="20" a="1"/>
  <c r="F1128" i="20" s="1"/>
  <c r="F1129" i="20" a="1"/>
  <c r="F1129" i="20" s="1"/>
  <c r="F1130" i="20" a="1"/>
  <c r="F1130" i="20" s="1"/>
  <c r="F1131" i="20" a="1"/>
  <c r="F1131" i="20" s="1"/>
  <c r="F1132" i="20" a="1"/>
  <c r="F1132" i="20" s="1"/>
  <c r="F1133" i="20" a="1"/>
  <c r="F1133" i="20" s="1"/>
  <c r="W6" i="20" l="1" a="1"/>
  <c r="W6" i="20" s="1"/>
  <c r="U6" i="20" a="1"/>
  <c r="U6" i="20" s="1"/>
  <c r="S6" i="20" a="1"/>
  <c r="S6" i="20" s="1"/>
  <c r="AA6" i="20" a="1"/>
  <c r="AA6" i="20" s="1"/>
  <c r="Y6" i="20" a="1"/>
  <c r="Y6" i="20" s="1"/>
  <c r="P6" i="20" a="1"/>
  <c r="P6" i="20" s="1"/>
  <c r="N6" i="20"/>
  <c r="Z6" i="20" a="1"/>
  <c r="Z6" i="20" s="1"/>
  <c r="K6" i="20" a="1"/>
  <c r="K6" i="20" s="1"/>
  <c r="H6" i="20" a="1"/>
  <c r="H6" i="20" s="1"/>
  <c r="G6" i="20" a="1"/>
  <c r="G6" i="20" s="1"/>
  <c r="T6" i="20" a="1"/>
  <c r="T6" i="20" s="1"/>
  <c r="L6" i="20" a="1"/>
  <c r="L6" i="20" s="1"/>
  <c r="AB6" i="20" a="1"/>
  <c r="AB6" i="20" s="1"/>
  <c r="X6" i="20" a="1"/>
  <c r="X6" i="20" s="1"/>
  <c r="R6" i="20" a="1"/>
  <c r="R6" i="20" s="1"/>
  <c r="O6" i="20" a="1"/>
  <c r="O6" i="20" s="1"/>
  <c r="M6" i="20" a="1"/>
  <c r="M6" i="20" s="1"/>
  <c r="I6" i="20" a="1"/>
  <c r="I6" i="20" s="1"/>
  <c r="Q6" i="20" a="1"/>
  <c r="Q6" i="20" s="1"/>
  <c r="J6" i="20" a="1"/>
  <c r="J6" i="20" s="1"/>
  <c r="V6" i="20" a="1"/>
  <c r="V6" i="20" s="1"/>
  <c r="X5" i="20" a="1"/>
  <c r="X5" i="20" s="1"/>
  <c r="V5" i="20" a="1"/>
  <c r="V5" i="20" s="1"/>
  <c r="T5" i="20" a="1"/>
  <c r="T5" i="20" s="1"/>
  <c r="R5" i="20" a="1"/>
  <c r="R5" i="20" s="1"/>
  <c r="M5" i="20" a="1"/>
  <c r="M5" i="20" s="1"/>
  <c r="AB5" i="20" a="1"/>
  <c r="AB5" i="20" s="1"/>
  <c r="Z5" i="20" a="1"/>
  <c r="Z5" i="20" s="1"/>
  <c r="Q5" i="20" a="1"/>
  <c r="Q5" i="20" s="1"/>
  <c r="O5" i="20" a="1"/>
  <c r="O5" i="20" s="1"/>
  <c r="L5" i="20"/>
  <c r="S5" i="20" a="1"/>
  <c r="S5" i="20" s="1"/>
  <c r="P5" i="20" a="1"/>
  <c r="P5" i="20" s="1"/>
  <c r="J5" i="20" a="1"/>
  <c r="J5" i="20" s="1"/>
  <c r="N5" i="20" a="1"/>
  <c r="N5" i="20" s="1"/>
  <c r="I5" i="20" a="1"/>
  <c r="I5" i="20" s="1"/>
  <c r="H5" i="20" a="1"/>
  <c r="H5" i="20" s="1"/>
  <c r="G5" i="20" a="1"/>
  <c r="G5" i="20" s="1"/>
  <c r="W5" i="20" a="1"/>
  <c r="W5" i="20" s="1"/>
  <c r="U5" i="20" a="1"/>
  <c r="U5" i="20" s="1"/>
  <c r="K5" i="20" a="1"/>
  <c r="K5" i="20" s="1"/>
  <c r="Y5" i="20" a="1"/>
  <c r="Y5" i="20" s="1"/>
  <c r="AA5" i="20" a="1"/>
  <c r="AA5" i="20" s="1"/>
  <c r="C1174" i="20"/>
  <c r="G1170" i="20" s="1"/>
  <c r="Z1132" i="20" a="1"/>
  <c r="Z1132" i="20" s="1"/>
  <c r="AB1132" i="20" a="1"/>
  <c r="AB1132" i="20" s="1"/>
  <c r="AA1132" i="20" a="1"/>
  <c r="AA1132" i="20" s="1"/>
  <c r="Z1128" i="20" a="1"/>
  <c r="Z1128" i="20" s="1"/>
  <c r="AB1128" i="20" a="1"/>
  <c r="AB1128" i="20" s="1"/>
  <c r="AA1128" i="20" a="1"/>
  <c r="AA1128" i="20" s="1"/>
  <c r="Z1126" i="20" a="1"/>
  <c r="Z1126" i="20" s="1"/>
  <c r="AB1126" i="20" a="1"/>
  <c r="AB1126" i="20" s="1"/>
  <c r="AA1126" i="20" a="1"/>
  <c r="AA1126" i="20" s="1"/>
  <c r="AB1124" i="20" a="1"/>
  <c r="AB1124" i="20" s="1"/>
  <c r="AB1139" i="20" s="1" a="1"/>
  <c r="AA1124" i="20" a="1"/>
  <c r="AA1124" i="20" s="1"/>
  <c r="AA1139" i="20" s="1" a="1"/>
  <c r="AB1104" i="20" a="1"/>
  <c r="AB1104" i="20" s="1"/>
  <c r="AA1104" i="20" a="1"/>
  <c r="AA1104" i="20" s="1"/>
  <c r="AB1102" i="20" a="1"/>
  <c r="AB1102" i="20" s="1"/>
  <c r="AA1102" i="20" a="1"/>
  <c r="AA1102" i="20" s="1"/>
  <c r="AB1100" i="20" a="1"/>
  <c r="AB1100" i="20" s="1"/>
  <c r="AA1100" i="20" a="1"/>
  <c r="AA1100" i="20" s="1"/>
  <c r="AB1098" i="20" a="1"/>
  <c r="AB1098" i="20" s="1"/>
  <c r="AA1098" i="20" a="1"/>
  <c r="AA1098" i="20" s="1"/>
  <c r="AB1096" i="20" a="1"/>
  <c r="AB1096" i="20" s="1"/>
  <c r="AB1111" i="20" s="1" a="1"/>
  <c r="AA1096" i="20" a="1"/>
  <c r="AA1096" i="20" s="1"/>
  <c r="AA1111" i="20" s="1" a="1"/>
  <c r="Z1076" i="20" a="1"/>
  <c r="Z1076" i="20" s="1"/>
  <c r="AB1076" i="20" a="1"/>
  <c r="AB1076" i="20" s="1"/>
  <c r="AA1076" i="20" a="1"/>
  <c r="AA1076" i="20" s="1"/>
  <c r="Z1074" i="20" a="1"/>
  <c r="Z1074" i="20" s="1"/>
  <c r="AB1074" i="20" a="1"/>
  <c r="AB1074" i="20" s="1"/>
  <c r="AA1074" i="20" a="1"/>
  <c r="AA1074" i="20" s="1"/>
  <c r="AB1072" i="20" a="1"/>
  <c r="AB1072" i="20" s="1"/>
  <c r="AA1072" i="20" a="1"/>
  <c r="AA1072" i="20" s="1"/>
  <c r="Z1070" i="20" a="1"/>
  <c r="Z1070" i="20" s="1"/>
  <c r="AB1070" i="20" a="1"/>
  <c r="AB1070" i="20" s="1"/>
  <c r="AA1070" i="20" a="1"/>
  <c r="AA1070" i="20" s="1"/>
  <c r="Z1068" i="20" a="1"/>
  <c r="Z1068" i="20" s="1"/>
  <c r="Z1083" i="20" s="1" a="1"/>
  <c r="AB1068" i="20" a="1"/>
  <c r="AB1068" i="20" s="1"/>
  <c r="AB1083" i="20" s="1" a="1"/>
  <c r="AA1068" i="20" a="1"/>
  <c r="AA1068" i="20" s="1"/>
  <c r="AA1083" i="20" s="1" a="1"/>
  <c r="AB1048" i="20" a="1"/>
  <c r="AB1048" i="20" s="1"/>
  <c r="AA1048" i="20" a="1"/>
  <c r="AA1048" i="20" s="1"/>
  <c r="AB1046" i="20" a="1"/>
  <c r="AB1046" i="20" s="1"/>
  <c r="AA1046" i="20" a="1"/>
  <c r="AA1046" i="20" s="1"/>
  <c r="Z1044" i="20" a="1"/>
  <c r="Z1044" i="20" s="1"/>
  <c r="AB1044" i="20" a="1"/>
  <c r="AB1044" i="20" s="1"/>
  <c r="AA1044" i="20" a="1"/>
  <c r="AA1044" i="20" s="1"/>
  <c r="AB1042" i="20" a="1"/>
  <c r="AB1042" i="20" s="1"/>
  <c r="AA1042" i="20" a="1"/>
  <c r="AA1042" i="20" s="1"/>
  <c r="AB1040" i="20" a="1"/>
  <c r="AB1040" i="20" s="1"/>
  <c r="AB1055" i="20" s="1" a="1"/>
  <c r="AA1040" i="20" a="1"/>
  <c r="AA1040" i="20" s="1"/>
  <c r="AA1055" i="20" s="1" a="1"/>
  <c r="Z1020" i="20" a="1"/>
  <c r="Z1020" i="20" s="1"/>
  <c r="AB1020" i="20" a="1"/>
  <c r="AB1020" i="20" s="1"/>
  <c r="AA1020" i="20" a="1"/>
  <c r="AA1020" i="20" s="1"/>
  <c r="Z1018" i="20" a="1"/>
  <c r="Z1018" i="20" s="1"/>
  <c r="AB1018" i="20" a="1"/>
  <c r="AB1018" i="20" s="1"/>
  <c r="AA1018" i="20" a="1"/>
  <c r="AA1018" i="20" s="1"/>
  <c r="AA1016" i="20" a="1"/>
  <c r="AA1016" i="20" s="1"/>
  <c r="AB1016" i="20" a="1"/>
  <c r="AB1016" i="20" s="1"/>
  <c r="Z1014" i="20" a="1"/>
  <c r="Z1014" i="20" s="1"/>
  <c r="AA1014" i="20" a="1"/>
  <c r="AA1014" i="20" s="1"/>
  <c r="AB1014" i="20" a="1"/>
  <c r="AB1014" i="20" s="1"/>
  <c r="AA1012" i="20" a="1"/>
  <c r="AA1012" i="20" s="1"/>
  <c r="AA1027" i="20" s="1" a="1"/>
  <c r="AB1012" i="20" a="1"/>
  <c r="AB1012" i="20" s="1"/>
  <c r="AB1027" i="20" s="1" a="1"/>
  <c r="AA992" i="20" a="1"/>
  <c r="AA992" i="20" s="1"/>
  <c r="AB992" i="20" a="1"/>
  <c r="AB992" i="20" s="1"/>
  <c r="AA990" i="20" a="1"/>
  <c r="AA990" i="20" s="1"/>
  <c r="AB990" i="20" a="1"/>
  <c r="AB990" i="20" s="1"/>
  <c r="Z988" i="20" a="1"/>
  <c r="Z988" i="20" s="1"/>
  <c r="AA988" i="20" a="1"/>
  <c r="AA988" i="20" s="1"/>
  <c r="AB988" i="20" a="1"/>
  <c r="AB988" i="20" s="1"/>
  <c r="AA986" i="20" a="1"/>
  <c r="AA986" i="20" s="1"/>
  <c r="AB986" i="20" a="1"/>
  <c r="AB986" i="20" s="1"/>
  <c r="AA984" i="20" a="1"/>
  <c r="AA984" i="20" s="1"/>
  <c r="AA999" i="20" s="1" a="1"/>
  <c r="AB984" i="20" a="1"/>
  <c r="AB984" i="20" s="1"/>
  <c r="AB999" i="20" s="1" a="1"/>
  <c r="Z964" i="20" a="1"/>
  <c r="Z964" i="20" s="1"/>
  <c r="AA964" i="20" a="1"/>
  <c r="AA964" i="20" s="1"/>
  <c r="AB964" i="20" a="1"/>
  <c r="AB964" i="20" s="1"/>
  <c r="Z962" i="20" a="1"/>
  <c r="Z962" i="20" s="1"/>
  <c r="AA962" i="20" a="1"/>
  <c r="AA962" i="20" s="1"/>
  <c r="AB962" i="20" a="1"/>
  <c r="AB962" i="20" s="1"/>
  <c r="AA960" i="20" a="1"/>
  <c r="AA960" i="20" s="1"/>
  <c r="AB960" i="20" a="1"/>
  <c r="AB960" i="20" s="1"/>
  <c r="AA958" i="20" a="1"/>
  <c r="AA958" i="20" s="1"/>
  <c r="AB958" i="20" a="1"/>
  <c r="AB958" i="20" s="1"/>
  <c r="AA956" i="20" a="1"/>
  <c r="AA956" i="20" s="1"/>
  <c r="AA971" i="20" s="1" a="1"/>
  <c r="AB956" i="20" a="1"/>
  <c r="AB956" i="20" s="1"/>
  <c r="AB971" i="20" s="1" a="1"/>
  <c r="AB936" i="20" a="1"/>
  <c r="AB936" i="20" s="1"/>
  <c r="AA936" i="20" a="1"/>
  <c r="AA936" i="20" s="1"/>
  <c r="AB934" i="20" a="1"/>
  <c r="AB934" i="20" s="1"/>
  <c r="AA934" i="20" a="1"/>
  <c r="AA934" i="20" s="1"/>
  <c r="AB932" i="20" a="1"/>
  <c r="AB932" i="20" s="1"/>
  <c r="AA932" i="20" a="1"/>
  <c r="AA932" i="20" s="1"/>
  <c r="AB930" i="20" a="1"/>
  <c r="AB930" i="20" s="1"/>
  <c r="AA930" i="20" a="1"/>
  <c r="AA930" i="20" s="1"/>
  <c r="AB928" i="20" a="1"/>
  <c r="AB928" i="20" s="1"/>
  <c r="AA928" i="20" a="1"/>
  <c r="AA928" i="20" s="1"/>
  <c r="Z908" i="20" a="1"/>
  <c r="Z908" i="20" s="1"/>
  <c r="AA908" i="20" a="1"/>
  <c r="AA908" i="20" s="1"/>
  <c r="AB908" i="20" a="1"/>
  <c r="AB908" i="20" s="1"/>
  <c r="Z906" i="20" a="1"/>
  <c r="Z906" i="20" s="1"/>
  <c r="AA906" i="20" a="1"/>
  <c r="AA906" i="20" s="1"/>
  <c r="AB906" i="20" a="1"/>
  <c r="AB906" i="20" s="1"/>
  <c r="AA904" i="20" a="1"/>
  <c r="AA904" i="20" s="1"/>
  <c r="AB904" i="20" a="1"/>
  <c r="AB904" i="20" s="1"/>
  <c r="AA902" i="20" a="1"/>
  <c r="AA902" i="20" s="1"/>
  <c r="AB902" i="20" a="1"/>
  <c r="AB902" i="20" s="1"/>
  <c r="AA900" i="20" a="1"/>
  <c r="AA900" i="20" s="1"/>
  <c r="AA915" i="20" s="1" a="1"/>
  <c r="AB900" i="20" a="1"/>
  <c r="AB900" i="20" s="1"/>
  <c r="AB915" i="20" s="1" a="1"/>
  <c r="Z880" i="20" a="1"/>
  <c r="Z880" i="20" s="1"/>
  <c r="AB880" i="20" a="1"/>
  <c r="AB880" i="20" s="1"/>
  <c r="AA880" i="20" a="1"/>
  <c r="AA880" i="20" s="1"/>
  <c r="Z878" i="20" a="1"/>
  <c r="Z878" i="20" s="1"/>
  <c r="AB878" i="20" a="1"/>
  <c r="AB878" i="20" s="1"/>
  <c r="AA878" i="20" a="1"/>
  <c r="AA878" i="20" s="1"/>
  <c r="AB876" i="20" a="1"/>
  <c r="AB876" i="20" s="1"/>
  <c r="AA876" i="20" a="1"/>
  <c r="AA876" i="20" s="1"/>
  <c r="AB874" i="20" a="1"/>
  <c r="AB874" i="20" s="1"/>
  <c r="AA874" i="20" a="1"/>
  <c r="AA874" i="20" s="1"/>
  <c r="AB872" i="20" a="1"/>
  <c r="AB872" i="20" s="1"/>
  <c r="AA872" i="20" a="1"/>
  <c r="AA872" i="20" s="1"/>
  <c r="Z852" i="20" a="1"/>
  <c r="Z852" i="20" s="1"/>
  <c r="AA852" i="20" a="1"/>
  <c r="AA852" i="20" s="1"/>
  <c r="AB852" i="20" a="1"/>
  <c r="AB852" i="20" s="1"/>
  <c r="Z850" i="20" a="1"/>
  <c r="Z850" i="20" s="1"/>
  <c r="AA850" i="20" a="1"/>
  <c r="AA850" i="20" s="1"/>
  <c r="AB850" i="20" a="1"/>
  <c r="AB850" i="20" s="1"/>
  <c r="AA848" i="20" a="1"/>
  <c r="AA848" i="20" s="1"/>
  <c r="AB848" i="20" a="1"/>
  <c r="AB848" i="20" s="1"/>
  <c r="AA846" i="20" a="1"/>
  <c r="AA846" i="20" s="1"/>
  <c r="AB846" i="20" a="1"/>
  <c r="AB846" i="20" s="1"/>
  <c r="AA844" i="20" a="1"/>
  <c r="AA844" i="20" s="1"/>
  <c r="AA859" i="20" s="1" a="1"/>
  <c r="AB844" i="20" a="1"/>
  <c r="AB844" i="20" s="1"/>
  <c r="AB859" i="20" s="1" a="1"/>
  <c r="AA824" i="20" a="1"/>
  <c r="AA824" i="20" s="1"/>
  <c r="AB824" i="20" a="1"/>
  <c r="AB824" i="20" s="1"/>
  <c r="Z822" i="20" a="1"/>
  <c r="Z822" i="20" s="1"/>
  <c r="AA822" i="20" a="1"/>
  <c r="AA822" i="20" s="1"/>
  <c r="AB822" i="20" a="1"/>
  <c r="AB822" i="20" s="1"/>
  <c r="AA820" i="20" a="1"/>
  <c r="AA820" i="20" s="1"/>
  <c r="AB820" i="20" a="1"/>
  <c r="AB820" i="20" s="1"/>
  <c r="AA818" i="20" a="1"/>
  <c r="AA818" i="20" s="1"/>
  <c r="AB818" i="20" a="1"/>
  <c r="AB818" i="20" s="1"/>
  <c r="AA816" i="20" a="1"/>
  <c r="AA816" i="20" s="1"/>
  <c r="AB816" i="20" a="1"/>
  <c r="AB816" i="20" s="1"/>
  <c r="Z796" i="20" a="1"/>
  <c r="Z796" i="20" s="1"/>
  <c r="AA796" i="20" a="1"/>
  <c r="AA796" i="20" s="1"/>
  <c r="AB796" i="20" a="1"/>
  <c r="AB796" i="20" s="1"/>
  <c r="Z794" i="20" a="1"/>
  <c r="Z794" i="20" s="1"/>
  <c r="AA794" i="20" a="1"/>
  <c r="AA794" i="20" s="1"/>
  <c r="AB794" i="20" a="1"/>
  <c r="AB794" i="20" s="1"/>
  <c r="AA792" i="20" a="1"/>
  <c r="AA792" i="20" s="1"/>
  <c r="AB792" i="20" a="1"/>
  <c r="AB792" i="20" s="1"/>
  <c r="AA790" i="20" a="1"/>
  <c r="AA790" i="20" s="1"/>
  <c r="AB790" i="20" a="1"/>
  <c r="AB790" i="20" s="1"/>
  <c r="AA788" i="20" a="1"/>
  <c r="AA788" i="20" s="1"/>
  <c r="AA803" i="20" s="1" a="1"/>
  <c r="AB788" i="20" a="1"/>
  <c r="AB788" i="20" s="1"/>
  <c r="AB803" i="20" s="1" a="1"/>
  <c r="Z768" i="20" a="1"/>
  <c r="Z768" i="20" s="1"/>
  <c r="AB768" i="20" a="1"/>
  <c r="AB768" i="20" s="1"/>
  <c r="AA768" i="20" a="1"/>
  <c r="AA768" i="20" s="1"/>
  <c r="Z766" i="20" a="1"/>
  <c r="Z766" i="20" s="1"/>
  <c r="AB766" i="20" a="1"/>
  <c r="AB766" i="20" s="1"/>
  <c r="AA766" i="20" a="1"/>
  <c r="AA766" i="20" s="1"/>
  <c r="Z764" i="20" a="1"/>
  <c r="Z764" i="20" s="1"/>
  <c r="AB764" i="20" a="1"/>
  <c r="AB764" i="20" s="1"/>
  <c r="AA764" i="20" a="1"/>
  <c r="AA764" i="20" s="1"/>
  <c r="Z762" i="20" a="1"/>
  <c r="Z762" i="20" s="1"/>
  <c r="AB762" i="20" a="1"/>
  <c r="AB762" i="20" s="1"/>
  <c r="AA762" i="20" a="1"/>
  <c r="AA762" i="20" s="1"/>
  <c r="AB760" i="20" a="1"/>
  <c r="AB760" i="20" s="1"/>
  <c r="AB775" i="20" s="1" a="1"/>
  <c r="AA760" i="20" a="1"/>
  <c r="AA760" i="20" s="1"/>
  <c r="AA775" i="20" s="1" a="1"/>
  <c r="Z740" i="20" a="1"/>
  <c r="Z740" i="20" s="1"/>
  <c r="AA740" i="20" a="1"/>
  <c r="AA740" i="20" s="1"/>
  <c r="AB740" i="20" a="1"/>
  <c r="AB740" i="20" s="1"/>
  <c r="Z738" i="20" a="1"/>
  <c r="Z738" i="20" s="1"/>
  <c r="AA738" i="20" a="1"/>
  <c r="AA738" i="20" s="1"/>
  <c r="AB738" i="20" a="1"/>
  <c r="AB738" i="20" s="1"/>
  <c r="Z736" i="20" a="1"/>
  <c r="Z736" i="20" s="1"/>
  <c r="AA736" i="20" a="1"/>
  <c r="AA736" i="20" s="1"/>
  <c r="AB736" i="20" a="1"/>
  <c r="AB736" i="20" s="1"/>
  <c r="Z734" i="20" a="1"/>
  <c r="Z734" i="20" s="1"/>
  <c r="AA734" i="20" a="1"/>
  <c r="AA734" i="20" s="1"/>
  <c r="AB734" i="20" a="1"/>
  <c r="AB734" i="20" s="1"/>
  <c r="AA732" i="20" a="1"/>
  <c r="AA732" i="20" s="1"/>
  <c r="AA747" i="20" s="1" a="1"/>
  <c r="AB732" i="20" a="1"/>
  <c r="AB732" i="20" s="1"/>
  <c r="AB747" i="20" s="1" a="1"/>
  <c r="Z712" i="20" a="1"/>
  <c r="Z712" i="20" s="1"/>
  <c r="AA712" i="20" a="1"/>
  <c r="AA712" i="20" s="1"/>
  <c r="AB712" i="20" a="1"/>
  <c r="AB712" i="20" s="1"/>
  <c r="AA710" i="20" a="1"/>
  <c r="AA710" i="20" s="1"/>
  <c r="AB710" i="20" a="1"/>
  <c r="AB710" i="20" s="1"/>
  <c r="Z708" i="20" a="1"/>
  <c r="Z708" i="20" s="1"/>
  <c r="AA708" i="20" a="1"/>
  <c r="AA708" i="20" s="1"/>
  <c r="AB708" i="20" a="1"/>
  <c r="AB708" i="20" s="1"/>
  <c r="AA706" i="20" a="1"/>
  <c r="AA706" i="20" s="1"/>
  <c r="AB706" i="20" a="1"/>
  <c r="AB706" i="20" s="1"/>
  <c r="AA704" i="20" a="1"/>
  <c r="AA704" i="20" s="1"/>
  <c r="AA719" i="20" s="1" a="1"/>
  <c r="AB704" i="20" a="1"/>
  <c r="AB704" i="20" s="1"/>
  <c r="AB719" i="20" s="1" a="1"/>
  <c r="AB684" i="20" a="1"/>
  <c r="AB684" i="20" s="1"/>
  <c r="AA684" i="20" a="1"/>
  <c r="AA684" i="20" s="1"/>
  <c r="Z682" i="20" a="1"/>
  <c r="Z682" i="20" s="1"/>
  <c r="AB682" i="20" a="1"/>
  <c r="AB682" i="20" s="1"/>
  <c r="AA682" i="20" a="1"/>
  <c r="AA682" i="20" s="1"/>
  <c r="AB680" i="20" a="1"/>
  <c r="AB680" i="20" s="1"/>
  <c r="AA680" i="20" a="1"/>
  <c r="AA680" i="20" s="1"/>
  <c r="Z678" i="20" a="1"/>
  <c r="Z678" i="20" s="1"/>
  <c r="AB678" i="20" a="1"/>
  <c r="AB678" i="20" s="1"/>
  <c r="AA678" i="20" a="1"/>
  <c r="AA678" i="20" s="1"/>
  <c r="AB676" i="20" a="1"/>
  <c r="AB676" i="20" s="1"/>
  <c r="AB691" i="20" s="1" a="1"/>
  <c r="AA676" i="20" a="1"/>
  <c r="AA676" i="20" s="1"/>
  <c r="AA691" i="20" s="1" a="1"/>
  <c r="Z656" i="20" a="1"/>
  <c r="Z656" i="20" s="1"/>
  <c r="AB656" i="20" a="1"/>
  <c r="AB656" i="20" s="1"/>
  <c r="AA656" i="20" a="1"/>
  <c r="AA656" i="20" s="1"/>
  <c r="AB654" i="20" a="1"/>
  <c r="AB654" i="20" s="1"/>
  <c r="AA654" i="20" a="1"/>
  <c r="AA654" i="20" s="1"/>
  <c r="Z652" i="20" a="1"/>
  <c r="Z652" i="20" s="1"/>
  <c r="AB652" i="20" a="1"/>
  <c r="AB652" i="20" s="1"/>
  <c r="AA652" i="20" a="1"/>
  <c r="AA652" i="20" s="1"/>
  <c r="Z650" i="20" a="1"/>
  <c r="Z650" i="20" s="1"/>
  <c r="AB650" i="20" a="1"/>
  <c r="AB650" i="20" s="1"/>
  <c r="AA650" i="20" a="1"/>
  <c r="AA650" i="20" s="1"/>
  <c r="AB648" i="20" a="1"/>
  <c r="AB648" i="20" s="1"/>
  <c r="AB663" i="20" s="1" a="1"/>
  <c r="AA648" i="20" a="1"/>
  <c r="AA648" i="20" s="1"/>
  <c r="AA663" i="20" s="1" a="1"/>
  <c r="AB628" i="20" a="1"/>
  <c r="AB628" i="20" s="1"/>
  <c r="AA628" i="20" a="1"/>
  <c r="AA628" i="20" s="1"/>
  <c r="AB626" i="20" a="1"/>
  <c r="AB626" i="20" s="1"/>
  <c r="AA626" i="20" a="1"/>
  <c r="AA626" i="20" s="1"/>
  <c r="Z624" i="20" a="1"/>
  <c r="Z624" i="20" s="1"/>
  <c r="AB624" i="20" a="1"/>
  <c r="AB624" i="20" s="1"/>
  <c r="AA624" i="20" a="1"/>
  <c r="AA624" i="20" s="1"/>
  <c r="AB622" i="20" a="1"/>
  <c r="AB622" i="20" s="1"/>
  <c r="AA622" i="20" a="1"/>
  <c r="AA622" i="20" s="1"/>
  <c r="AB620" i="20" a="1"/>
  <c r="AB620" i="20" s="1"/>
  <c r="AB635" i="20" s="1" a="1"/>
  <c r="AA620" i="20" a="1"/>
  <c r="AA620" i="20" s="1"/>
  <c r="AA635" i="20" s="1" a="1"/>
  <c r="Z600" i="20" a="1"/>
  <c r="Z600" i="20" s="1"/>
  <c r="AB600" i="20" a="1"/>
  <c r="AB600" i="20" s="1"/>
  <c r="AA600" i="20" a="1"/>
  <c r="AA600" i="20" s="1"/>
  <c r="Z598" i="20" a="1"/>
  <c r="Z598" i="20" s="1"/>
  <c r="AB598" i="20" a="1"/>
  <c r="AB598" i="20" s="1"/>
  <c r="AA598" i="20" a="1"/>
  <c r="AA598" i="20" s="1"/>
  <c r="Z596" i="20" a="1"/>
  <c r="Z596" i="20" s="1"/>
  <c r="AB596" i="20" a="1"/>
  <c r="AB596" i="20" s="1"/>
  <c r="AA596" i="20" a="1"/>
  <c r="AA596" i="20" s="1"/>
  <c r="Z594" i="20" a="1"/>
  <c r="Z594" i="20" s="1"/>
  <c r="AB594" i="20" a="1"/>
  <c r="AB594" i="20" s="1"/>
  <c r="AA594" i="20" a="1"/>
  <c r="AA594" i="20" s="1"/>
  <c r="AB592" i="20" a="1"/>
  <c r="AB592" i="20" s="1"/>
  <c r="AB607" i="20" s="1" a="1"/>
  <c r="AA592" i="20" a="1"/>
  <c r="AA592" i="20" s="1"/>
  <c r="AA607" i="20" s="1" a="1"/>
  <c r="Z572" i="20" a="1"/>
  <c r="Z572" i="20" s="1"/>
  <c r="AA572" i="20" a="1"/>
  <c r="AA572" i="20" s="1"/>
  <c r="AB572" i="20" a="1"/>
  <c r="AB572" i="20" s="1"/>
  <c r="Z570" i="20" a="1"/>
  <c r="Z570" i="20" s="1"/>
  <c r="AA570" i="20" a="1"/>
  <c r="AA570" i="20" s="1"/>
  <c r="AB570" i="20" a="1"/>
  <c r="AB570" i="20" s="1"/>
  <c r="Z568" i="20" a="1"/>
  <c r="Z568" i="20" s="1"/>
  <c r="AA568" i="20" a="1"/>
  <c r="AA568" i="20" s="1"/>
  <c r="AB568" i="20" a="1"/>
  <c r="AB568" i="20" s="1"/>
  <c r="Z566" i="20" a="1"/>
  <c r="Z566" i="20" s="1"/>
  <c r="AA566" i="20" a="1"/>
  <c r="AA566" i="20" s="1"/>
  <c r="AB566" i="20" a="1"/>
  <c r="AB566" i="20" s="1"/>
  <c r="AA564" i="20" a="1"/>
  <c r="AA564" i="20" s="1"/>
  <c r="AA579" i="20" s="1" a="1"/>
  <c r="AB564" i="20" a="1"/>
  <c r="AB564" i="20" s="1"/>
  <c r="AB579" i="20" s="1" a="1"/>
  <c r="Z544" i="20" a="1"/>
  <c r="Z544" i="20" s="1"/>
  <c r="AA544" i="20" a="1"/>
  <c r="AA544" i="20" s="1"/>
  <c r="AB544" i="20" a="1"/>
  <c r="AB544" i="20" s="1"/>
  <c r="AA542" i="20" a="1"/>
  <c r="AA542" i="20" s="1"/>
  <c r="AB542" i="20" a="1"/>
  <c r="AB542" i="20" s="1"/>
  <c r="Z540" i="20" a="1"/>
  <c r="Z540" i="20" s="1"/>
  <c r="AA540" i="20" a="1"/>
  <c r="AA540" i="20" s="1"/>
  <c r="AB540" i="20" a="1"/>
  <c r="AB540" i="20" s="1"/>
  <c r="AA538" i="20" a="1"/>
  <c r="AA538" i="20" s="1"/>
  <c r="AB538" i="20" a="1"/>
  <c r="AB538" i="20" s="1"/>
  <c r="AA536" i="20" a="1"/>
  <c r="AA536" i="20" s="1"/>
  <c r="AA551" i="20" s="1" a="1"/>
  <c r="AB536" i="20" a="1"/>
  <c r="AB536" i="20" s="1"/>
  <c r="AB551" i="20" s="1" a="1"/>
  <c r="Z516" i="20" a="1"/>
  <c r="Z516" i="20" s="1"/>
  <c r="AA516" i="20" a="1"/>
  <c r="AA516" i="20" s="1"/>
  <c r="AB516" i="20" a="1"/>
  <c r="AB516" i="20" s="1"/>
  <c r="AA514" i="20" a="1"/>
  <c r="AA514" i="20" s="1"/>
  <c r="AB514" i="20" a="1"/>
  <c r="AB514" i="20" s="1"/>
  <c r="Z512" i="20" a="1"/>
  <c r="Z512" i="20" s="1"/>
  <c r="AA512" i="20" a="1"/>
  <c r="AA512" i="20" s="1"/>
  <c r="AB512" i="20" a="1"/>
  <c r="AB512" i="20" s="1"/>
  <c r="Z510" i="20" a="1"/>
  <c r="Z510" i="20" s="1"/>
  <c r="AA510" i="20" a="1"/>
  <c r="AA510" i="20" s="1"/>
  <c r="AB510" i="20" a="1"/>
  <c r="AB510" i="20" s="1"/>
  <c r="AA508" i="20" a="1"/>
  <c r="AA508" i="20" s="1"/>
  <c r="AA523" i="20" s="1" a="1"/>
  <c r="AB508" i="20" a="1"/>
  <c r="AB508" i="20" s="1"/>
  <c r="AB523" i="20" s="1" a="1"/>
  <c r="Z488" i="20" a="1"/>
  <c r="Z488" i="20" s="1"/>
  <c r="AA488" i="20" a="1"/>
  <c r="AA488" i="20" s="1"/>
  <c r="AB488" i="20" a="1"/>
  <c r="AB488" i="20" s="1"/>
  <c r="Z486" i="20" a="1"/>
  <c r="Z486" i="20" s="1"/>
  <c r="AA486" i="20" a="1"/>
  <c r="AA486" i="20" s="1"/>
  <c r="AB486" i="20" a="1"/>
  <c r="AB486" i="20" s="1"/>
  <c r="AA484" i="20" a="1"/>
  <c r="AA484" i="20" s="1"/>
  <c r="AB484" i="20" a="1"/>
  <c r="AB484" i="20" s="1"/>
  <c r="AA482" i="20" a="1"/>
  <c r="AA482" i="20" s="1"/>
  <c r="AB482" i="20" a="1"/>
  <c r="AB482" i="20" s="1"/>
  <c r="AA480" i="20" a="1"/>
  <c r="AA480" i="20" s="1"/>
  <c r="AA495" i="20" s="1" a="1"/>
  <c r="AB480" i="20" a="1"/>
  <c r="AB480" i="20" s="1"/>
  <c r="AB495" i="20" s="1" a="1"/>
  <c r="Z460" i="20" a="1"/>
  <c r="Z460" i="20" s="1"/>
  <c r="AA460" i="20" a="1"/>
  <c r="AA460" i="20" s="1"/>
  <c r="AB460" i="20" a="1"/>
  <c r="AB460" i="20" s="1"/>
  <c r="Z458" i="20" a="1"/>
  <c r="Z458" i="20" s="1"/>
  <c r="AA458" i="20" a="1"/>
  <c r="AA458" i="20" s="1"/>
  <c r="AB458" i="20" a="1"/>
  <c r="AB458" i="20" s="1"/>
  <c r="Z456" i="20" a="1"/>
  <c r="Z456" i="20" s="1"/>
  <c r="AA456" i="20" a="1"/>
  <c r="AA456" i="20" s="1"/>
  <c r="AB456" i="20" a="1"/>
  <c r="AB456" i="20" s="1"/>
  <c r="AA454" i="20" a="1"/>
  <c r="AA454" i="20" s="1"/>
  <c r="AB454" i="20" a="1"/>
  <c r="AB454" i="20" s="1"/>
  <c r="AA452" i="20" a="1"/>
  <c r="AA452" i="20" s="1"/>
  <c r="AA467" i="20" s="1" a="1"/>
  <c r="AB452" i="20" a="1"/>
  <c r="AB452" i="20" s="1"/>
  <c r="AB467" i="20" s="1" a="1"/>
  <c r="Z432" i="20" a="1"/>
  <c r="Z432" i="20" s="1"/>
  <c r="AA432" i="20" a="1"/>
  <c r="AA432" i="20" s="1"/>
  <c r="AB432" i="20" a="1"/>
  <c r="AB432" i="20" s="1"/>
  <c r="AA430" i="20" a="1"/>
  <c r="AA430" i="20" s="1"/>
  <c r="AB430" i="20" a="1"/>
  <c r="AB430" i="20" s="1"/>
  <c r="AA428" i="20" a="1"/>
  <c r="AA428" i="20" s="1"/>
  <c r="AB428" i="20" a="1"/>
  <c r="AB428" i="20" s="1"/>
  <c r="AA426" i="20" a="1"/>
  <c r="AA426" i="20" s="1"/>
  <c r="AB426" i="20" a="1"/>
  <c r="AB426" i="20" s="1"/>
  <c r="AA424" i="20" a="1"/>
  <c r="AA424" i="20" s="1"/>
  <c r="AA439" i="20" s="1" a="1"/>
  <c r="AB424" i="20" a="1"/>
  <c r="AB424" i="20" s="1"/>
  <c r="AB439" i="20" s="1" a="1"/>
  <c r="Z404" i="20" a="1"/>
  <c r="Z404" i="20" s="1"/>
  <c r="AA404" i="20" a="1"/>
  <c r="AA404" i="20" s="1"/>
  <c r="AB404" i="20" a="1"/>
  <c r="AB404" i="20" s="1"/>
  <c r="Z402" i="20" a="1"/>
  <c r="Z402" i="20" s="1"/>
  <c r="AA402" i="20" a="1"/>
  <c r="AA402" i="20" s="1"/>
  <c r="AB402" i="20" a="1"/>
  <c r="AB402" i="20" s="1"/>
  <c r="AB400" i="20" a="1"/>
  <c r="AB400" i="20" s="1"/>
  <c r="AA400" i="20" a="1"/>
  <c r="AA400" i="20" s="1"/>
  <c r="AB398" i="20" a="1"/>
  <c r="AB398" i="20" s="1"/>
  <c r="AA398" i="20" a="1"/>
  <c r="AA398" i="20" s="1"/>
  <c r="AB396" i="20" a="1"/>
  <c r="AB396" i="20" s="1"/>
  <c r="AB411" i="20" s="1" a="1"/>
  <c r="AA396" i="20" a="1"/>
  <c r="AA396" i="20" s="1"/>
  <c r="AA411" i="20" s="1" a="1"/>
  <c r="Z376" i="20" a="1"/>
  <c r="Z376" i="20" s="1"/>
  <c r="AB376" i="20" a="1"/>
  <c r="AB376" i="20" s="1"/>
  <c r="AA376" i="20" a="1"/>
  <c r="AA376" i="20" s="1"/>
  <c r="AB374" i="20" a="1"/>
  <c r="AB374" i="20" s="1"/>
  <c r="AA374" i="20" a="1"/>
  <c r="AA374" i="20" s="1"/>
  <c r="AB372" i="20" a="1"/>
  <c r="AB372" i="20" s="1"/>
  <c r="AA372" i="20" a="1"/>
  <c r="AA372" i="20" s="1"/>
  <c r="AB370" i="20" a="1"/>
  <c r="AB370" i="20" s="1"/>
  <c r="AA370" i="20" a="1"/>
  <c r="AA370" i="20" s="1"/>
  <c r="AB368" i="20" a="1"/>
  <c r="AB368" i="20" s="1"/>
  <c r="AB383" i="20" s="1" a="1"/>
  <c r="AA368" i="20" a="1"/>
  <c r="AA368" i="20" s="1"/>
  <c r="AA383" i="20" s="1" a="1"/>
  <c r="Z348" i="20" a="1"/>
  <c r="Z348" i="20" s="1"/>
  <c r="AB348" i="20" a="1"/>
  <c r="AB348" i="20" s="1"/>
  <c r="AA348" i="20" a="1"/>
  <c r="AA348" i="20" s="1"/>
  <c r="Z346" i="20" a="1"/>
  <c r="Z346" i="20" s="1"/>
  <c r="AB346" i="20" a="1"/>
  <c r="AB346" i="20" s="1"/>
  <c r="AA346" i="20" a="1"/>
  <c r="AA346" i="20" s="1"/>
  <c r="AB344" i="20" a="1"/>
  <c r="AB344" i="20" s="1"/>
  <c r="AA344" i="20" a="1"/>
  <c r="AA344" i="20" s="1"/>
  <c r="AB342" i="20" a="1"/>
  <c r="AB342" i="20" s="1"/>
  <c r="AA342" i="20" a="1"/>
  <c r="AA342" i="20" s="1"/>
  <c r="AB340" i="20" a="1"/>
  <c r="AB340" i="20" s="1"/>
  <c r="AB355" i="20" s="1" a="1"/>
  <c r="AA340" i="20" a="1"/>
  <c r="AA340" i="20" s="1"/>
  <c r="AA355" i="20" s="1" a="1"/>
  <c r="AB320" i="20" a="1"/>
  <c r="AB320" i="20" s="1"/>
  <c r="AA320" i="20" a="1"/>
  <c r="AA320" i="20" s="1"/>
  <c r="AB318" i="20" a="1"/>
  <c r="AB318" i="20" s="1"/>
  <c r="AA318" i="20" a="1"/>
  <c r="AA318" i="20" s="1"/>
  <c r="AB316" i="20" a="1"/>
  <c r="AB316" i="20" s="1"/>
  <c r="AA316" i="20" a="1"/>
  <c r="AA316" i="20" s="1"/>
  <c r="AB314" i="20" a="1"/>
  <c r="AB314" i="20" s="1"/>
  <c r="AA314" i="20" a="1"/>
  <c r="AA314" i="20" s="1"/>
  <c r="AB312" i="20" a="1"/>
  <c r="AB312" i="20" s="1"/>
  <c r="AB327" i="20" s="1" a="1"/>
  <c r="AA312" i="20" a="1"/>
  <c r="AA312" i="20" s="1"/>
  <c r="AA327" i="20" s="1" a="1"/>
  <c r="Z292" i="20" a="1"/>
  <c r="Z292" i="20" s="1"/>
  <c r="AA292" i="20" a="1"/>
  <c r="AA292" i="20" s="1"/>
  <c r="AB292" i="20" a="1"/>
  <c r="AB292" i="20" s="1"/>
  <c r="Z290" i="20" a="1"/>
  <c r="Z290" i="20" s="1"/>
  <c r="AA290" i="20" a="1"/>
  <c r="AA290" i="20" s="1"/>
  <c r="AB290" i="20" a="1"/>
  <c r="AB290" i="20" s="1"/>
  <c r="AA288" i="20" a="1"/>
  <c r="AA288" i="20" s="1"/>
  <c r="AB288" i="20" a="1"/>
  <c r="AB288" i="20" s="1"/>
  <c r="AA286" i="20" a="1"/>
  <c r="AA286" i="20" s="1"/>
  <c r="AB286" i="20" a="1"/>
  <c r="AB286" i="20" s="1"/>
  <c r="AA284" i="20" a="1"/>
  <c r="AA284" i="20" s="1"/>
  <c r="AA299" i="20" s="1" a="1"/>
  <c r="AB284" i="20" a="1"/>
  <c r="AB284" i="20" s="1"/>
  <c r="AB299" i="20" s="1" a="1"/>
  <c r="AA264" i="20" a="1"/>
  <c r="AA264" i="20" s="1"/>
  <c r="AB264" i="20" a="1"/>
  <c r="AB264" i="20" s="1"/>
  <c r="Z262" i="20" a="1"/>
  <c r="Z262" i="20" s="1"/>
  <c r="AA262" i="20" a="1"/>
  <c r="AA262" i="20" s="1"/>
  <c r="AB262" i="20" a="1"/>
  <c r="AB262" i="20" s="1"/>
  <c r="Z260" i="20" a="1"/>
  <c r="Z260" i="20" s="1"/>
  <c r="AA260" i="20" a="1"/>
  <c r="AA260" i="20" s="1"/>
  <c r="AB260" i="20" a="1"/>
  <c r="AB260" i="20" s="1"/>
  <c r="Z258" i="20" a="1"/>
  <c r="Z258" i="20" s="1"/>
  <c r="AA258" i="20" a="1"/>
  <c r="AA258" i="20" s="1"/>
  <c r="AB258" i="20" a="1"/>
  <c r="AB258" i="20" s="1"/>
  <c r="Z256" i="20" a="1"/>
  <c r="Z256" i="20" s="1"/>
  <c r="AA256" i="20" a="1"/>
  <c r="AA256" i="20" s="1"/>
  <c r="AA271" i="20" s="1" a="1"/>
  <c r="AB256" i="20" a="1"/>
  <c r="AB256" i="20" s="1"/>
  <c r="AB271" i="20" s="1" a="1"/>
  <c r="AB236" i="20" a="1"/>
  <c r="AB236" i="20" s="1"/>
  <c r="AA236" i="20" a="1"/>
  <c r="AA236" i="20" s="1"/>
  <c r="Z234" i="20" a="1"/>
  <c r="Z234" i="20" s="1"/>
  <c r="AB234" i="20" a="1"/>
  <c r="AB234" i="20" s="1"/>
  <c r="AA234" i="20" a="1"/>
  <c r="AA234" i="20" s="1"/>
  <c r="Z232" i="20" a="1"/>
  <c r="Z232" i="20" s="1"/>
  <c r="AB232" i="20" a="1"/>
  <c r="AB232" i="20" s="1"/>
  <c r="AA232" i="20" a="1"/>
  <c r="AA232" i="20" s="1"/>
  <c r="AB230" i="20" a="1"/>
  <c r="AB230" i="20" s="1"/>
  <c r="AA230" i="20" a="1"/>
  <c r="AA230" i="20" s="1"/>
  <c r="Z228" i="20" a="1"/>
  <c r="Z228" i="20" s="1"/>
  <c r="Z243" i="20" s="1" a="1"/>
  <c r="AB228" i="20" a="1"/>
  <c r="AB228" i="20" s="1"/>
  <c r="AB243" i="20" s="1" a="1"/>
  <c r="AA228" i="20" a="1"/>
  <c r="AA228" i="20" s="1"/>
  <c r="AA243" i="20" s="1" a="1"/>
  <c r="Z208" i="20" a="1"/>
  <c r="Z208" i="20" s="1"/>
  <c r="AB208" i="20" a="1"/>
  <c r="AB208" i="20" s="1"/>
  <c r="AA208" i="20" a="1"/>
  <c r="AA208" i="20" s="1"/>
  <c r="Z206" i="20" a="1"/>
  <c r="Z206" i="20" s="1"/>
  <c r="AB206" i="20" a="1"/>
  <c r="AB206" i="20" s="1"/>
  <c r="AA206" i="20" a="1"/>
  <c r="AA206" i="20" s="1"/>
  <c r="AB204" i="20" a="1"/>
  <c r="AB204" i="20" s="1"/>
  <c r="AA204" i="20" a="1"/>
  <c r="AA204" i="20" s="1"/>
  <c r="AB202" i="20" a="1"/>
  <c r="AB202" i="20" s="1"/>
  <c r="AA202" i="20" a="1"/>
  <c r="AA202" i="20" s="1"/>
  <c r="AB200" i="20" a="1"/>
  <c r="AB200" i="20" s="1"/>
  <c r="AB215" i="20" s="1" a="1"/>
  <c r="AA200" i="20" a="1"/>
  <c r="AA200" i="20" s="1"/>
  <c r="AA215" i="20" s="1" a="1"/>
  <c r="Z180" i="20" a="1"/>
  <c r="Z180" i="20" s="1"/>
  <c r="AB180" i="20" a="1"/>
  <c r="AB180" i="20" s="1"/>
  <c r="AA180" i="20" a="1"/>
  <c r="AA180" i="20" s="1"/>
  <c r="Z178" i="20" a="1"/>
  <c r="Z178" i="20" s="1"/>
  <c r="AB178" i="20" a="1"/>
  <c r="AB178" i="20" s="1"/>
  <c r="AA178" i="20" a="1"/>
  <c r="AA178" i="20" s="1"/>
  <c r="Z176" i="20" a="1"/>
  <c r="Z176" i="20" s="1"/>
  <c r="AB176" i="20" a="1"/>
  <c r="AB176" i="20" s="1"/>
  <c r="AA176" i="20" a="1"/>
  <c r="AA176" i="20" s="1"/>
  <c r="Z174" i="20" a="1"/>
  <c r="Z174" i="20" s="1"/>
  <c r="AB174" i="20" a="1"/>
  <c r="AB174" i="20" s="1"/>
  <c r="AA174" i="20" a="1"/>
  <c r="AA174" i="20" s="1"/>
  <c r="Z172" i="20" a="1"/>
  <c r="Z172" i="20" s="1"/>
  <c r="Z187" i="20" s="1" a="1"/>
  <c r="AB172" i="20" a="1"/>
  <c r="AB172" i="20" s="1"/>
  <c r="AB187" i="20" s="1" a="1"/>
  <c r="AA172" i="20" a="1"/>
  <c r="AA172" i="20" s="1"/>
  <c r="AA187" i="20" s="1" a="1"/>
  <c r="Z152" i="20" a="1"/>
  <c r="Z152" i="20" s="1"/>
  <c r="AA152" i="20" a="1"/>
  <c r="AA152" i="20" s="1"/>
  <c r="AB152" i="20" a="1"/>
  <c r="AB152" i="20" s="1"/>
  <c r="AA150" i="20" a="1"/>
  <c r="AA150" i="20" s="1"/>
  <c r="AB150" i="20" a="1"/>
  <c r="AB150" i="20" s="1"/>
  <c r="AA148" i="20" a="1"/>
  <c r="AA148" i="20" s="1"/>
  <c r="AB148" i="20" a="1"/>
  <c r="AB148" i="20" s="1"/>
  <c r="AA146" i="20" a="1"/>
  <c r="AA146" i="20" s="1"/>
  <c r="AB146" i="20" a="1"/>
  <c r="AB146" i="20" s="1"/>
  <c r="Z144" i="20" a="1"/>
  <c r="Z144" i="20" s="1"/>
  <c r="AA144" i="20" a="1"/>
  <c r="AA144" i="20" s="1"/>
  <c r="AA159" i="20" s="1" a="1"/>
  <c r="AB144" i="20" a="1"/>
  <c r="AB144" i="20" s="1"/>
  <c r="AB159" i="20" s="1" a="1"/>
  <c r="Z124" i="20" a="1"/>
  <c r="Z124" i="20" s="1"/>
  <c r="AB124" i="20" a="1"/>
  <c r="AB124" i="20" s="1"/>
  <c r="AA124" i="20" a="1"/>
  <c r="AA124" i="20" s="1"/>
  <c r="AB122" i="20" a="1"/>
  <c r="AB122" i="20" s="1"/>
  <c r="AA122" i="20" a="1"/>
  <c r="AA122" i="20" s="1"/>
  <c r="AB120" i="20" a="1"/>
  <c r="AB120" i="20" s="1"/>
  <c r="AA120" i="20" a="1"/>
  <c r="AA120" i="20" s="1"/>
  <c r="AB118" i="20" a="1"/>
  <c r="AB118" i="20" s="1"/>
  <c r="AA118" i="20" a="1"/>
  <c r="AA118" i="20" s="1"/>
  <c r="AB116" i="20" a="1"/>
  <c r="AB116" i="20" s="1"/>
  <c r="AB131" i="20" s="1" a="1"/>
  <c r="AA116" i="20" a="1"/>
  <c r="AA116" i="20" s="1"/>
  <c r="AA131" i="20" s="1" a="1"/>
  <c r="Z96" i="20" a="1"/>
  <c r="Z96" i="20" s="1"/>
  <c r="AA96" i="20" a="1"/>
  <c r="AA96" i="20" s="1"/>
  <c r="AB96" i="20" a="1"/>
  <c r="AB96" i="20" s="1"/>
  <c r="AA94" i="20" a="1"/>
  <c r="AA94" i="20" s="1"/>
  <c r="AB94" i="20" a="1"/>
  <c r="AB94" i="20" s="1"/>
  <c r="AA92" i="20" a="1"/>
  <c r="AA92" i="20" s="1"/>
  <c r="AB92" i="20" a="1"/>
  <c r="AB92" i="20" s="1"/>
  <c r="AA90" i="20" a="1"/>
  <c r="AA90" i="20" s="1"/>
  <c r="AB90" i="20" a="1"/>
  <c r="AB90" i="20" s="1"/>
  <c r="AA88" i="20" a="1"/>
  <c r="AA88" i="20" s="1"/>
  <c r="AA103" i="20" s="1" a="1"/>
  <c r="AB88" i="20" a="1"/>
  <c r="AB88" i="20" s="1"/>
  <c r="AB103" i="20" s="1" a="1"/>
  <c r="AB68" i="20" a="1"/>
  <c r="AB68" i="20" s="1"/>
  <c r="AA68" i="20" a="1"/>
  <c r="AA68" i="20" s="1"/>
  <c r="AB66" i="20" a="1"/>
  <c r="AB66" i="20" s="1"/>
  <c r="AA66" i="20" a="1"/>
  <c r="AA66" i="20" s="1"/>
  <c r="AB64" i="20" a="1"/>
  <c r="AB64" i="20" s="1"/>
  <c r="AA64" i="20" a="1"/>
  <c r="AA64" i="20" s="1"/>
  <c r="AB62" i="20" a="1"/>
  <c r="AB62" i="20" s="1"/>
  <c r="AA62" i="20" a="1"/>
  <c r="AA62" i="20" s="1"/>
  <c r="AB60" i="20" a="1"/>
  <c r="AB60" i="20" s="1"/>
  <c r="AB75" i="20" s="1" a="1"/>
  <c r="AA60" i="20" a="1"/>
  <c r="AA60" i="20" s="1"/>
  <c r="AA75" i="20" s="1" a="1"/>
  <c r="Z40" i="20" a="1"/>
  <c r="Z40" i="20" s="1"/>
  <c r="AB40" i="20" a="1"/>
  <c r="AB40" i="20" s="1"/>
  <c r="AA40" i="20" a="1"/>
  <c r="AA40" i="20" s="1"/>
  <c r="Z38" i="20" a="1"/>
  <c r="Z38" i="20" s="1"/>
  <c r="AB38" i="20" a="1"/>
  <c r="AB38" i="20" s="1"/>
  <c r="AA38" i="20" a="1"/>
  <c r="AA38" i="20" s="1"/>
  <c r="AB36" i="20" a="1"/>
  <c r="AB36" i="20" s="1"/>
  <c r="AA36" i="20" a="1"/>
  <c r="AA36" i="20" s="1"/>
  <c r="Z34" i="20" a="1"/>
  <c r="Z34" i="20" s="1"/>
  <c r="AB34" i="20" a="1"/>
  <c r="AB34" i="20" s="1"/>
  <c r="AA34" i="20" a="1"/>
  <c r="AA34" i="20" s="1"/>
  <c r="Z32" i="20" a="1"/>
  <c r="Z32" i="20" s="1"/>
  <c r="Z47" i="20" s="1" a="1"/>
  <c r="AB32" i="20" a="1"/>
  <c r="AB32" i="20" s="1"/>
  <c r="AA32" i="20" a="1"/>
  <c r="AA32" i="20" s="1"/>
  <c r="F19" i="20"/>
  <c r="F47" i="20"/>
  <c r="F103" i="20"/>
  <c r="F131" i="20"/>
  <c r="F159" i="20"/>
  <c r="F383" i="20"/>
  <c r="F355" i="20"/>
  <c r="F327" i="20"/>
  <c r="F243" i="20"/>
  <c r="F215" i="20"/>
  <c r="F187" i="20"/>
  <c r="AB1130" i="20" a="1"/>
  <c r="AB1130" i="20" s="1"/>
  <c r="AA1130" i="20" a="1"/>
  <c r="AA1130" i="20" s="1"/>
  <c r="Z1133" i="20" a="1"/>
  <c r="Z1133" i="20" s="1"/>
  <c r="AB1133" i="20" a="1"/>
  <c r="AB1133" i="20" s="1"/>
  <c r="AA1133" i="20" a="1"/>
  <c r="AA1133" i="20" s="1"/>
  <c r="Z1131" i="20" a="1"/>
  <c r="Z1131" i="20" s="1"/>
  <c r="AB1131" i="20" a="1"/>
  <c r="AB1131" i="20" s="1"/>
  <c r="AA1131" i="20" a="1"/>
  <c r="AA1131" i="20" s="1"/>
  <c r="AB1129" i="20" a="1"/>
  <c r="AB1129" i="20" s="1"/>
  <c r="AA1129" i="20" a="1"/>
  <c r="AA1129" i="20" s="1"/>
  <c r="AB1127" i="20" a="1"/>
  <c r="AB1127" i="20" s="1"/>
  <c r="AA1127" i="20" a="1"/>
  <c r="AA1127" i="20" s="1"/>
  <c r="Z1125" i="20" a="1"/>
  <c r="Z1125" i="20" s="1"/>
  <c r="AB1125" i="20" a="1"/>
  <c r="AB1125" i="20" s="1"/>
  <c r="AA1125" i="20" a="1"/>
  <c r="AA1125" i="20" s="1"/>
  <c r="AB1105" i="20" a="1"/>
  <c r="AB1105" i="20" s="1"/>
  <c r="AA1105" i="20" a="1"/>
  <c r="AA1105" i="20" s="1"/>
  <c r="AB1103" i="20" a="1"/>
  <c r="AB1103" i="20" s="1"/>
  <c r="AA1103" i="20" a="1"/>
  <c r="AA1103" i="20" s="1"/>
  <c r="Z1101" i="20" a="1"/>
  <c r="Z1101" i="20" s="1"/>
  <c r="AB1101" i="20" a="1"/>
  <c r="AB1101" i="20" s="1"/>
  <c r="AA1101" i="20" a="1"/>
  <c r="AA1101" i="20" s="1"/>
  <c r="Z1099" i="20" a="1"/>
  <c r="Z1099" i="20" s="1"/>
  <c r="AB1099" i="20" a="1"/>
  <c r="AB1099" i="20" s="1"/>
  <c r="AA1099" i="20" a="1"/>
  <c r="AA1099" i="20" s="1"/>
  <c r="Z1097" i="20" a="1"/>
  <c r="Z1097" i="20" s="1"/>
  <c r="Z1111" i="20" s="1" a="1"/>
  <c r="AB1097" i="20" a="1"/>
  <c r="AB1097" i="20" s="1"/>
  <c r="AA1097" i="20" a="1"/>
  <c r="AA1097" i="20" s="1"/>
  <c r="Z1077" i="20" a="1"/>
  <c r="Z1077" i="20" s="1"/>
  <c r="AB1077" i="20" a="1"/>
  <c r="AB1077" i="20" s="1"/>
  <c r="AA1077" i="20" a="1"/>
  <c r="AA1077" i="20" s="1"/>
  <c r="Z1075" i="20" a="1"/>
  <c r="Z1075" i="20" s="1"/>
  <c r="AB1075" i="20" a="1"/>
  <c r="AB1075" i="20" s="1"/>
  <c r="AA1075" i="20" a="1"/>
  <c r="AA1075" i="20" s="1"/>
  <c r="AB1073" i="20" a="1"/>
  <c r="AB1073" i="20" s="1"/>
  <c r="AA1073" i="20" a="1"/>
  <c r="AA1073" i="20" s="1"/>
  <c r="AB1071" i="20" a="1"/>
  <c r="AB1071" i="20" s="1"/>
  <c r="AA1071" i="20" a="1"/>
  <c r="AA1071" i="20" s="1"/>
  <c r="AB1069" i="20" a="1"/>
  <c r="AB1069" i="20" s="1"/>
  <c r="AA1069" i="20" a="1"/>
  <c r="AA1069" i="20" s="1"/>
  <c r="AB1049" i="20" a="1"/>
  <c r="AB1049" i="20" s="1"/>
  <c r="AA1049" i="20" a="1"/>
  <c r="AA1049" i="20" s="1"/>
  <c r="AB1047" i="20" a="1"/>
  <c r="AB1047" i="20" s="1"/>
  <c r="AA1047" i="20" a="1"/>
  <c r="AA1047" i="20" s="1"/>
  <c r="Z1045" i="20" a="1"/>
  <c r="Z1045" i="20" s="1"/>
  <c r="AB1045" i="20" a="1"/>
  <c r="AB1045" i="20" s="1"/>
  <c r="AA1045" i="20" a="1"/>
  <c r="AA1045" i="20" s="1"/>
  <c r="Z1043" i="20" a="1"/>
  <c r="Z1043" i="20" s="1"/>
  <c r="Z1055" i="20" s="1" a="1"/>
  <c r="AB1043" i="20" a="1"/>
  <c r="AB1043" i="20" s="1"/>
  <c r="AA1043" i="20" a="1"/>
  <c r="AA1043" i="20" s="1"/>
  <c r="Z1041" i="20" a="1"/>
  <c r="Z1041" i="20" s="1"/>
  <c r="AB1041" i="20" a="1"/>
  <c r="AB1041" i="20" s="1"/>
  <c r="AA1041" i="20" a="1"/>
  <c r="AA1041" i="20" s="1"/>
  <c r="Z1021" i="20" a="1"/>
  <c r="Z1021" i="20" s="1"/>
  <c r="AB1021" i="20" a="1"/>
  <c r="AB1021" i="20" s="1"/>
  <c r="AA1021" i="20" a="1"/>
  <c r="AA1021" i="20" s="1"/>
  <c r="Z1019" i="20" a="1"/>
  <c r="Z1019" i="20" s="1"/>
  <c r="AB1019" i="20" a="1"/>
  <c r="AB1019" i="20" s="1"/>
  <c r="AA1019" i="20" a="1"/>
  <c r="AA1019" i="20" s="1"/>
  <c r="AB1017" i="20" a="1"/>
  <c r="AB1017" i="20" s="1"/>
  <c r="AA1017" i="20" a="1"/>
  <c r="AA1017" i="20" s="1"/>
  <c r="Z1015" i="20" a="1"/>
  <c r="Z1015" i="20" s="1"/>
  <c r="AA1015" i="20" a="1"/>
  <c r="AA1015" i="20" s="1"/>
  <c r="AB1015" i="20" a="1"/>
  <c r="AB1015" i="20" s="1"/>
  <c r="AA1013" i="20" a="1"/>
  <c r="AA1013" i="20" s="1"/>
  <c r="AB1013" i="20" a="1"/>
  <c r="AB1013" i="20" s="1"/>
  <c r="AA993" i="20" a="1"/>
  <c r="AA993" i="20" s="1"/>
  <c r="AB993" i="20" a="1"/>
  <c r="AB993" i="20" s="1"/>
  <c r="AA991" i="20" a="1"/>
  <c r="AA991" i="20" s="1"/>
  <c r="AB991" i="20" a="1"/>
  <c r="AB991" i="20" s="1"/>
  <c r="AA989" i="20" a="1"/>
  <c r="AA989" i="20" s="1"/>
  <c r="AB989" i="20" a="1"/>
  <c r="AB989" i="20" s="1"/>
  <c r="Z987" i="20" a="1"/>
  <c r="Z987" i="20" s="1"/>
  <c r="AA987" i="20" a="1"/>
  <c r="AA987" i="20" s="1"/>
  <c r="AB987" i="20" a="1"/>
  <c r="AB987" i="20" s="1"/>
  <c r="AA985" i="20" a="1"/>
  <c r="AA985" i="20" s="1"/>
  <c r="AB985" i="20" a="1"/>
  <c r="AB985" i="20" s="1"/>
  <c r="Z965" i="20" a="1"/>
  <c r="Z965" i="20" s="1"/>
  <c r="AA965" i="20" a="1"/>
  <c r="AA965" i="20" s="1"/>
  <c r="AB965" i="20" a="1"/>
  <c r="AB965" i="20" s="1"/>
  <c r="Z963" i="20" a="1"/>
  <c r="Z963" i="20" s="1"/>
  <c r="AA963" i="20" a="1"/>
  <c r="AA963" i="20" s="1"/>
  <c r="AB963" i="20" a="1"/>
  <c r="AB963" i="20" s="1"/>
  <c r="AA961" i="20" a="1"/>
  <c r="AA961" i="20" s="1"/>
  <c r="AB961" i="20" a="1"/>
  <c r="AB961" i="20" s="1"/>
  <c r="AA959" i="20" a="1"/>
  <c r="AA959" i="20" s="1"/>
  <c r="AB959" i="20" a="1"/>
  <c r="AB959" i="20" s="1"/>
  <c r="AA957" i="20" a="1"/>
  <c r="AA957" i="20" s="1"/>
  <c r="AB957" i="20" a="1"/>
  <c r="AB957" i="20" s="1"/>
  <c r="AB937" i="20" a="1"/>
  <c r="AB937" i="20" s="1"/>
  <c r="AA937" i="20" a="1"/>
  <c r="AA937" i="20" s="1"/>
  <c r="AB935" i="20" a="1"/>
  <c r="AB935" i="20" s="1"/>
  <c r="AA935" i="20" a="1"/>
  <c r="AA935" i="20" s="1"/>
  <c r="AB933" i="20" a="1"/>
  <c r="AB933" i="20" s="1"/>
  <c r="AA933" i="20" a="1"/>
  <c r="AA933" i="20" s="1"/>
  <c r="AB931" i="20" a="1"/>
  <c r="AB931" i="20" s="1"/>
  <c r="AA931" i="20" a="1"/>
  <c r="AA931" i="20" s="1"/>
  <c r="AB929" i="20" a="1"/>
  <c r="AB929" i="20" s="1"/>
  <c r="AA929" i="20" a="1"/>
  <c r="AA929" i="20" s="1"/>
  <c r="Z909" i="20" a="1"/>
  <c r="Z909" i="20" s="1"/>
  <c r="AA909" i="20" a="1"/>
  <c r="AA909" i="20" s="1"/>
  <c r="AB909" i="20" a="1"/>
  <c r="AB909" i="20" s="1"/>
  <c r="Z907" i="20" a="1"/>
  <c r="Z907" i="20" s="1"/>
  <c r="AA907" i="20" a="1"/>
  <c r="AA907" i="20" s="1"/>
  <c r="AB907" i="20" a="1"/>
  <c r="AB907" i="20" s="1"/>
  <c r="AA905" i="20" a="1"/>
  <c r="AA905" i="20" s="1"/>
  <c r="AB905" i="20" a="1"/>
  <c r="AB905" i="20" s="1"/>
  <c r="Z903" i="20" a="1"/>
  <c r="Z903" i="20" s="1"/>
  <c r="AA903" i="20" a="1"/>
  <c r="AA903" i="20" s="1"/>
  <c r="AB903" i="20" a="1"/>
  <c r="AB903" i="20" s="1"/>
  <c r="AA901" i="20" a="1"/>
  <c r="AA901" i="20" s="1"/>
  <c r="AB901" i="20" a="1"/>
  <c r="AB901" i="20" s="1"/>
  <c r="Z881" i="20" a="1"/>
  <c r="Z881" i="20" s="1"/>
  <c r="AB881" i="20" a="1"/>
  <c r="AB881" i="20" s="1"/>
  <c r="AA881" i="20" a="1"/>
  <c r="AA881" i="20" s="1"/>
  <c r="AB879" i="20" a="1"/>
  <c r="AB879" i="20" s="1"/>
  <c r="AA879" i="20" a="1"/>
  <c r="AA879" i="20" s="1"/>
  <c r="AB877" i="20" a="1"/>
  <c r="AB877" i="20" s="1"/>
  <c r="AA877" i="20" a="1"/>
  <c r="AA877" i="20" s="1"/>
  <c r="AB875" i="20" a="1"/>
  <c r="AB875" i="20" s="1"/>
  <c r="AA875" i="20" a="1"/>
  <c r="AA875" i="20" s="1"/>
  <c r="AB873" i="20" a="1"/>
  <c r="AB873" i="20" s="1"/>
  <c r="AA873" i="20" a="1"/>
  <c r="AA873" i="20" s="1"/>
  <c r="AA853" i="20" a="1"/>
  <c r="AA853" i="20" s="1"/>
  <c r="AB853" i="20" a="1"/>
  <c r="AB853" i="20" s="1"/>
  <c r="Z851" i="20" a="1"/>
  <c r="Z851" i="20" s="1"/>
  <c r="AA851" i="20" a="1"/>
  <c r="AA851" i="20" s="1"/>
  <c r="AB851" i="20" a="1"/>
  <c r="AB851" i="20" s="1"/>
  <c r="AA849" i="20" a="1"/>
  <c r="AA849" i="20" s="1"/>
  <c r="AB849" i="20" a="1"/>
  <c r="AB849" i="20" s="1"/>
  <c r="AA847" i="20" a="1"/>
  <c r="AA847" i="20" s="1"/>
  <c r="AB847" i="20" a="1"/>
  <c r="AB847" i="20" s="1"/>
  <c r="AA845" i="20" a="1"/>
  <c r="AA845" i="20" s="1"/>
  <c r="AB845" i="20" a="1"/>
  <c r="AB845" i="20" s="1"/>
  <c r="AA825" i="20" a="1"/>
  <c r="AA825" i="20" s="1"/>
  <c r="AB825" i="20" a="1"/>
  <c r="AB825" i="20" s="1"/>
  <c r="Z823" i="20" a="1"/>
  <c r="Z823" i="20" s="1"/>
  <c r="AA823" i="20" a="1"/>
  <c r="AA823" i="20" s="1"/>
  <c r="AB823" i="20" a="1"/>
  <c r="AB823" i="20" s="1"/>
  <c r="AA821" i="20" a="1"/>
  <c r="AA821" i="20" s="1"/>
  <c r="AB821" i="20" a="1"/>
  <c r="AB821" i="20" s="1"/>
  <c r="AA819" i="20" a="1"/>
  <c r="AA819" i="20" s="1"/>
  <c r="AB819" i="20" a="1"/>
  <c r="AB819" i="20" s="1"/>
  <c r="Z817" i="20" a="1"/>
  <c r="Z817" i="20" s="1"/>
  <c r="Z831" i="20" s="1" a="1"/>
  <c r="AA817" i="20" a="1"/>
  <c r="AA817" i="20" s="1"/>
  <c r="AB817" i="20" a="1"/>
  <c r="AB817" i="20" s="1"/>
  <c r="Z797" i="20" a="1"/>
  <c r="Z797" i="20" s="1"/>
  <c r="AA797" i="20" a="1"/>
  <c r="AA797" i="20" s="1"/>
  <c r="AB797" i="20" a="1"/>
  <c r="AB797" i="20" s="1"/>
  <c r="Z795" i="20" a="1"/>
  <c r="Z795" i="20" s="1"/>
  <c r="AA795" i="20" a="1"/>
  <c r="AA795" i="20" s="1"/>
  <c r="AB795" i="20" a="1"/>
  <c r="AB795" i="20" s="1"/>
  <c r="AA793" i="20" a="1"/>
  <c r="AA793" i="20" s="1"/>
  <c r="AB793" i="20" a="1"/>
  <c r="AB793" i="20" s="1"/>
  <c r="AA791" i="20" a="1"/>
  <c r="AA791" i="20" s="1"/>
  <c r="AB791" i="20" a="1"/>
  <c r="AB791" i="20" s="1"/>
  <c r="Z789" i="20" a="1"/>
  <c r="Z789" i="20" s="1"/>
  <c r="AA789" i="20" a="1"/>
  <c r="AA789" i="20" s="1"/>
  <c r="AB789" i="20" a="1"/>
  <c r="AB789" i="20" s="1"/>
  <c r="Z769" i="20" a="1"/>
  <c r="Z769" i="20" s="1"/>
  <c r="AB769" i="20" a="1"/>
  <c r="AB769" i="20" s="1"/>
  <c r="AA769" i="20" a="1"/>
  <c r="AA769" i="20" s="1"/>
  <c r="Z767" i="20" a="1"/>
  <c r="Z767" i="20" s="1"/>
  <c r="AB767" i="20" a="1"/>
  <c r="AB767" i="20" s="1"/>
  <c r="AA767" i="20" a="1"/>
  <c r="AA767" i="20" s="1"/>
  <c r="Z765" i="20" a="1"/>
  <c r="Z765" i="20" s="1"/>
  <c r="AB765" i="20" a="1"/>
  <c r="AB765" i="20" s="1"/>
  <c r="AA765" i="20" a="1"/>
  <c r="AA765" i="20" s="1"/>
  <c r="Z763" i="20" a="1"/>
  <c r="Z763" i="20" s="1"/>
  <c r="Z775" i="20" s="1" a="1"/>
  <c r="AB763" i="20" a="1"/>
  <c r="AB763" i="20" s="1"/>
  <c r="AA763" i="20" a="1"/>
  <c r="AA763" i="20" s="1"/>
  <c r="Z761" i="20" a="1"/>
  <c r="Z761" i="20" s="1"/>
  <c r="AB761" i="20" a="1"/>
  <c r="AB761" i="20" s="1"/>
  <c r="AA761" i="20" a="1"/>
  <c r="AA761" i="20" s="1"/>
  <c r="Z741" i="20" a="1"/>
  <c r="Z741" i="20" s="1"/>
  <c r="AA741" i="20" a="1"/>
  <c r="AA741" i="20" s="1"/>
  <c r="AB741" i="20" a="1"/>
  <c r="AB741" i="20" s="1"/>
  <c r="Z739" i="20" a="1"/>
  <c r="Z739" i="20" s="1"/>
  <c r="AA739" i="20" a="1"/>
  <c r="AA739" i="20" s="1"/>
  <c r="AB739" i="20" a="1"/>
  <c r="AB739" i="20" s="1"/>
  <c r="Z737" i="20" a="1"/>
  <c r="Z737" i="20" s="1"/>
  <c r="AA737" i="20" a="1"/>
  <c r="AA737" i="20" s="1"/>
  <c r="AB737" i="20" a="1"/>
  <c r="AB737" i="20" s="1"/>
  <c r="Z735" i="20" a="1"/>
  <c r="Z735" i="20" s="1"/>
  <c r="AA735" i="20" a="1"/>
  <c r="AA735" i="20" s="1"/>
  <c r="AB735" i="20" a="1"/>
  <c r="AB735" i="20" s="1"/>
  <c r="Z733" i="20" a="1"/>
  <c r="Z733" i="20" s="1"/>
  <c r="AA733" i="20" a="1"/>
  <c r="AA733" i="20" s="1"/>
  <c r="AB733" i="20" a="1"/>
  <c r="AB733" i="20" s="1"/>
  <c r="Z713" i="20" a="1"/>
  <c r="Z713" i="20" s="1"/>
  <c r="AA713" i="20" a="1"/>
  <c r="AA713" i="20" s="1"/>
  <c r="AB713" i="20" a="1"/>
  <c r="AB713" i="20" s="1"/>
  <c r="Z711" i="20" a="1"/>
  <c r="Z711" i="20" s="1"/>
  <c r="AA711" i="20" a="1"/>
  <c r="AA711" i="20" s="1"/>
  <c r="AB711" i="20" a="1"/>
  <c r="AB711" i="20" s="1"/>
  <c r="Z709" i="20" a="1"/>
  <c r="Z709" i="20" s="1"/>
  <c r="AA709" i="20" a="1"/>
  <c r="AA709" i="20" s="1"/>
  <c r="AB709" i="20" a="1"/>
  <c r="AB709" i="20" s="1"/>
  <c r="AA707" i="20" a="1"/>
  <c r="AA707" i="20" s="1"/>
  <c r="AB707" i="20" a="1"/>
  <c r="AB707" i="20" s="1"/>
  <c r="Z705" i="20" a="1"/>
  <c r="Z705" i="20" s="1"/>
  <c r="Z719" i="20" s="1" a="1"/>
  <c r="AA705" i="20" a="1"/>
  <c r="AA705" i="20" s="1"/>
  <c r="AB705" i="20" a="1"/>
  <c r="AB705" i="20" s="1"/>
  <c r="Z685" i="20" a="1"/>
  <c r="Z685" i="20" s="1"/>
  <c r="AB685" i="20" a="1"/>
  <c r="AB685" i="20" s="1"/>
  <c r="AA685" i="20" a="1"/>
  <c r="AA685" i="20" s="1"/>
  <c r="AB683" i="20" a="1"/>
  <c r="AB683" i="20" s="1"/>
  <c r="AA683" i="20" a="1"/>
  <c r="AA683" i="20" s="1"/>
  <c r="Z681" i="20" a="1"/>
  <c r="Z681" i="20" s="1"/>
  <c r="AB681" i="20" a="1"/>
  <c r="AB681" i="20" s="1"/>
  <c r="AA681" i="20" a="1"/>
  <c r="AA681" i="20" s="1"/>
  <c r="Z679" i="20" a="1"/>
  <c r="Z679" i="20" s="1"/>
  <c r="AB679" i="20" a="1"/>
  <c r="AB679" i="20" s="1"/>
  <c r="AA679" i="20" a="1"/>
  <c r="AA679" i="20" s="1"/>
  <c r="Z677" i="20" a="1"/>
  <c r="Z677" i="20" s="1"/>
  <c r="AB677" i="20" a="1"/>
  <c r="AB677" i="20" s="1"/>
  <c r="AA677" i="20" a="1"/>
  <c r="AA677" i="20" s="1"/>
  <c r="Z657" i="20" a="1"/>
  <c r="Z657" i="20" s="1"/>
  <c r="AB657" i="20" a="1"/>
  <c r="AB657" i="20" s="1"/>
  <c r="AA657" i="20" a="1"/>
  <c r="AA657" i="20" s="1"/>
  <c r="AB655" i="20" a="1"/>
  <c r="AB655" i="20" s="1"/>
  <c r="AA655" i="20" a="1"/>
  <c r="AA655" i="20" s="1"/>
  <c r="Z653" i="20" a="1"/>
  <c r="Z653" i="20" s="1"/>
  <c r="AB653" i="20" a="1"/>
  <c r="AB653" i="20" s="1"/>
  <c r="AA653" i="20" a="1"/>
  <c r="AA653" i="20" s="1"/>
  <c r="Z651" i="20" a="1"/>
  <c r="Z651" i="20" s="1"/>
  <c r="Z663" i="20" s="1" a="1"/>
  <c r="AB651" i="20" a="1"/>
  <c r="AB651" i="20" s="1"/>
  <c r="AA651" i="20" a="1"/>
  <c r="AA651" i="20" s="1"/>
  <c r="AB649" i="20" a="1"/>
  <c r="AB649" i="20" s="1"/>
  <c r="AA649" i="20" a="1"/>
  <c r="AA649" i="20" s="1"/>
  <c r="AB629" i="20" a="1"/>
  <c r="AB629" i="20" s="1"/>
  <c r="AA629" i="20" a="1"/>
  <c r="AA629" i="20" s="1"/>
  <c r="AB627" i="20" a="1"/>
  <c r="AB627" i="20" s="1"/>
  <c r="AA627" i="20" a="1"/>
  <c r="AA627" i="20" s="1"/>
  <c r="Z625" i="20" a="1"/>
  <c r="Z625" i="20" s="1"/>
  <c r="AB625" i="20" a="1"/>
  <c r="AB625" i="20" s="1"/>
  <c r="AA625" i="20" a="1"/>
  <c r="AA625" i="20" s="1"/>
  <c r="AB623" i="20" a="1"/>
  <c r="AB623" i="20" s="1"/>
  <c r="AA623" i="20" a="1"/>
  <c r="AA623" i="20" s="1"/>
  <c r="AB621" i="20" a="1"/>
  <c r="AB621" i="20" s="1"/>
  <c r="AA621" i="20" a="1"/>
  <c r="AA621" i="20" s="1"/>
  <c r="Z601" i="20" a="1"/>
  <c r="Z601" i="20" s="1"/>
  <c r="AB601" i="20" a="1"/>
  <c r="AB601" i="20" s="1"/>
  <c r="AA601" i="20" a="1"/>
  <c r="AA601" i="20" s="1"/>
  <c r="Z599" i="20" a="1"/>
  <c r="Z599" i="20" s="1"/>
  <c r="AB599" i="20" a="1"/>
  <c r="AB599" i="20" s="1"/>
  <c r="AA599" i="20" a="1"/>
  <c r="AA599" i="20" s="1"/>
  <c r="Z597" i="20" a="1"/>
  <c r="Z597" i="20" s="1"/>
  <c r="AB597" i="20" a="1"/>
  <c r="AB597" i="20" s="1"/>
  <c r="AA597" i="20" a="1"/>
  <c r="AA597" i="20" s="1"/>
  <c r="Z595" i="20" a="1"/>
  <c r="Z595" i="20" s="1"/>
  <c r="AB595" i="20" a="1"/>
  <c r="AB595" i="20" s="1"/>
  <c r="AA595" i="20" a="1"/>
  <c r="AA595" i="20" s="1"/>
  <c r="Z593" i="20" a="1"/>
  <c r="Z593" i="20" s="1"/>
  <c r="Z607" i="20" s="1" a="1"/>
  <c r="AB593" i="20" a="1"/>
  <c r="AB593" i="20" s="1"/>
  <c r="AA593" i="20" a="1"/>
  <c r="AA593" i="20" s="1"/>
  <c r="Z573" i="20" a="1"/>
  <c r="Z573" i="20" s="1"/>
  <c r="AA573" i="20" a="1"/>
  <c r="AA573" i="20" s="1"/>
  <c r="AB573" i="20" a="1"/>
  <c r="AB573" i="20" s="1"/>
  <c r="Z571" i="20" a="1"/>
  <c r="Z571" i="20" s="1"/>
  <c r="AA571" i="20" a="1"/>
  <c r="AA571" i="20" s="1"/>
  <c r="AB571" i="20" a="1"/>
  <c r="AB571" i="20" s="1"/>
  <c r="Z569" i="20" a="1"/>
  <c r="Z569" i="20" s="1"/>
  <c r="AA569" i="20" a="1"/>
  <c r="AA569" i="20" s="1"/>
  <c r="AB569" i="20" a="1"/>
  <c r="AB569" i="20" s="1"/>
  <c r="Z567" i="20" a="1"/>
  <c r="Z567" i="20" s="1"/>
  <c r="AA567" i="20" a="1"/>
  <c r="AA567" i="20" s="1"/>
  <c r="AB567" i="20" a="1"/>
  <c r="AB567" i="20" s="1"/>
  <c r="Z565" i="20" a="1"/>
  <c r="Z565" i="20" s="1"/>
  <c r="AA565" i="20" a="1"/>
  <c r="AA565" i="20" s="1"/>
  <c r="AB565" i="20" a="1"/>
  <c r="AB565" i="20" s="1"/>
  <c r="Z545" i="20" a="1"/>
  <c r="Z545" i="20" s="1"/>
  <c r="AA545" i="20" a="1"/>
  <c r="AA545" i="20" s="1"/>
  <c r="AB545" i="20" a="1"/>
  <c r="AB545" i="20" s="1"/>
  <c r="Z543" i="20" a="1"/>
  <c r="Z543" i="20" s="1"/>
  <c r="AA543" i="20" a="1"/>
  <c r="AA543" i="20" s="1"/>
  <c r="AB543" i="20" a="1"/>
  <c r="AB543" i="20" s="1"/>
  <c r="Z541" i="20" a="1"/>
  <c r="Z541" i="20" s="1"/>
  <c r="AA541" i="20" a="1"/>
  <c r="AA541" i="20" s="1"/>
  <c r="AB541" i="20" a="1"/>
  <c r="AB541" i="20" s="1"/>
  <c r="Z539" i="20" a="1"/>
  <c r="Z539" i="20" s="1"/>
  <c r="AA539" i="20" a="1"/>
  <c r="AA539" i="20" s="1"/>
  <c r="AB539" i="20" a="1"/>
  <c r="AB539" i="20" s="1"/>
  <c r="Z537" i="20" a="1"/>
  <c r="Z537" i="20" s="1"/>
  <c r="AA537" i="20" a="1"/>
  <c r="AA537" i="20" s="1"/>
  <c r="AB537" i="20" a="1"/>
  <c r="AB537" i="20" s="1"/>
  <c r="Z517" i="20" a="1"/>
  <c r="Z517" i="20" s="1"/>
  <c r="AA517" i="20" a="1"/>
  <c r="AA517" i="20" s="1"/>
  <c r="AB517" i="20" a="1"/>
  <c r="AB517" i="20" s="1"/>
  <c r="AA515" i="20" a="1"/>
  <c r="AA515" i="20" s="1"/>
  <c r="AB515" i="20" a="1"/>
  <c r="AB515" i="20" s="1"/>
  <c r="Z513" i="20" a="1"/>
  <c r="Z513" i="20" s="1"/>
  <c r="AA513" i="20" a="1"/>
  <c r="AA513" i="20" s="1"/>
  <c r="AB513" i="20" a="1"/>
  <c r="AB513" i="20" s="1"/>
  <c r="Z511" i="20" a="1"/>
  <c r="Z511" i="20" s="1"/>
  <c r="AA511" i="20" a="1"/>
  <c r="AA511" i="20" s="1"/>
  <c r="AB511" i="20" a="1"/>
  <c r="AB511" i="20" s="1"/>
  <c r="Z509" i="20" a="1"/>
  <c r="Z509" i="20" s="1"/>
  <c r="AA509" i="20" a="1"/>
  <c r="AA509" i="20" s="1"/>
  <c r="AB509" i="20" a="1"/>
  <c r="AB509" i="20" s="1"/>
  <c r="AA489" i="20" a="1"/>
  <c r="AA489" i="20" s="1"/>
  <c r="AB489" i="20" a="1"/>
  <c r="AB489" i="20" s="1"/>
  <c r="Z487" i="20" a="1"/>
  <c r="Z487" i="20" s="1"/>
  <c r="AA487" i="20" a="1"/>
  <c r="AA487" i="20" s="1"/>
  <c r="AB487" i="20" a="1"/>
  <c r="AB487" i="20" s="1"/>
  <c r="AA485" i="20" a="1"/>
  <c r="AA485" i="20" s="1"/>
  <c r="AB485" i="20" a="1"/>
  <c r="AB485" i="20" s="1"/>
  <c r="AA483" i="20" a="1"/>
  <c r="AA483" i="20" s="1"/>
  <c r="AB483" i="20" a="1"/>
  <c r="AB483" i="20" s="1"/>
  <c r="AA481" i="20" a="1"/>
  <c r="AA481" i="20" s="1"/>
  <c r="AB481" i="20" a="1"/>
  <c r="AB481" i="20" s="1"/>
  <c r="AA461" i="20" a="1"/>
  <c r="AA461" i="20" s="1"/>
  <c r="AB461" i="20" a="1"/>
  <c r="AB461" i="20" s="1"/>
  <c r="Z459" i="20" a="1"/>
  <c r="Z459" i="20" s="1"/>
  <c r="AA459" i="20" a="1"/>
  <c r="AA459" i="20" s="1"/>
  <c r="AB459" i="20" a="1"/>
  <c r="AB459" i="20" s="1"/>
  <c r="AA457" i="20" a="1"/>
  <c r="AA457" i="20" s="1"/>
  <c r="AB457" i="20" a="1"/>
  <c r="AB457" i="20" s="1"/>
  <c r="AA455" i="20" a="1"/>
  <c r="AA455" i="20" s="1"/>
  <c r="AB455" i="20" a="1"/>
  <c r="AB455" i="20" s="1"/>
  <c r="AA453" i="20" a="1"/>
  <c r="AA453" i="20" s="1"/>
  <c r="AB453" i="20" a="1"/>
  <c r="AB453" i="20" s="1"/>
  <c r="Z433" i="20" a="1"/>
  <c r="Z433" i="20" s="1"/>
  <c r="AA433" i="20" a="1"/>
  <c r="AA433" i="20" s="1"/>
  <c r="AB433" i="20" a="1"/>
  <c r="AB433" i="20" s="1"/>
  <c r="Z431" i="20" a="1"/>
  <c r="Z431" i="20" s="1"/>
  <c r="AA431" i="20" a="1"/>
  <c r="AA431" i="20" s="1"/>
  <c r="AB431" i="20" a="1"/>
  <c r="AB431" i="20" s="1"/>
  <c r="AA429" i="20" a="1"/>
  <c r="AA429" i="20" s="1"/>
  <c r="AB429" i="20" a="1"/>
  <c r="AB429" i="20" s="1"/>
  <c r="AA427" i="20" a="1"/>
  <c r="AA427" i="20" s="1"/>
  <c r="AB427" i="20" a="1"/>
  <c r="AB427" i="20" s="1"/>
  <c r="AA425" i="20" a="1"/>
  <c r="AA425" i="20" s="1"/>
  <c r="AB425" i="20" a="1"/>
  <c r="AB425" i="20" s="1"/>
  <c r="Z405" i="20" a="1"/>
  <c r="Z405" i="20" s="1"/>
  <c r="AA405" i="20" a="1"/>
  <c r="AA405" i="20" s="1"/>
  <c r="AB405" i="20" a="1"/>
  <c r="AB405" i="20" s="1"/>
  <c r="AA403" i="20" a="1"/>
  <c r="AA403" i="20" s="1"/>
  <c r="AB403" i="20" a="1"/>
  <c r="AB403" i="20" s="1"/>
  <c r="AA401" i="20" a="1"/>
  <c r="AA401" i="20" s="1"/>
  <c r="AB401" i="20" a="1"/>
  <c r="AB401" i="20" s="1"/>
  <c r="AB399" i="20" a="1"/>
  <c r="AB399" i="20" s="1"/>
  <c r="AA399" i="20" a="1"/>
  <c r="AA399" i="20" s="1"/>
  <c r="AB397" i="20" a="1"/>
  <c r="AB397" i="20" s="1"/>
  <c r="AA397" i="20" a="1"/>
  <c r="AA397" i="20" s="1"/>
  <c r="AB377" i="20" a="1"/>
  <c r="AB377" i="20" s="1"/>
  <c r="AA377" i="20" a="1"/>
  <c r="AA377" i="20" s="1"/>
  <c r="Z375" i="20" a="1"/>
  <c r="Z375" i="20" s="1"/>
  <c r="AB375" i="20" a="1"/>
  <c r="AB375" i="20" s="1"/>
  <c r="AA375" i="20" a="1"/>
  <c r="AA375" i="20" s="1"/>
  <c r="AB373" i="20" a="1"/>
  <c r="AB373" i="20" s="1"/>
  <c r="AA373" i="20" a="1"/>
  <c r="AA373" i="20" s="1"/>
  <c r="AB371" i="20" a="1"/>
  <c r="AB371" i="20" s="1"/>
  <c r="AA371" i="20" a="1"/>
  <c r="AA371" i="20" s="1"/>
  <c r="AB369" i="20" a="1"/>
  <c r="AB369" i="20" s="1"/>
  <c r="AA369" i="20" a="1"/>
  <c r="AA369" i="20" s="1"/>
  <c r="Z349" i="20" a="1"/>
  <c r="Z349" i="20" s="1"/>
  <c r="AB349" i="20" a="1"/>
  <c r="AB349" i="20" s="1"/>
  <c r="AA349" i="20" a="1"/>
  <c r="AA349" i="20" s="1"/>
  <c r="AB347" i="20" a="1"/>
  <c r="AB347" i="20" s="1"/>
  <c r="AA347" i="20" a="1"/>
  <c r="AA347" i="20" s="1"/>
  <c r="AB345" i="20" a="1"/>
  <c r="AB345" i="20" s="1"/>
  <c r="AA345" i="20" a="1"/>
  <c r="AA345" i="20" s="1"/>
  <c r="AB343" i="20" a="1"/>
  <c r="AB343" i="20" s="1"/>
  <c r="AA343" i="20" a="1"/>
  <c r="AA343" i="20" s="1"/>
  <c r="AB341" i="20" a="1"/>
  <c r="AB341" i="20" s="1"/>
  <c r="AA341" i="20" a="1"/>
  <c r="AA341" i="20" s="1"/>
  <c r="AB321" i="20" a="1"/>
  <c r="AB321" i="20" s="1"/>
  <c r="AA321" i="20" a="1"/>
  <c r="AA321" i="20" s="1"/>
  <c r="AB319" i="20" a="1"/>
  <c r="AB319" i="20" s="1"/>
  <c r="AA319" i="20" a="1"/>
  <c r="AA319" i="20" s="1"/>
  <c r="AB317" i="20" a="1"/>
  <c r="AB317" i="20" s="1"/>
  <c r="AA317" i="20" a="1"/>
  <c r="AA317" i="20" s="1"/>
  <c r="AB315" i="20" a="1"/>
  <c r="AB315" i="20" s="1"/>
  <c r="AA315" i="20" a="1"/>
  <c r="AA315" i="20" s="1"/>
  <c r="AB313" i="20" a="1"/>
  <c r="AB313" i="20" s="1"/>
  <c r="AA313" i="20" a="1"/>
  <c r="AA313" i="20" s="1"/>
  <c r="Z293" i="20" a="1"/>
  <c r="Z293" i="20" s="1"/>
  <c r="AA293" i="20" a="1"/>
  <c r="AA293" i="20" s="1"/>
  <c r="AB293" i="20" a="1"/>
  <c r="AB293" i="20" s="1"/>
  <c r="AA291" i="20" a="1"/>
  <c r="AA291" i="20" s="1"/>
  <c r="AB291" i="20" a="1"/>
  <c r="AB291" i="20" s="1"/>
  <c r="AA289" i="20" a="1"/>
  <c r="AA289" i="20" s="1"/>
  <c r="AB289" i="20" a="1"/>
  <c r="AB289" i="20" s="1"/>
  <c r="AA287" i="20" a="1"/>
  <c r="AA287" i="20" s="1"/>
  <c r="AB287" i="20" a="1"/>
  <c r="AB287" i="20" s="1"/>
  <c r="AA285" i="20" a="1"/>
  <c r="AA285" i="20" s="1"/>
  <c r="AB285" i="20" a="1"/>
  <c r="AB285" i="20" s="1"/>
  <c r="Z265" i="20" a="1"/>
  <c r="Z265" i="20" s="1"/>
  <c r="AA265" i="20" a="1"/>
  <c r="AA265" i="20" s="1"/>
  <c r="AB265" i="20" a="1"/>
  <c r="AB265" i="20" s="1"/>
  <c r="Z263" i="20" a="1"/>
  <c r="Z263" i="20" s="1"/>
  <c r="AA263" i="20" a="1"/>
  <c r="AA263" i="20" s="1"/>
  <c r="AB263" i="20" a="1"/>
  <c r="AB263" i="20" s="1"/>
  <c r="Z261" i="20" a="1"/>
  <c r="Z261" i="20" s="1"/>
  <c r="AA261" i="20" a="1"/>
  <c r="AA261" i="20" s="1"/>
  <c r="AB261" i="20" a="1"/>
  <c r="AB261" i="20" s="1"/>
  <c r="AA259" i="20" a="1"/>
  <c r="AA259" i="20" s="1"/>
  <c r="AB259" i="20" a="1"/>
  <c r="AB259" i="20" s="1"/>
  <c r="AA257" i="20" a="1"/>
  <c r="AA257" i="20" s="1"/>
  <c r="AB257" i="20" a="1"/>
  <c r="AB257" i="20" s="1"/>
  <c r="AB237" i="20" a="1"/>
  <c r="AB237" i="20" s="1"/>
  <c r="AA237" i="20" a="1"/>
  <c r="AA237" i="20" s="1"/>
  <c r="Z235" i="20" a="1"/>
  <c r="Z235" i="20" s="1"/>
  <c r="AB235" i="20" a="1"/>
  <c r="AB235" i="20" s="1"/>
  <c r="AA235" i="20" a="1"/>
  <c r="AA235" i="20" s="1"/>
  <c r="Z233" i="20" a="1"/>
  <c r="Z233" i="20" s="1"/>
  <c r="AB233" i="20" a="1"/>
  <c r="AB233" i="20" s="1"/>
  <c r="AA233" i="20" a="1"/>
  <c r="AA233" i="20" s="1"/>
  <c r="Z231" i="20" a="1"/>
  <c r="Z231" i="20" s="1"/>
  <c r="AB231" i="20" a="1"/>
  <c r="AB231" i="20" s="1"/>
  <c r="AA231" i="20" a="1"/>
  <c r="AA231" i="20" s="1"/>
  <c r="Z229" i="20" a="1"/>
  <c r="Z229" i="20" s="1"/>
  <c r="AB229" i="20" a="1"/>
  <c r="AB229" i="20" s="1"/>
  <c r="AA229" i="20" a="1"/>
  <c r="AA229" i="20" s="1"/>
  <c r="AB209" i="20" a="1"/>
  <c r="AB209" i="20" s="1"/>
  <c r="AA209" i="20" a="1"/>
  <c r="AA209" i="20" s="1"/>
  <c r="Z207" i="20" a="1"/>
  <c r="Z207" i="20" s="1"/>
  <c r="AB207" i="20" a="1"/>
  <c r="AB207" i="20" s="1"/>
  <c r="AA207" i="20" a="1"/>
  <c r="AA207" i="20" s="1"/>
  <c r="AB205" i="20" a="1"/>
  <c r="AB205" i="20" s="1"/>
  <c r="AA205" i="20" a="1"/>
  <c r="AA205" i="20" s="1"/>
  <c r="AB203" i="20" a="1"/>
  <c r="AB203" i="20" s="1"/>
  <c r="AA203" i="20" a="1"/>
  <c r="AA203" i="20" s="1"/>
  <c r="AB201" i="20" a="1"/>
  <c r="AB201" i="20" s="1"/>
  <c r="AA201" i="20" a="1"/>
  <c r="AA201" i="20" s="1"/>
  <c r="Z181" i="20" a="1"/>
  <c r="Z181" i="20" s="1"/>
  <c r="AB181" i="20" a="1"/>
  <c r="AB181" i="20" s="1"/>
  <c r="AA181" i="20" a="1"/>
  <c r="AA181" i="20" s="1"/>
  <c r="Z179" i="20" a="1"/>
  <c r="Z179" i="20" s="1"/>
  <c r="AB179" i="20" a="1"/>
  <c r="AB179" i="20" s="1"/>
  <c r="AA179" i="20" a="1"/>
  <c r="AA179" i="20" s="1"/>
  <c r="Z177" i="20" a="1"/>
  <c r="Z177" i="20" s="1"/>
  <c r="AB177" i="20" a="1"/>
  <c r="AB177" i="20" s="1"/>
  <c r="AA177" i="20" a="1"/>
  <c r="AA177" i="20" s="1"/>
  <c r="Z175" i="20" a="1"/>
  <c r="Z175" i="20" s="1"/>
  <c r="AB175" i="20" a="1"/>
  <c r="AB175" i="20" s="1"/>
  <c r="AA175" i="20" a="1"/>
  <c r="AA175" i="20" s="1"/>
  <c r="Z173" i="20" a="1"/>
  <c r="Z173" i="20" s="1"/>
  <c r="AB173" i="20" a="1"/>
  <c r="AB173" i="20" s="1"/>
  <c r="AA173" i="20" a="1"/>
  <c r="AA173" i="20" s="1"/>
  <c r="Z153" i="20" a="1"/>
  <c r="Z153" i="20" s="1"/>
  <c r="AA153" i="20" a="1"/>
  <c r="AA153" i="20" s="1"/>
  <c r="AB153" i="20" a="1"/>
  <c r="AB153" i="20" s="1"/>
  <c r="AA151" i="20" a="1"/>
  <c r="AA151" i="20" s="1"/>
  <c r="AB151" i="20" a="1"/>
  <c r="AB151" i="20" s="1"/>
  <c r="AA149" i="20" a="1"/>
  <c r="AA149" i="20" s="1"/>
  <c r="AB149" i="20" a="1"/>
  <c r="AB149" i="20" s="1"/>
  <c r="AA147" i="20" a="1"/>
  <c r="AA147" i="20" s="1"/>
  <c r="AB147" i="20" a="1"/>
  <c r="AB147" i="20" s="1"/>
  <c r="Z145" i="20" a="1"/>
  <c r="Z145" i="20" s="1"/>
  <c r="AA145" i="20" a="1"/>
  <c r="AA145" i="20" s="1"/>
  <c r="AB145" i="20" a="1"/>
  <c r="AB145" i="20" s="1"/>
  <c r="Z125" i="20" a="1"/>
  <c r="Z125" i="20" s="1"/>
  <c r="AB125" i="20" a="1"/>
  <c r="AB125" i="20" s="1"/>
  <c r="AA125" i="20" a="1"/>
  <c r="AA125" i="20" s="1"/>
  <c r="Z123" i="20" a="1"/>
  <c r="Z123" i="20" s="1"/>
  <c r="AB123" i="20" a="1"/>
  <c r="AB123" i="20" s="1"/>
  <c r="AA123" i="20" a="1"/>
  <c r="AA123" i="20" s="1"/>
  <c r="AB121" i="20" a="1"/>
  <c r="AB121" i="20" s="1"/>
  <c r="AA121" i="20" a="1"/>
  <c r="AA121" i="20" s="1"/>
  <c r="AB119" i="20" a="1"/>
  <c r="AB119" i="20" s="1"/>
  <c r="AA119" i="20" a="1"/>
  <c r="AA119" i="20" s="1"/>
  <c r="AB117" i="20" a="1"/>
  <c r="AB117" i="20" s="1"/>
  <c r="AA117" i="20" a="1"/>
  <c r="AA117" i="20" s="1"/>
  <c r="Z97" i="20" a="1"/>
  <c r="Z97" i="20" s="1"/>
  <c r="AA97" i="20" a="1"/>
  <c r="AA97" i="20" s="1"/>
  <c r="AB97" i="20" a="1"/>
  <c r="AB97" i="20" s="1"/>
  <c r="Z95" i="20" a="1"/>
  <c r="Z95" i="20" s="1"/>
  <c r="AA95" i="20" a="1"/>
  <c r="AA95" i="20" s="1"/>
  <c r="AB95" i="20" a="1"/>
  <c r="AB95" i="20" s="1"/>
  <c r="AA93" i="20" a="1"/>
  <c r="AA93" i="20" s="1"/>
  <c r="AB93" i="20" a="1"/>
  <c r="AB93" i="20" s="1"/>
  <c r="AA91" i="20" a="1"/>
  <c r="AA91" i="20" s="1"/>
  <c r="AB91" i="20" a="1"/>
  <c r="AB91" i="20" s="1"/>
  <c r="AA89" i="20" a="1"/>
  <c r="AA89" i="20" s="1"/>
  <c r="AB89" i="20" a="1"/>
  <c r="AB89" i="20" s="1"/>
  <c r="AB69" i="20" a="1"/>
  <c r="AB69" i="20" s="1"/>
  <c r="AA69" i="20" a="1"/>
  <c r="AA69" i="20" s="1"/>
  <c r="Z67" i="20" a="1"/>
  <c r="Z67" i="20" s="1"/>
  <c r="AB67" i="20" a="1"/>
  <c r="AB67" i="20" s="1"/>
  <c r="AA67" i="20" a="1"/>
  <c r="AA67" i="20" s="1"/>
  <c r="Z65" i="20" a="1"/>
  <c r="Z65" i="20" s="1"/>
  <c r="AB65" i="20" a="1"/>
  <c r="AB65" i="20" s="1"/>
  <c r="AA65" i="20" a="1"/>
  <c r="AA65" i="20" s="1"/>
  <c r="AB63" i="20" a="1"/>
  <c r="AB63" i="20" s="1"/>
  <c r="AA63" i="20" a="1"/>
  <c r="AA63" i="20" s="1"/>
  <c r="AB61" i="20" a="1"/>
  <c r="AB61" i="20" s="1"/>
  <c r="AA61" i="20" a="1"/>
  <c r="AA61" i="20" s="1"/>
  <c r="AB41" i="20" a="1"/>
  <c r="AB41" i="20" s="1"/>
  <c r="AA41" i="20" a="1"/>
  <c r="AA41" i="20" s="1"/>
  <c r="Z39" i="20" a="1"/>
  <c r="Z39" i="20" s="1"/>
  <c r="AB39" i="20" a="1"/>
  <c r="AB39" i="20" s="1"/>
  <c r="AA39" i="20" a="1"/>
  <c r="AA39" i="20" s="1"/>
  <c r="AB37" i="20" a="1"/>
  <c r="AB37" i="20" s="1"/>
  <c r="AA37" i="20" a="1"/>
  <c r="AA37" i="20" s="1"/>
  <c r="AB35" i="20" a="1"/>
  <c r="AB35" i="20" s="1"/>
  <c r="AA35" i="20" a="1"/>
  <c r="AA35" i="20" s="1"/>
  <c r="AB33" i="20" a="1"/>
  <c r="AB33" i="20" s="1"/>
  <c r="AA33" i="20" a="1"/>
  <c r="AA33" i="20" s="1"/>
  <c r="F75" i="20"/>
  <c r="F299" i="20"/>
  <c r="F271" i="20"/>
  <c r="G371" i="20" a="1"/>
  <c r="G371" i="20" s="1"/>
  <c r="Z371" i="20" a="1"/>
  <c r="Z371" i="20" s="1"/>
  <c r="G342" i="20" a="1"/>
  <c r="G342" i="20" s="1"/>
  <c r="Z342" i="20" a="1"/>
  <c r="Z342" i="20" s="1"/>
  <c r="L321" i="20" a="1"/>
  <c r="L321" i="20" s="1"/>
  <c r="Z321" i="20" a="1"/>
  <c r="Z321" i="20" s="1"/>
  <c r="L317" i="20" a="1"/>
  <c r="L317" i="20" s="1"/>
  <c r="Z317" i="20" a="1"/>
  <c r="Z317" i="20" s="1"/>
  <c r="I313" i="20" a="1"/>
  <c r="I313" i="20" s="1"/>
  <c r="Z313" i="20" a="1"/>
  <c r="Z313" i="20" s="1"/>
  <c r="Z327" i="20" s="1" a="1"/>
  <c r="M288" i="20" a="1"/>
  <c r="M288" i="20" s="1"/>
  <c r="Z288" i="20" a="1"/>
  <c r="Z288" i="20" s="1"/>
  <c r="P284" i="20" a="1"/>
  <c r="P284" i="20" s="1"/>
  <c r="Z284" i="20" a="1"/>
  <c r="Z284" i="20" s="1"/>
  <c r="W259" i="20" a="1"/>
  <c r="W259" i="20" s="1"/>
  <c r="Z259" i="20" a="1"/>
  <c r="Z259" i="20" s="1"/>
  <c r="Z271" i="20" s="1" a="1"/>
  <c r="H230" i="20" a="1"/>
  <c r="H230" i="20" s="1"/>
  <c r="Z230" i="20" a="1"/>
  <c r="Z230" i="20" s="1"/>
  <c r="L209" i="20" a="1"/>
  <c r="L209" i="20" s="1"/>
  <c r="Z209" i="20" a="1"/>
  <c r="Z209" i="20" s="1"/>
  <c r="J205" i="20" a="1"/>
  <c r="J205" i="20" s="1"/>
  <c r="Z205" i="20" a="1"/>
  <c r="Z205" i="20" s="1"/>
  <c r="T204" i="20" a="1"/>
  <c r="T204" i="20" s="1"/>
  <c r="Z204" i="20" a="1"/>
  <c r="Z204" i="20" s="1"/>
  <c r="L201" i="20" a="1"/>
  <c r="L201" i="20" s="1"/>
  <c r="Z201" i="20" a="1"/>
  <c r="Z201" i="20" s="1"/>
  <c r="Z215" i="20" s="1" a="1"/>
  <c r="L200" i="20" a="1"/>
  <c r="L200" i="20" s="1"/>
  <c r="Z200" i="20" a="1"/>
  <c r="Z200" i="20" s="1"/>
  <c r="H151" i="20" a="1"/>
  <c r="H151" i="20" s="1"/>
  <c r="Z151" i="20" a="1"/>
  <c r="Z151" i="20" s="1"/>
  <c r="H150" i="20" a="1"/>
  <c r="H150" i="20" s="1"/>
  <c r="Z150" i="20" a="1"/>
  <c r="Z150" i="20" s="1"/>
  <c r="P147" i="20" a="1"/>
  <c r="P147" i="20" s="1"/>
  <c r="Z147" i="20" a="1"/>
  <c r="Z147" i="20" s="1"/>
  <c r="Z159" i="20" s="1" a="1"/>
  <c r="Q146" i="20" a="1"/>
  <c r="Q146" i="20" s="1"/>
  <c r="Z146" i="20" a="1"/>
  <c r="Z146" i="20" s="1"/>
  <c r="N122" i="20" a="1"/>
  <c r="N122" i="20" s="1"/>
  <c r="Z122" i="20" a="1"/>
  <c r="Z122" i="20" s="1"/>
  <c r="T121" i="20" a="1"/>
  <c r="T121" i="20" s="1"/>
  <c r="Z121" i="20" a="1"/>
  <c r="Z121" i="20" s="1"/>
  <c r="I118" i="20" a="1"/>
  <c r="I118" i="20" s="1"/>
  <c r="Z118" i="20" a="1"/>
  <c r="Z118" i="20" s="1"/>
  <c r="G117" i="20" a="1"/>
  <c r="G117" i="20" s="1"/>
  <c r="Z117" i="20" a="1"/>
  <c r="Z117" i="20" s="1"/>
  <c r="R94" i="20" a="1"/>
  <c r="R94" i="20" s="1"/>
  <c r="Z94" i="20" a="1"/>
  <c r="Z94" i="20" s="1"/>
  <c r="K93" i="20"/>
  <c r="Z93" i="20" a="1"/>
  <c r="Z93" i="20" s="1"/>
  <c r="G92" i="20" a="1"/>
  <c r="G92" i="20" s="1"/>
  <c r="Z92" i="20" a="1"/>
  <c r="Z92" i="20" s="1"/>
  <c r="K91" i="20"/>
  <c r="Z91" i="20" a="1"/>
  <c r="Z91" i="20" s="1"/>
  <c r="G90" i="20" a="1"/>
  <c r="G90" i="20" s="1"/>
  <c r="Z90" i="20" a="1"/>
  <c r="Z90" i="20" s="1"/>
  <c r="K89" i="20"/>
  <c r="Z89" i="20" a="1"/>
  <c r="Z89" i="20" s="1"/>
  <c r="Z103" i="20" s="1" a="1"/>
  <c r="G88" i="20" a="1"/>
  <c r="G88" i="20" s="1"/>
  <c r="Z88" i="20" a="1"/>
  <c r="Z88" i="20" s="1"/>
  <c r="R69" i="20" a="1"/>
  <c r="R69" i="20" s="1"/>
  <c r="Z69" i="20" a="1"/>
  <c r="Z69" i="20" s="1"/>
  <c r="H68" i="20" a="1"/>
  <c r="H68" i="20" s="1"/>
  <c r="Z68" i="20" a="1"/>
  <c r="Z68" i="20" s="1"/>
  <c r="I66" i="20" a="1"/>
  <c r="I66" i="20" s="1"/>
  <c r="Z66" i="20" a="1"/>
  <c r="Z66" i="20" s="1"/>
  <c r="U64" i="20" a="1"/>
  <c r="U64" i="20" s="1"/>
  <c r="Z64" i="20" a="1"/>
  <c r="Z64" i="20" s="1"/>
  <c r="T63" i="20" a="1"/>
  <c r="T63" i="20" s="1"/>
  <c r="Z63" i="20" a="1"/>
  <c r="Z63" i="20" s="1"/>
  <c r="H62" i="20" a="1"/>
  <c r="H62" i="20" s="1"/>
  <c r="Z62" i="20" a="1"/>
  <c r="Z62" i="20" s="1"/>
  <c r="Q61" i="20" a="1"/>
  <c r="Q61" i="20" s="1"/>
  <c r="Z61" i="20" a="1"/>
  <c r="Z61" i="20" s="1"/>
  <c r="H60" i="20" a="1"/>
  <c r="H60" i="20" s="1"/>
  <c r="Z60" i="20" a="1"/>
  <c r="Z60" i="20" s="1"/>
  <c r="G41" i="20" a="1"/>
  <c r="G41" i="20" s="1"/>
  <c r="Z41" i="20" a="1"/>
  <c r="Z41" i="20" s="1"/>
  <c r="H37" i="20" a="1"/>
  <c r="H37" i="20" s="1"/>
  <c r="Z37" i="20" a="1"/>
  <c r="Z37" i="20" s="1"/>
  <c r="J36" i="20" a="1"/>
  <c r="J36" i="20" s="1"/>
  <c r="Z36" i="20" a="1"/>
  <c r="Z36" i="20" s="1"/>
  <c r="H35" i="20" a="1"/>
  <c r="H35" i="20" s="1"/>
  <c r="Z35" i="20" a="1"/>
  <c r="Z35" i="20" s="1"/>
  <c r="L33" i="20" a="1"/>
  <c r="L33" i="20" s="1"/>
  <c r="Z33" i="20" a="1"/>
  <c r="Z33" i="20" s="1"/>
  <c r="G1130" i="20" a="1"/>
  <c r="G1130" i="20" s="1"/>
  <c r="Z1130" i="20" a="1"/>
  <c r="Z1130" i="20" s="1"/>
  <c r="H1129" i="20" a="1"/>
  <c r="H1129" i="20" s="1"/>
  <c r="Z1129" i="20" a="1"/>
  <c r="Z1129" i="20" s="1"/>
  <c r="H1127" i="20" a="1"/>
  <c r="H1127" i="20" s="1"/>
  <c r="Z1127" i="20" a="1"/>
  <c r="Z1127" i="20" s="1"/>
  <c r="F1139" i="20" a="1"/>
  <c r="F1139" i="20" s="1"/>
  <c r="Z1124" i="20" a="1"/>
  <c r="Z1124" i="20" s="1"/>
  <c r="Z1139" i="20" s="1" a="1"/>
  <c r="H1105" i="20" a="1"/>
  <c r="H1105" i="20" s="1"/>
  <c r="Z1105" i="20" a="1"/>
  <c r="Z1105" i="20" s="1"/>
  <c r="H1104" i="20" a="1"/>
  <c r="H1104" i="20" s="1"/>
  <c r="Z1104" i="20" a="1"/>
  <c r="Z1104" i="20" s="1"/>
  <c r="H1103" i="20" a="1"/>
  <c r="H1103" i="20" s="1"/>
  <c r="Z1103" i="20" a="1"/>
  <c r="Z1103" i="20" s="1"/>
  <c r="H1102" i="20" a="1"/>
  <c r="H1102" i="20" s="1"/>
  <c r="Z1102" i="20" a="1"/>
  <c r="Z1102" i="20" s="1"/>
  <c r="J1100" i="20" a="1"/>
  <c r="J1100" i="20" s="1"/>
  <c r="Z1100" i="20" a="1"/>
  <c r="Z1100" i="20" s="1"/>
  <c r="L1098" i="20" a="1"/>
  <c r="L1098" i="20" s="1"/>
  <c r="Z1098" i="20" a="1"/>
  <c r="Z1098" i="20" s="1"/>
  <c r="F1111" i="20" a="1"/>
  <c r="F1111" i="20" s="1"/>
  <c r="Z1096" i="20" a="1"/>
  <c r="Z1096" i="20" s="1"/>
  <c r="L1073" i="20" a="1"/>
  <c r="L1073" i="20" s="1"/>
  <c r="Z1073" i="20" a="1"/>
  <c r="Z1073" i="20" s="1"/>
  <c r="L1072" i="20" a="1"/>
  <c r="L1072" i="20" s="1"/>
  <c r="Z1072" i="20" a="1"/>
  <c r="Z1072" i="20" s="1"/>
  <c r="N1071" i="20" a="1"/>
  <c r="N1071" i="20" s="1"/>
  <c r="Z1071" i="20" a="1"/>
  <c r="Z1071" i="20" s="1"/>
  <c r="L1069" i="20" a="1"/>
  <c r="L1069" i="20" s="1"/>
  <c r="Z1069" i="20" a="1"/>
  <c r="Z1069" i="20" s="1"/>
  <c r="H1049" i="20" a="1"/>
  <c r="H1049" i="20" s="1"/>
  <c r="Z1049" i="20" a="1"/>
  <c r="Z1049" i="20" s="1"/>
  <c r="H1048" i="20" a="1"/>
  <c r="H1048" i="20" s="1"/>
  <c r="Z1048" i="20" a="1"/>
  <c r="Z1048" i="20" s="1"/>
  <c r="H1047" i="20" a="1"/>
  <c r="H1047" i="20" s="1"/>
  <c r="Z1047" i="20" a="1"/>
  <c r="Z1047" i="20" s="1"/>
  <c r="H1046" i="20" a="1"/>
  <c r="H1046" i="20" s="1"/>
  <c r="Z1046" i="20" a="1"/>
  <c r="Z1046" i="20" s="1"/>
  <c r="L1042" i="20" a="1"/>
  <c r="L1042" i="20" s="1"/>
  <c r="Z1042" i="20" a="1"/>
  <c r="Z1042" i="20" s="1"/>
  <c r="F1055" i="20" a="1"/>
  <c r="F1055" i="20" s="1"/>
  <c r="Z1040" i="20" a="1"/>
  <c r="Z1040" i="20" s="1"/>
  <c r="L1017" i="20" a="1"/>
  <c r="L1017" i="20" s="1"/>
  <c r="Z1017" i="20" a="1"/>
  <c r="Z1017" i="20" s="1"/>
  <c r="L1016" i="20" a="1"/>
  <c r="L1016" i="20" s="1"/>
  <c r="Z1016" i="20" a="1"/>
  <c r="Z1016" i="20" s="1"/>
  <c r="L1013" i="20" a="1"/>
  <c r="L1013" i="20" s="1"/>
  <c r="Z1013" i="20" a="1"/>
  <c r="Z1013" i="20" s="1"/>
  <c r="L1012" i="20" a="1"/>
  <c r="L1012" i="20" s="1"/>
  <c r="Z1012" i="20" a="1"/>
  <c r="Z1012" i="20" s="1"/>
  <c r="Z1027" i="20" s="1" a="1"/>
  <c r="H993" i="20" a="1"/>
  <c r="H993" i="20" s="1"/>
  <c r="Z993" i="20" a="1"/>
  <c r="Z993" i="20" s="1"/>
  <c r="H992" i="20" a="1"/>
  <c r="H992" i="20" s="1"/>
  <c r="Z992" i="20" a="1"/>
  <c r="Z992" i="20" s="1"/>
  <c r="H991" i="20" a="1"/>
  <c r="H991" i="20" s="1"/>
  <c r="Z991" i="20" a="1"/>
  <c r="Z991" i="20" s="1"/>
  <c r="H990" i="20" a="1"/>
  <c r="H990" i="20" s="1"/>
  <c r="Z990" i="20" a="1"/>
  <c r="Z990" i="20" s="1"/>
  <c r="N989" i="20" a="1"/>
  <c r="N989" i="20" s="1"/>
  <c r="Z989" i="20" a="1"/>
  <c r="Z989" i="20" s="1"/>
  <c r="L986" i="20" a="1"/>
  <c r="L986" i="20" s="1"/>
  <c r="Z986" i="20" a="1"/>
  <c r="Z986" i="20" s="1"/>
  <c r="N985" i="20" a="1"/>
  <c r="N985" i="20" s="1"/>
  <c r="Z985" i="20" a="1"/>
  <c r="Z985" i="20" s="1"/>
  <c r="Z999" i="20" s="1" a="1"/>
  <c r="F999" i="20" a="1"/>
  <c r="F999" i="20" s="1"/>
  <c r="Z984" i="20" a="1"/>
  <c r="Z984" i="20" s="1"/>
  <c r="L961" i="20" a="1"/>
  <c r="L961" i="20" s="1"/>
  <c r="Z961" i="20" a="1"/>
  <c r="Z961" i="20" s="1"/>
  <c r="L960" i="20" a="1"/>
  <c r="L960" i="20" s="1"/>
  <c r="Z960" i="20" a="1"/>
  <c r="Z960" i="20" s="1"/>
  <c r="L959" i="20" a="1"/>
  <c r="L959" i="20" s="1"/>
  <c r="Z959" i="20" a="1"/>
  <c r="Z959" i="20" s="1"/>
  <c r="L958" i="20" a="1"/>
  <c r="L958" i="20" s="1"/>
  <c r="Z958" i="20" a="1"/>
  <c r="Z958" i="20" s="1"/>
  <c r="L957" i="20" a="1"/>
  <c r="L957" i="20" s="1"/>
  <c r="Z957" i="20" a="1"/>
  <c r="Z957" i="20" s="1"/>
  <c r="L956" i="20" a="1"/>
  <c r="L956" i="20" s="1"/>
  <c r="Z956" i="20" a="1"/>
  <c r="Z956" i="20" s="1"/>
  <c r="H937" i="20" a="1"/>
  <c r="H937" i="20" s="1"/>
  <c r="Z937" i="20" a="1"/>
  <c r="Z937" i="20" s="1"/>
  <c r="H936" i="20" a="1"/>
  <c r="H936" i="20" s="1"/>
  <c r="Z936" i="20" a="1"/>
  <c r="Z936" i="20" s="1"/>
  <c r="H935" i="20" a="1"/>
  <c r="H935" i="20" s="1"/>
  <c r="Z935" i="20" a="1"/>
  <c r="Z935" i="20" s="1"/>
  <c r="H934" i="20" a="1"/>
  <c r="H934" i="20" s="1"/>
  <c r="Z934" i="20" a="1"/>
  <c r="Z934" i="20" s="1"/>
  <c r="L933" i="20" a="1"/>
  <c r="L933" i="20" s="1"/>
  <c r="Z933" i="20" a="1"/>
  <c r="Z933" i="20" s="1"/>
  <c r="L932" i="20" a="1"/>
  <c r="L932" i="20" s="1"/>
  <c r="Z932" i="20" a="1"/>
  <c r="Z932" i="20" s="1"/>
  <c r="L931" i="20" a="1"/>
  <c r="L931" i="20" s="1"/>
  <c r="Z931" i="20" a="1"/>
  <c r="Z931" i="20" s="1"/>
  <c r="Z943" i="20" s="1" a="1"/>
  <c r="L930" i="20" a="1"/>
  <c r="L930" i="20" s="1"/>
  <c r="Z930" i="20" a="1"/>
  <c r="Z930" i="20" s="1"/>
  <c r="L929" i="20" a="1"/>
  <c r="L929" i="20" s="1"/>
  <c r="Z929" i="20" a="1"/>
  <c r="Z929" i="20" s="1"/>
  <c r="J928" i="20" a="1"/>
  <c r="J928" i="20" s="1"/>
  <c r="Z928" i="20" a="1"/>
  <c r="Z928" i="20" s="1"/>
  <c r="J905" i="20" a="1"/>
  <c r="J905" i="20" s="1"/>
  <c r="Z905" i="20" a="1"/>
  <c r="Z905" i="20" s="1"/>
  <c r="H904" i="20" a="1"/>
  <c r="H904" i="20" s="1"/>
  <c r="Z904" i="20" a="1"/>
  <c r="Z904" i="20" s="1"/>
  <c r="H902" i="20" a="1"/>
  <c r="H902" i="20" s="1"/>
  <c r="Z902" i="20" a="1"/>
  <c r="Z902" i="20" s="1"/>
  <c r="H901" i="20" a="1"/>
  <c r="H901" i="20" s="1"/>
  <c r="Z901" i="20" a="1"/>
  <c r="Z901" i="20" s="1"/>
  <c r="F915" i="20" a="1"/>
  <c r="F915" i="20" s="1"/>
  <c r="Z900" i="20" a="1"/>
  <c r="Z900" i="20" s="1"/>
  <c r="Z915" i="20" s="1" a="1"/>
  <c r="J879" i="20" a="1"/>
  <c r="J879" i="20" s="1"/>
  <c r="Z879" i="20" a="1"/>
  <c r="Z879" i="20" s="1"/>
  <c r="G877" i="20" a="1"/>
  <c r="G877" i="20" s="1"/>
  <c r="Z877" i="20" a="1"/>
  <c r="Z877" i="20" s="1"/>
  <c r="G876" i="20" a="1"/>
  <c r="G876" i="20" s="1"/>
  <c r="Z876" i="20" a="1"/>
  <c r="Z876" i="20" s="1"/>
  <c r="G875" i="20" a="1"/>
  <c r="G875" i="20" s="1"/>
  <c r="Z875" i="20" a="1"/>
  <c r="Z875" i="20" s="1"/>
  <c r="H874" i="20" a="1"/>
  <c r="H874" i="20" s="1"/>
  <c r="Z874" i="20" a="1"/>
  <c r="Z874" i="20" s="1"/>
  <c r="G873" i="20" a="1"/>
  <c r="G873" i="20" s="1"/>
  <c r="Z873" i="20" a="1"/>
  <c r="Z873" i="20" s="1"/>
  <c r="Z887" i="20" s="1" a="1"/>
  <c r="Z872" i="20" a="1"/>
  <c r="Z872" i="20" s="1"/>
  <c r="J853" i="20" a="1"/>
  <c r="J853" i="20" s="1"/>
  <c r="Z853" i="20" a="1"/>
  <c r="Z853" i="20" s="1"/>
  <c r="G849" i="20" a="1"/>
  <c r="G849" i="20" s="1"/>
  <c r="Z849" i="20" a="1"/>
  <c r="Z849" i="20" s="1"/>
  <c r="I848" i="20" a="1"/>
  <c r="I848" i="20" s="1"/>
  <c r="Z848" i="20" a="1"/>
  <c r="Z848" i="20" s="1"/>
  <c r="G847" i="20" a="1"/>
  <c r="G847" i="20" s="1"/>
  <c r="Z847" i="20" a="1"/>
  <c r="Z847" i="20" s="1"/>
  <c r="I846" i="20" a="1"/>
  <c r="I846" i="20" s="1"/>
  <c r="Z846" i="20" a="1"/>
  <c r="Z846" i="20" s="1"/>
  <c r="G845" i="20" a="1"/>
  <c r="G845" i="20" s="1"/>
  <c r="Z845" i="20" a="1"/>
  <c r="Z845" i="20" s="1"/>
  <c r="Z844" i="20" a="1"/>
  <c r="Z844" i="20" s="1"/>
  <c r="N825" i="20" a="1"/>
  <c r="N825" i="20" s="1"/>
  <c r="Z825" i="20" a="1"/>
  <c r="Z825" i="20" s="1"/>
  <c r="J824" i="20" a="1"/>
  <c r="J824" i="20" s="1"/>
  <c r="Z824" i="20" a="1"/>
  <c r="Z824" i="20" s="1"/>
  <c r="G821" i="20" a="1"/>
  <c r="G821" i="20" s="1"/>
  <c r="Z821" i="20" a="1"/>
  <c r="Z821" i="20" s="1"/>
  <c r="G820" i="20" a="1"/>
  <c r="G820" i="20" s="1"/>
  <c r="Z820" i="20" a="1"/>
  <c r="Z820" i="20" s="1"/>
  <c r="G819" i="20" a="1"/>
  <c r="G819" i="20" s="1"/>
  <c r="Z819" i="20" a="1"/>
  <c r="Z819" i="20" s="1"/>
  <c r="G818" i="20" a="1"/>
  <c r="G818" i="20" s="1"/>
  <c r="Z818" i="20" a="1"/>
  <c r="Z818" i="20" s="1"/>
  <c r="F831" i="20" a="1"/>
  <c r="F831" i="20" s="1"/>
  <c r="Z816" i="20" a="1"/>
  <c r="Z816" i="20" s="1"/>
  <c r="T793" i="20" a="1"/>
  <c r="T793" i="20" s="1"/>
  <c r="Z793" i="20" a="1"/>
  <c r="Z793" i="20" s="1"/>
  <c r="M792" i="20" a="1"/>
  <c r="M792" i="20" s="1"/>
  <c r="Z792" i="20" a="1"/>
  <c r="Z792" i="20" s="1"/>
  <c r="L791" i="20" a="1"/>
  <c r="L791" i="20" s="1"/>
  <c r="Z791" i="20" a="1"/>
  <c r="Z791" i="20" s="1"/>
  <c r="Q790" i="20" a="1"/>
  <c r="Q790" i="20" s="1"/>
  <c r="Z790" i="20" a="1"/>
  <c r="Z790" i="20" s="1"/>
  <c r="F803" i="20" a="1"/>
  <c r="F803" i="20" s="1"/>
  <c r="Z788" i="20" a="1"/>
  <c r="Z788" i="20" s="1"/>
  <c r="F775" i="20" a="1"/>
  <c r="F775" i="20" s="1"/>
  <c r="Z760" i="20" a="1"/>
  <c r="Z760" i="20" s="1"/>
  <c r="F747" i="20" a="1"/>
  <c r="F747" i="20" s="1"/>
  <c r="Z732" i="20" a="1"/>
  <c r="Z732" i="20" s="1"/>
  <c r="L710" i="20" a="1"/>
  <c r="L710" i="20" s="1"/>
  <c r="Z710" i="20" a="1"/>
  <c r="Z710" i="20" s="1"/>
  <c r="Q707" i="20" a="1"/>
  <c r="Q707" i="20" s="1"/>
  <c r="Z707" i="20" a="1"/>
  <c r="Z707" i="20" s="1"/>
  <c r="J706" i="20" a="1"/>
  <c r="J706" i="20" s="1"/>
  <c r="Z706" i="20" a="1"/>
  <c r="Z706" i="20" s="1"/>
  <c r="F719" i="20" a="1"/>
  <c r="F719" i="20" s="1"/>
  <c r="Z704" i="20" a="1"/>
  <c r="Z704" i="20" s="1"/>
  <c r="H684" i="20" a="1"/>
  <c r="H684" i="20" s="1"/>
  <c r="Z684" i="20" a="1"/>
  <c r="Z684" i="20" s="1"/>
  <c r="I683" i="20" a="1"/>
  <c r="I683" i="20" s="1"/>
  <c r="Z683" i="20" a="1"/>
  <c r="Z683" i="20" s="1"/>
  <c r="J680" i="20" a="1"/>
  <c r="J680" i="20" s="1"/>
  <c r="Z680" i="20" a="1"/>
  <c r="Z680" i="20" s="1"/>
  <c r="F691" i="20" a="1"/>
  <c r="F691" i="20" s="1"/>
  <c r="Z676" i="20" a="1"/>
  <c r="Z676" i="20" s="1"/>
  <c r="U655" i="20" a="1"/>
  <c r="U655" i="20" s="1"/>
  <c r="Z655" i="20" a="1"/>
  <c r="Z655" i="20" s="1"/>
  <c r="Q654" i="20" a="1"/>
  <c r="Q654" i="20" s="1"/>
  <c r="Z654" i="20" a="1"/>
  <c r="Z654" i="20" s="1"/>
  <c r="P649" i="20" a="1"/>
  <c r="P649" i="20" s="1"/>
  <c r="Z649" i="20" a="1"/>
  <c r="Z649" i="20" s="1"/>
  <c r="Y648" i="20" a="1"/>
  <c r="Y648" i="20" s="1"/>
  <c r="Z648" i="20" a="1"/>
  <c r="Z648" i="20" s="1"/>
  <c r="M629" i="20" a="1"/>
  <c r="M629" i="20" s="1"/>
  <c r="Z629" i="20" a="1"/>
  <c r="Z629" i="20" s="1"/>
  <c r="X628" i="20" a="1"/>
  <c r="X628" i="20" s="1"/>
  <c r="Z628" i="20" a="1"/>
  <c r="Z628" i="20" s="1"/>
  <c r="Q627" i="20" a="1"/>
  <c r="Q627" i="20" s="1"/>
  <c r="Z627" i="20" a="1"/>
  <c r="Z627" i="20" s="1"/>
  <c r="M626" i="20" a="1"/>
  <c r="M626" i="20" s="1"/>
  <c r="Z626" i="20" a="1"/>
  <c r="Z626" i="20" s="1"/>
  <c r="Q623" i="20" a="1"/>
  <c r="Q623" i="20" s="1"/>
  <c r="Z623" i="20" a="1"/>
  <c r="Z623" i="20" s="1"/>
  <c r="P622" i="20" a="1"/>
  <c r="P622" i="20" s="1"/>
  <c r="Z622" i="20" a="1"/>
  <c r="Z622" i="20" s="1"/>
  <c r="Q621" i="20" a="1"/>
  <c r="Q621" i="20" s="1"/>
  <c r="Z621" i="20" a="1"/>
  <c r="Z621" i="20" s="1"/>
  <c r="F635" i="20" a="1"/>
  <c r="F635" i="20" s="1"/>
  <c r="Z620" i="20" a="1"/>
  <c r="Z620" i="20" s="1"/>
  <c r="F607" i="20" a="1"/>
  <c r="F607" i="20" s="1"/>
  <c r="Z592" i="20" a="1"/>
  <c r="Z592" i="20" s="1"/>
  <c r="F579" i="20" a="1"/>
  <c r="F579" i="20" s="1"/>
  <c r="Z564" i="20" a="1"/>
  <c r="Z564" i="20" s="1"/>
  <c r="H542" i="20" a="1"/>
  <c r="H542" i="20" s="1"/>
  <c r="Z542" i="20" a="1"/>
  <c r="Z542" i="20" s="1"/>
  <c r="J538" i="20" a="1"/>
  <c r="J538" i="20" s="1"/>
  <c r="Z538" i="20" a="1"/>
  <c r="Z538" i="20" s="1"/>
  <c r="F551" i="20" a="1"/>
  <c r="F551" i="20" s="1"/>
  <c r="Z536" i="20" a="1"/>
  <c r="Z536" i="20" s="1"/>
  <c r="I515" i="20" a="1"/>
  <c r="I515" i="20" s="1"/>
  <c r="Z515" i="20" a="1"/>
  <c r="Z515" i="20" s="1"/>
  <c r="H514" i="20" a="1"/>
  <c r="H514" i="20" s="1"/>
  <c r="Z514" i="20" a="1"/>
  <c r="Z514" i="20" s="1"/>
  <c r="F523" i="20" a="1"/>
  <c r="F523" i="20" s="1"/>
  <c r="Z508" i="20" a="1"/>
  <c r="Z508" i="20" s="1"/>
  <c r="H489" i="20" a="1"/>
  <c r="H489" i="20" s="1"/>
  <c r="Z489" i="20" a="1"/>
  <c r="Z489" i="20" s="1"/>
  <c r="J485" i="20" a="1"/>
  <c r="J485" i="20" s="1"/>
  <c r="Z485" i="20" a="1"/>
  <c r="Z485" i="20" s="1"/>
  <c r="H484" i="20" a="1"/>
  <c r="H484" i="20" s="1"/>
  <c r="Z484" i="20" a="1"/>
  <c r="Z484" i="20" s="1"/>
  <c r="G483" i="20" a="1"/>
  <c r="G483" i="20" s="1"/>
  <c r="Z483" i="20" a="1"/>
  <c r="Z483" i="20" s="1"/>
  <c r="J482" i="20" a="1"/>
  <c r="J482" i="20" s="1"/>
  <c r="Z482" i="20" a="1"/>
  <c r="Z482" i="20" s="1"/>
  <c r="L481" i="20" a="1"/>
  <c r="L481" i="20" s="1"/>
  <c r="Z481" i="20" a="1"/>
  <c r="Z481" i="20" s="1"/>
  <c r="Z480" i="20" a="1"/>
  <c r="Z480" i="20" s="1"/>
  <c r="R461" i="20" a="1"/>
  <c r="R461" i="20" s="1"/>
  <c r="Z461" i="20" a="1"/>
  <c r="Z461" i="20" s="1"/>
  <c r="G457" i="20" a="1"/>
  <c r="G457" i="20" s="1"/>
  <c r="Z457" i="20" a="1"/>
  <c r="Z457" i="20" s="1"/>
  <c r="I455" i="20" a="1"/>
  <c r="I455" i="20" s="1"/>
  <c r="Z455" i="20" a="1"/>
  <c r="Z455" i="20" s="1"/>
  <c r="L454" i="20" a="1"/>
  <c r="L454" i="20" s="1"/>
  <c r="Z454" i="20" a="1"/>
  <c r="Z454" i="20" s="1"/>
  <c r="G453" i="20" a="1"/>
  <c r="G453" i="20" s="1"/>
  <c r="Z453" i="20" a="1"/>
  <c r="Z453" i="20" s="1"/>
  <c r="G452" i="20" a="1"/>
  <c r="G452" i="20" s="1"/>
  <c r="Z452" i="20" a="1"/>
  <c r="Z452" i="20" s="1"/>
  <c r="J430" i="20" a="1"/>
  <c r="J430" i="20" s="1"/>
  <c r="Z430" i="20" a="1"/>
  <c r="Z430" i="20" s="1"/>
  <c r="G429" i="20" a="1"/>
  <c r="G429" i="20" s="1"/>
  <c r="Z429" i="20" a="1"/>
  <c r="Z429" i="20" s="1"/>
  <c r="G428" i="20" a="1"/>
  <c r="G428" i="20" s="1"/>
  <c r="Z428" i="20" a="1"/>
  <c r="Z428" i="20" s="1"/>
  <c r="G427" i="20" a="1"/>
  <c r="G427" i="20" s="1"/>
  <c r="Z427" i="20" a="1"/>
  <c r="Z427" i="20" s="1"/>
  <c r="G426" i="20" a="1"/>
  <c r="G426" i="20" s="1"/>
  <c r="Z426" i="20" a="1"/>
  <c r="Z426" i="20" s="1"/>
  <c r="G425" i="20" a="1"/>
  <c r="G425" i="20" s="1"/>
  <c r="Z425" i="20" a="1"/>
  <c r="Z425" i="20" s="1"/>
  <c r="G424" i="20" a="1"/>
  <c r="G424" i="20" s="1"/>
  <c r="Z424" i="20" a="1"/>
  <c r="Z424" i="20" s="1"/>
  <c r="J403" i="20" a="1"/>
  <c r="J403" i="20" s="1"/>
  <c r="Z403" i="20" a="1"/>
  <c r="Z403" i="20" s="1"/>
  <c r="G401" i="20" a="1"/>
  <c r="G401" i="20" s="1"/>
  <c r="Z401" i="20" a="1"/>
  <c r="Z401" i="20" s="1"/>
  <c r="I400" i="20" a="1"/>
  <c r="I400" i="20" s="1"/>
  <c r="Z400" i="20" a="1"/>
  <c r="Z400" i="20" s="1"/>
  <c r="G399" i="20" a="1"/>
  <c r="G399" i="20" s="1"/>
  <c r="Z399" i="20" a="1"/>
  <c r="Z399" i="20" s="1"/>
  <c r="J398" i="20" a="1"/>
  <c r="J398" i="20" s="1"/>
  <c r="Z398" i="20" a="1"/>
  <c r="Z398" i="20" s="1"/>
  <c r="G397" i="20" a="1"/>
  <c r="G397" i="20" s="1"/>
  <c r="Z397" i="20" a="1"/>
  <c r="Z397" i="20" s="1"/>
  <c r="H396" i="20" a="1"/>
  <c r="H396" i="20" s="1"/>
  <c r="Z396" i="20" a="1"/>
  <c r="Z396" i="20" s="1"/>
  <c r="J377" i="20" a="1"/>
  <c r="J377" i="20" s="1"/>
  <c r="Z377" i="20" a="1"/>
  <c r="Z377" i="20" s="1"/>
  <c r="J374" i="20" a="1"/>
  <c r="J374" i="20" s="1"/>
  <c r="Z374" i="20" a="1"/>
  <c r="Z374" i="20" s="1"/>
  <c r="G373" i="20" a="1"/>
  <c r="G373" i="20" s="1"/>
  <c r="Z373" i="20" a="1"/>
  <c r="Z373" i="20" s="1"/>
  <c r="G372" i="20" a="1"/>
  <c r="G372" i="20" s="1"/>
  <c r="Z372" i="20" a="1"/>
  <c r="Z372" i="20" s="1"/>
  <c r="G370" i="20" a="1"/>
  <c r="G370" i="20" s="1"/>
  <c r="Z370" i="20" a="1"/>
  <c r="Z370" i="20" s="1"/>
  <c r="G369" i="20" a="1"/>
  <c r="G369" i="20" s="1"/>
  <c r="Z369" i="20" a="1"/>
  <c r="Z369" i="20" s="1"/>
  <c r="G368" i="20" a="1"/>
  <c r="G368" i="20" s="1"/>
  <c r="Z368" i="20" a="1"/>
  <c r="Z368" i="20" s="1"/>
  <c r="L347" i="20" a="1"/>
  <c r="L347" i="20" s="1"/>
  <c r="Z347" i="20" a="1"/>
  <c r="Z347" i="20" s="1"/>
  <c r="G345" i="20" a="1"/>
  <c r="G345" i="20" s="1"/>
  <c r="Z345" i="20" a="1"/>
  <c r="Z345" i="20" s="1"/>
  <c r="G344" i="20" a="1"/>
  <c r="G344" i="20" s="1"/>
  <c r="Z344" i="20" a="1"/>
  <c r="Z344" i="20" s="1"/>
  <c r="G343" i="20" a="1"/>
  <c r="G343" i="20" s="1"/>
  <c r="Z343" i="20" a="1"/>
  <c r="Z343" i="20" s="1"/>
  <c r="K341" i="20"/>
  <c r="Z341" i="20" a="1"/>
  <c r="Z341" i="20" s="1"/>
  <c r="N340" i="20" a="1"/>
  <c r="N340" i="20" s="1"/>
  <c r="Z340" i="20" a="1"/>
  <c r="Z340" i="20" s="1"/>
  <c r="L320" i="20" a="1"/>
  <c r="L320" i="20" s="1"/>
  <c r="Z320" i="20" a="1"/>
  <c r="Z320" i="20" s="1"/>
  <c r="L319" i="20" a="1"/>
  <c r="L319" i="20" s="1"/>
  <c r="Z319" i="20" a="1"/>
  <c r="Z319" i="20" s="1"/>
  <c r="L318" i="20" a="1"/>
  <c r="L318" i="20" s="1"/>
  <c r="Z318" i="20" a="1"/>
  <c r="Z318" i="20" s="1"/>
  <c r="X316" i="20" a="1"/>
  <c r="X316" i="20" s="1"/>
  <c r="Z316" i="20" a="1"/>
  <c r="Z316" i="20" s="1"/>
  <c r="Z315" i="20" a="1"/>
  <c r="Z315" i="20" s="1"/>
  <c r="G314" i="20" a="1"/>
  <c r="G314" i="20" s="1"/>
  <c r="Z314" i="20" a="1"/>
  <c r="Z314" i="20" s="1"/>
  <c r="G312" i="20" a="1"/>
  <c r="G312" i="20" s="1"/>
  <c r="Z312" i="20" a="1"/>
  <c r="Z312" i="20" s="1"/>
  <c r="I291" i="20" a="1"/>
  <c r="I291" i="20" s="1"/>
  <c r="Z291" i="20" a="1"/>
  <c r="Z291" i="20" s="1"/>
  <c r="T289" i="20" a="1"/>
  <c r="T289" i="20" s="1"/>
  <c r="Z289" i="20" a="1"/>
  <c r="Z289" i="20" s="1"/>
  <c r="L287" i="20" a="1"/>
  <c r="L287" i="20" s="1"/>
  <c r="Z287" i="20" a="1"/>
  <c r="Z287" i="20" s="1"/>
  <c r="L286" i="20" a="1"/>
  <c r="L286" i="20" s="1"/>
  <c r="Z286" i="20" a="1"/>
  <c r="Z286" i="20" s="1"/>
  <c r="Q285" i="20" a="1"/>
  <c r="Q285" i="20" s="1"/>
  <c r="Z285" i="20" a="1"/>
  <c r="Z285" i="20" s="1"/>
  <c r="S264" i="20" a="1"/>
  <c r="S264" i="20" s="1"/>
  <c r="Z264" i="20" a="1"/>
  <c r="Z264" i="20" s="1"/>
  <c r="U257" i="20" a="1"/>
  <c r="U257" i="20" s="1"/>
  <c r="Z257" i="20" a="1"/>
  <c r="Z257" i="20" s="1"/>
  <c r="L237" i="20" a="1"/>
  <c r="L237" i="20" s="1"/>
  <c r="Z237" i="20" a="1"/>
  <c r="Z237" i="20" s="1"/>
  <c r="G236" i="20" a="1"/>
  <c r="G236" i="20" s="1"/>
  <c r="Z236" i="20" a="1"/>
  <c r="Z236" i="20" s="1"/>
  <c r="M203" i="20" a="1"/>
  <c r="M203" i="20" s="1"/>
  <c r="Z203" i="20" a="1"/>
  <c r="Z203" i="20" s="1"/>
  <c r="M202" i="20" a="1"/>
  <c r="M202" i="20" s="1"/>
  <c r="Z202" i="20" a="1"/>
  <c r="Z202" i="20" s="1"/>
  <c r="M149" i="20" a="1"/>
  <c r="M149" i="20" s="1"/>
  <c r="Z149" i="20" a="1"/>
  <c r="Z149" i="20" s="1"/>
  <c r="T148" i="20" a="1"/>
  <c r="T148" i="20" s="1"/>
  <c r="Z148" i="20" a="1"/>
  <c r="Z148" i="20" s="1"/>
  <c r="I120" i="20" a="1"/>
  <c r="I120" i="20" s="1"/>
  <c r="Z120" i="20" a="1"/>
  <c r="Z120" i="20" s="1"/>
  <c r="X119" i="20" a="1"/>
  <c r="X119" i="20" s="1"/>
  <c r="Z119" i="20" a="1"/>
  <c r="Z119" i="20" s="1"/>
  <c r="Z116" i="20" a="1"/>
  <c r="Z116" i="20" s="1"/>
  <c r="F887" i="20" a="1"/>
  <c r="F887" i="20" s="1"/>
  <c r="F859" i="20" a="1"/>
  <c r="F859" i="20" s="1"/>
  <c r="F663" i="20" a="1"/>
  <c r="F663" i="20" s="1"/>
  <c r="F467" i="20" a="1"/>
  <c r="F467" i="20" s="1"/>
  <c r="F1027" i="20" a="1"/>
  <c r="F1027" i="20" s="1"/>
  <c r="F971" i="20" a="1"/>
  <c r="F971" i="20" s="1"/>
  <c r="F943" i="20" a="1"/>
  <c r="F943" i="20" s="1"/>
  <c r="F439" i="20" a="1"/>
  <c r="F439" i="20" s="1"/>
  <c r="F495" i="20" a="1"/>
  <c r="F495" i="20" s="1"/>
  <c r="F411" i="20" a="1"/>
  <c r="F411" i="20" s="1"/>
  <c r="L1068" i="20" a="1"/>
  <c r="L1068" i="20" s="1"/>
  <c r="F1083" i="20" a="1"/>
  <c r="F1083" i="20" s="1"/>
  <c r="X542" i="20" a="1"/>
  <c r="X542" i="20" s="1"/>
  <c r="Q342" i="20" a="1"/>
  <c r="Q342" i="20" s="1"/>
  <c r="T819" i="20" a="1"/>
  <c r="T819" i="20" s="1"/>
  <c r="K342" i="20"/>
  <c r="Y514" i="20" a="1"/>
  <c r="Y514" i="20" s="1"/>
  <c r="L876" i="20" a="1"/>
  <c r="L876" i="20" s="1"/>
  <c r="X874" i="20" a="1"/>
  <c r="X874" i="20" s="1"/>
  <c r="K872" i="20"/>
  <c r="T844" i="20" a="1"/>
  <c r="T844" i="20" s="1"/>
  <c r="L820" i="20" a="1"/>
  <c r="L820" i="20" s="1"/>
  <c r="Q793" i="20" a="1"/>
  <c r="Q793" i="20" s="1"/>
  <c r="M542" i="20" a="1"/>
  <c r="M542" i="20" s="1"/>
  <c r="N484" i="20" a="1"/>
  <c r="N484" i="20" s="1"/>
  <c r="Q204" i="20" a="1"/>
  <c r="Q204" i="20" s="1"/>
  <c r="L793" i="20" a="1"/>
  <c r="L793" i="20" s="1"/>
  <c r="L312" i="20" a="1"/>
  <c r="L312" i="20" s="1"/>
  <c r="L204" i="20" a="1"/>
  <c r="L204" i="20" s="1"/>
  <c r="P90" i="20" a="1"/>
  <c r="P90" i="20" s="1"/>
  <c r="T875" i="20" a="1"/>
  <c r="T875" i="20" s="1"/>
  <c r="L845" i="20" a="1"/>
  <c r="L845" i="20" s="1"/>
  <c r="L457" i="20" a="1"/>
  <c r="L457" i="20" s="1"/>
  <c r="T209" i="20" a="1"/>
  <c r="T209" i="20" s="1"/>
  <c r="T872" i="20" a="1"/>
  <c r="T872" i="20" s="1"/>
  <c r="X793" i="20" a="1"/>
  <c r="X793" i="20" s="1"/>
  <c r="P514" i="20" a="1"/>
  <c r="P514" i="20" s="1"/>
  <c r="L872" i="20" a="1"/>
  <c r="L872" i="20" s="1"/>
  <c r="L847" i="20" a="1"/>
  <c r="L847" i="20" s="1"/>
  <c r="Q542" i="20" a="1"/>
  <c r="Q542" i="20" s="1"/>
  <c r="L514" i="20" a="1"/>
  <c r="L514" i="20" s="1"/>
  <c r="X489" i="20" a="1"/>
  <c r="X489" i="20" s="1"/>
  <c r="N480" i="20" a="1"/>
  <c r="N480" i="20" s="1"/>
  <c r="L452" i="20" a="1"/>
  <c r="L452" i="20" s="1"/>
  <c r="T368" i="20" a="1"/>
  <c r="T368" i="20" s="1"/>
  <c r="J345" i="20" a="1"/>
  <c r="J345" i="20" s="1"/>
  <c r="Q230" i="20" a="1"/>
  <c r="Q230" i="20" s="1"/>
  <c r="T373" i="20" a="1"/>
  <c r="T373" i="20" s="1"/>
  <c r="Y146" i="20" a="1"/>
  <c r="Y146" i="20" s="1"/>
  <c r="V68" i="20" a="1"/>
  <c r="V68" i="20" s="1"/>
  <c r="X872" i="20" a="1"/>
  <c r="X872" i="20" s="1"/>
  <c r="G872" i="20" a="1"/>
  <c r="G872" i="20" s="1"/>
  <c r="T848" i="20" a="1"/>
  <c r="T848" i="20" s="1"/>
  <c r="M793" i="20" a="1"/>
  <c r="M793" i="20" s="1"/>
  <c r="Y542" i="20" a="1"/>
  <c r="Y542" i="20" s="1"/>
  <c r="G542" i="20" a="1"/>
  <c r="G542" i="20" s="1"/>
  <c r="X514" i="20" a="1"/>
  <c r="X514" i="20" s="1"/>
  <c r="X484" i="20" a="1"/>
  <c r="X484" i="20" s="1"/>
  <c r="R457" i="20" a="1"/>
  <c r="R457" i="20" s="1"/>
  <c r="L455" i="20" a="1"/>
  <c r="L455" i="20" s="1"/>
  <c r="P453" i="20" a="1"/>
  <c r="P453" i="20" s="1"/>
  <c r="T425" i="20" a="1"/>
  <c r="T425" i="20" s="1"/>
  <c r="P396" i="20" a="1"/>
  <c r="P396" i="20" s="1"/>
  <c r="I373" i="20" a="1"/>
  <c r="I373" i="20" s="1"/>
  <c r="T312" i="20" a="1"/>
  <c r="T312" i="20" s="1"/>
  <c r="P289" i="20" a="1"/>
  <c r="P289" i="20" s="1"/>
  <c r="V264" i="20" a="1"/>
  <c r="V264" i="20" s="1"/>
  <c r="X204" i="20" a="1"/>
  <c r="X204" i="20" s="1"/>
  <c r="L146" i="20" a="1"/>
  <c r="L146" i="20" s="1"/>
  <c r="L121" i="20" a="1"/>
  <c r="L121" i="20" s="1"/>
  <c r="H232" i="20" a="1"/>
  <c r="H232" i="20" s="1"/>
  <c r="N232" i="20" a="1"/>
  <c r="N232" i="20" s="1"/>
  <c r="H682" i="20" a="1"/>
  <c r="H682" i="20" s="1"/>
  <c r="M682" i="20" a="1"/>
  <c r="M682" i="20" s="1"/>
  <c r="X682" i="20" a="1"/>
  <c r="X682" i="20" s="1"/>
  <c r="I685" i="20" a="1"/>
  <c r="I685" i="20" s="1"/>
  <c r="J685" i="20" a="1"/>
  <c r="J685" i="20" s="1"/>
  <c r="Q685" i="20" a="1"/>
  <c r="Q685" i="20" s="1"/>
  <c r="R685" i="20" a="1"/>
  <c r="R685" i="20" s="1"/>
  <c r="J956" i="20" a="1"/>
  <c r="J956" i="20" s="1"/>
  <c r="L874" i="20" a="1"/>
  <c r="L874" i="20" s="1"/>
  <c r="T845" i="20" a="1"/>
  <c r="T845" i="20" s="1"/>
  <c r="L844" i="20" a="1"/>
  <c r="L844" i="20" s="1"/>
  <c r="X821" i="20" a="1"/>
  <c r="X821" i="20" s="1"/>
  <c r="T820" i="20" a="1"/>
  <c r="T820" i="20" s="1"/>
  <c r="N684" i="20" a="1"/>
  <c r="N684" i="20" s="1"/>
  <c r="M649" i="20" a="1"/>
  <c r="M649" i="20" s="1"/>
  <c r="R542" i="20" a="1"/>
  <c r="R542" i="20" s="1"/>
  <c r="I542" i="20" a="1"/>
  <c r="I542" i="20" s="1"/>
  <c r="T485" i="20" a="1"/>
  <c r="T485" i="20" s="1"/>
  <c r="X480" i="20" a="1"/>
  <c r="X480" i="20" s="1"/>
  <c r="P461" i="20" a="1"/>
  <c r="P461" i="20" s="1"/>
  <c r="I429" i="20" a="1"/>
  <c r="I429" i="20" s="1"/>
  <c r="T401" i="20" a="1"/>
  <c r="T401" i="20" s="1"/>
  <c r="J400" i="20" a="1"/>
  <c r="J400" i="20" s="1"/>
  <c r="P372" i="20" a="1"/>
  <c r="P372" i="20" s="1"/>
  <c r="L316" i="20" a="1"/>
  <c r="L316" i="20" s="1"/>
  <c r="T313" i="20" a="1"/>
  <c r="T313" i="20" s="1"/>
  <c r="Y237" i="20" a="1"/>
  <c r="Y237" i="20" s="1"/>
  <c r="P205" i="20" a="1"/>
  <c r="P205" i="20" s="1"/>
  <c r="M204" i="20" a="1"/>
  <c r="M204" i="20" s="1"/>
  <c r="L202" i="20" a="1"/>
  <c r="L202" i="20" s="1"/>
  <c r="P201" i="20" a="1"/>
  <c r="P201" i="20" s="1"/>
  <c r="L151" i="20" a="1"/>
  <c r="L151" i="20" s="1"/>
  <c r="N93" i="20" a="1"/>
  <c r="N93" i="20" s="1"/>
  <c r="J958" i="20" a="1"/>
  <c r="J958" i="20" s="1"/>
  <c r="H928" i="20" a="1"/>
  <c r="H928" i="20" s="1"/>
  <c r="P821" i="20" a="1"/>
  <c r="P821" i="20" s="1"/>
  <c r="J930" i="20" a="1"/>
  <c r="J930" i="20" s="1"/>
  <c r="P825" i="20" a="1"/>
  <c r="P825" i="20" s="1"/>
  <c r="L821" i="20" a="1"/>
  <c r="L821" i="20" s="1"/>
  <c r="T791" i="20" a="1"/>
  <c r="T791" i="20" s="1"/>
  <c r="X684" i="20" a="1"/>
  <c r="X684" i="20" s="1"/>
  <c r="Q683" i="20" a="1"/>
  <c r="Q683" i="20" s="1"/>
  <c r="X649" i="20" a="1"/>
  <c r="X649" i="20" s="1"/>
  <c r="K480" i="20"/>
  <c r="T429" i="20" a="1"/>
  <c r="T429" i="20" s="1"/>
  <c r="X400" i="20" a="1"/>
  <c r="X400" i="20" s="1"/>
  <c r="T399" i="20" a="1"/>
  <c r="T399" i="20" s="1"/>
  <c r="T201" i="20" a="1"/>
  <c r="T201" i="20" s="1"/>
  <c r="Y200" i="20" a="1"/>
  <c r="Y200" i="20" s="1"/>
  <c r="T117" i="20" a="1"/>
  <c r="T117" i="20" s="1"/>
  <c r="R92" i="20" a="1"/>
  <c r="R92" i="20" s="1"/>
  <c r="L90" i="20" a="1"/>
  <c r="L90" i="20" s="1"/>
  <c r="Q33" i="20" a="1"/>
  <c r="Q33" i="20" s="1"/>
  <c r="P684" i="20" a="1"/>
  <c r="P684" i="20" s="1"/>
  <c r="T542" i="20" a="1"/>
  <c r="T542" i="20" s="1"/>
  <c r="L542" i="20" a="1"/>
  <c r="L542" i="20" s="1"/>
  <c r="P429" i="20" a="1"/>
  <c r="P429" i="20" s="1"/>
  <c r="T400" i="20" a="1"/>
  <c r="T400" i="20" s="1"/>
  <c r="Q201" i="20" a="1"/>
  <c r="Q201" i="20" s="1"/>
  <c r="P117" i="20" a="1"/>
  <c r="P117" i="20" s="1"/>
  <c r="T93" i="20" a="1"/>
  <c r="T93" i="20" s="1"/>
  <c r="H741" i="20" a="1"/>
  <c r="H741" i="20" s="1"/>
  <c r="M741" i="20" a="1"/>
  <c r="M741" i="20" s="1"/>
  <c r="Y741" i="20" a="1"/>
  <c r="Y741" i="20" s="1"/>
  <c r="X741" i="20" a="1"/>
  <c r="X741" i="20" s="1"/>
  <c r="I741" i="20" a="1"/>
  <c r="I741" i="20" s="1"/>
  <c r="P741" i="20" a="1"/>
  <c r="P741" i="20" s="1"/>
  <c r="U741" i="20" a="1"/>
  <c r="U741" i="20" s="1"/>
  <c r="H760" i="20" a="1"/>
  <c r="H760" i="20" s="1"/>
  <c r="S760" i="20" a="1"/>
  <c r="S760" i="20" s="1"/>
  <c r="I795" i="20" a="1"/>
  <c r="I795" i="20" s="1"/>
  <c r="Q795" i="20" a="1"/>
  <c r="Q795" i="20" s="1"/>
  <c r="I740" i="20" a="1"/>
  <c r="I740" i="20" s="1"/>
  <c r="Y740" i="20" a="1"/>
  <c r="Y740" i="20" s="1"/>
  <c r="G1133" i="20" a="1"/>
  <c r="G1133" i="20" s="1"/>
  <c r="S1133" i="20" a="1"/>
  <c r="S1133" i="20" s="1"/>
  <c r="H1125" i="20" a="1"/>
  <c r="H1125" i="20" s="1"/>
  <c r="S1125" i="20" a="1"/>
  <c r="S1125" i="20" s="1"/>
  <c r="H816" i="20" a="1"/>
  <c r="H816" i="20" s="1"/>
  <c r="P819" i="20" a="1"/>
  <c r="P819" i="20" s="1"/>
  <c r="T818" i="20" a="1"/>
  <c r="T818" i="20" s="1"/>
  <c r="J709" i="20" a="1"/>
  <c r="J709" i="20" s="1"/>
  <c r="R709" i="20" a="1"/>
  <c r="R709" i="20" s="1"/>
  <c r="M625" i="20" a="1"/>
  <c r="M625" i="20" s="1"/>
  <c r="X625" i="20" a="1"/>
  <c r="X625" i="20" s="1"/>
  <c r="K573" i="20" a="1"/>
  <c r="K573" i="20" s="1"/>
  <c r="M573" i="20" a="1"/>
  <c r="M573" i="20" s="1"/>
  <c r="U573" i="20" a="1"/>
  <c r="U573" i="20" s="1"/>
  <c r="J177" i="20" a="1"/>
  <c r="J177" i="20" s="1"/>
  <c r="R177" i="20" a="1"/>
  <c r="R177" i="20" s="1"/>
  <c r="O173" i="20" a="1"/>
  <c r="O173" i="20" s="1"/>
  <c r="N173" i="20" a="1"/>
  <c r="N173" i="20" s="1"/>
  <c r="R173" i="20" a="1"/>
  <c r="R173" i="20" s="1"/>
  <c r="V173" i="20" a="1"/>
  <c r="V173" i="20" s="1"/>
  <c r="R872" i="20" a="1"/>
  <c r="R872" i="20" s="1"/>
  <c r="J872" i="20" a="1"/>
  <c r="J872" i="20" s="1"/>
  <c r="T846" i="20" a="1"/>
  <c r="T846" i="20" s="1"/>
  <c r="J821" i="20" a="1"/>
  <c r="J821" i="20" s="1"/>
  <c r="J819" i="20" a="1"/>
  <c r="J819" i="20" s="1"/>
  <c r="L818" i="20" a="1"/>
  <c r="L818" i="20" s="1"/>
  <c r="Q791" i="20" a="1"/>
  <c r="Q791" i="20" s="1"/>
  <c r="T685" i="20" a="1"/>
  <c r="T685" i="20" s="1"/>
  <c r="V684" i="20" a="1"/>
  <c r="V684" i="20" s="1"/>
  <c r="M684" i="20" a="1"/>
  <c r="M684" i="20" s="1"/>
  <c r="P680" i="20" a="1"/>
  <c r="P680" i="20" s="1"/>
  <c r="J620" i="20" a="1"/>
  <c r="J620" i="20" s="1"/>
  <c r="U620" i="20" a="1"/>
  <c r="U620" i="20" s="1"/>
  <c r="I290" i="20" a="1"/>
  <c r="I290" i="20" s="1"/>
  <c r="H290" i="20" a="1"/>
  <c r="H290" i="20" s="1"/>
  <c r="U290" i="20" a="1"/>
  <c r="U290" i="20" s="1"/>
  <c r="L290" i="20" a="1"/>
  <c r="L290" i="20" s="1"/>
  <c r="P290" i="20" a="1"/>
  <c r="P290" i="20" s="1"/>
  <c r="Q290" i="20" a="1"/>
  <c r="Q290" i="20" s="1"/>
  <c r="J960" i="20" a="1"/>
  <c r="J960" i="20" s="1"/>
  <c r="J932" i="20" a="1"/>
  <c r="J932" i="20" s="1"/>
  <c r="P876" i="20" a="1"/>
  <c r="P876" i="20" s="1"/>
  <c r="P872" i="20" a="1"/>
  <c r="P872" i="20" s="1"/>
  <c r="H872" i="20" a="1"/>
  <c r="H872" i="20" s="1"/>
  <c r="T849" i="20" a="1"/>
  <c r="T849" i="20" s="1"/>
  <c r="T847" i="20" a="1"/>
  <c r="T847" i="20" s="1"/>
  <c r="L846" i="20" a="1"/>
  <c r="L846" i="20" s="1"/>
  <c r="X819" i="20" a="1"/>
  <c r="X819" i="20" s="1"/>
  <c r="I819" i="20" a="1"/>
  <c r="I819" i="20" s="1"/>
  <c r="I818" i="20" a="1"/>
  <c r="I818" i="20" s="1"/>
  <c r="L792" i="20" a="1"/>
  <c r="L792" i="20" s="1"/>
  <c r="J791" i="20" a="1"/>
  <c r="J791" i="20" s="1"/>
  <c r="S707" i="20" a="1"/>
  <c r="S707" i="20" s="1"/>
  <c r="L685" i="20" a="1"/>
  <c r="L685" i="20" s="1"/>
  <c r="Y685" i="20" a="1"/>
  <c r="Y685" i="20" s="1"/>
  <c r="U684" i="20" a="1"/>
  <c r="U684" i="20" s="1"/>
  <c r="G682" i="20" a="1"/>
  <c r="G682" i="20" s="1"/>
  <c r="P682" i="20" a="1"/>
  <c r="P682" i="20" s="1"/>
  <c r="Q629" i="20" a="1"/>
  <c r="Q629" i="20" s="1"/>
  <c r="Q625" i="20" a="1"/>
  <c r="Q625" i="20" s="1"/>
  <c r="H233" i="20" a="1"/>
  <c r="H233" i="20" s="1"/>
  <c r="L233" i="20" a="1"/>
  <c r="L233" i="20" s="1"/>
  <c r="O233" i="20" a="1"/>
  <c r="O233" i="20" s="1"/>
  <c r="R233" i="20" a="1"/>
  <c r="R233" i="20" s="1"/>
  <c r="V233" i="20" a="1"/>
  <c r="V233" i="20" s="1"/>
  <c r="H231" i="20" a="1"/>
  <c r="H231" i="20" s="1"/>
  <c r="W231" i="20" a="1"/>
  <c r="W231" i="20" s="1"/>
  <c r="N231" i="20" a="1"/>
  <c r="N231" i="20" s="1"/>
  <c r="S231" i="20" a="1"/>
  <c r="S231" i="20" s="1"/>
  <c r="S1129" i="20" a="1"/>
  <c r="S1129" i="20" s="1"/>
  <c r="J707" i="20" a="1"/>
  <c r="J707" i="20" s="1"/>
  <c r="K684" i="20" a="1"/>
  <c r="K684" i="20" s="1"/>
  <c r="S684" i="20" a="1"/>
  <c r="S684" i="20" s="1"/>
  <c r="U682" i="20" a="1"/>
  <c r="U682" i="20" s="1"/>
  <c r="L679" i="20" a="1"/>
  <c r="L679" i="20" s="1"/>
  <c r="Q679" i="20" a="1"/>
  <c r="Q679" i="20" s="1"/>
  <c r="O649" i="20" a="1"/>
  <c r="O649" i="20" s="1"/>
  <c r="U649" i="20" a="1"/>
  <c r="U649" i="20" s="1"/>
  <c r="L629" i="20" a="1"/>
  <c r="L629" i="20" s="1"/>
  <c r="L625" i="20" a="1"/>
  <c r="L625" i="20" s="1"/>
  <c r="G570" i="20" a="1"/>
  <c r="G570" i="20" s="1"/>
  <c r="L570" i="20" a="1"/>
  <c r="L570" i="20" s="1"/>
  <c r="T570" i="20" a="1"/>
  <c r="T570" i="20" s="1"/>
  <c r="X544" i="20" a="1"/>
  <c r="X544" i="20" s="1"/>
  <c r="L544" i="20" a="1"/>
  <c r="L544" i="20" s="1"/>
  <c r="R544" i="20" a="1"/>
  <c r="R544" i="20" s="1"/>
  <c r="J431" i="20" a="1"/>
  <c r="J431" i="20" s="1"/>
  <c r="X431" i="20" a="1"/>
  <c r="X431" i="20" s="1"/>
  <c r="H431" i="20" a="1"/>
  <c r="H431" i="20" s="1"/>
  <c r="T431" i="20" a="1"/>
  <c r="T431" i="20" s="1"/>
  <c r="O538" i="20" a="1"/>
  <c r="O538" i="20" s="1"/>
  <c r="L515" i="20" a="1"/>
  <c r="L515" i="20" s="1"/>
  <c r="M489" i="20" a="1"/>
  <c r="M489" i="20" s="1"/>
  <c r="X483" i="20" a="1"/>
  <c r="X483" i="20" s="1"/>
  <c r="T453" i="20" a="1"/>
  <c r="T453" i="20" s="1"/>
  <c r="H453" i="20" a="1"/>
  <c r="H453" i="20" s="1"/>
  <c r="L430" i="20" a="1"/>
  <c r="L430" i="20" s="1"/>
  <c r="I428" i="20" a="1"/>
  <c r="I428" i="20" s="1"/>
  <c r="J425" i="20" a="1"/>
  <c r="J425" i="20" s="1"/>
  <c r="L398" i="20" a="1"/>
  <c r="L398" i="20" s="1"/>
  <c r="R396" i="20" a="1"/>
  <c r="R396" i="20" s="1"/>
  <c r="G396" i="20" a="1"/>
  <c r="G396" i="20" s="1"/>
  <c r="P370" i="20" a="1"/>
  <c r="P370" i="20" s="1"/>
  <c r="X368" i="20" a="1"/>
  <c r="X368" i="20" s="1"/>
  <c r="P347" i="20" a="1"/>
  <c r="P347" i="20" s="1"/>
  <c r="K343" i="20"/>
  <c r="M342" i="20" a="1"/>
  <c r="M342" i="20" s="1"/>
  <c r="H291" i="20" a="1"/>
  <c r="H291" i="20" s="1"/>
  <c r="Q289" i="20" a="1"/>
  <c r="Q289" i="20" s="1"/>
  <c r="J289" i="20" a="1"/>
  <c r="J289" i="20" s="1"/>
  <c r="X287" i="20" a="1"/>
  <c r="X287" i="20" s="1"/>
  <c r="R259" i="20" a="1"/>
  <c r="R259" i="20" s="1"/>
  <c r="J237" i="20" a="1"/>
  <c r="J237" i="20" s="1"/>
  <c r="J236" i="20" a="1"/>
  <c r="J236" i="20" s="1"/>
  <c r="X147" i="20" a="1"/>
  <c r="X147" i="20" s="1"/>
  <c r="L92" i="20" a="1"/>
  <c r="L92" i="20" s="1"/>
  <c r="M68" i="20" a="1"/>
  <c r="M68" i="20" s="1"/>
  <c r="U62" i="20" a="1"/>
  <c r="U62" i="20" s="1"/>
  <c r="U60" i="20" a="1"/>
  <c r="U60" i="20" s="1"/>
  <c r="U33" i="20" a="1"/>
  <c r="U33" i="20" s="1"/>
  <c r="W538" i="20" a="1"/>
  <c r="W538" i="20" s="1"/>
  <c r="Y515" i="20" a="1"/>
  <c r="Y515" i="20" s="1"/>
  <c r="W489" i="20" a="1"/>
  <c r="W489" i="20" s="1"/>
  <c r="L485" i="20" a="1"/>
  <c r="L485" i="20" s="1"/>
  <c r="K484" i="20"/>
  <c r="V480" i="20" a="1"/>
  <c r="V480" i="20" s="1"/>
  <c r="J480" i="20" a="1"/>
  <c r="J480" i="20" s="1"/>
  <c r="X457" i="20" a="1"/>
  <c r="X457" i="20" s="1"/>
  <c r="J457" i="20" a="1"/>
  <c r="J457" i="20" s="1"/>
  <c r="X455" i="20" a="1"/>
  <c r="X455" i="20" s="1"/>
  <c r="L453" i="20" a="1"/>
  <c r="L453" i="20" s="1"/>
  <c r="T452" i="20" a="1"/>
  <c r="T452" i="20" s="1"/>
  <c r="P427" i="20" a="1"/>
  <c r="P427" i="20" s="1"/>
  <c r="P425" i="20" a="1"/>
  <c r="P425" i="20" s="1"/>
  <c r="T424" i="20" a="1"/>
  <c r="T424" i="20" s="1"/>
  <c r="L401" i="20" a="1"/>
  <c r="L401" i="20" s="1"/>
  <c r="L400" i="20" a="1"/>
  <c r="L400" i="20" s="1"/>
  <c r="K396" i="20"/>
  <c r="T374" i="20" a="1"/>
  <c r="T374" i="20" s="1"/>
  <c r="L373" i="20" a="1"/>
  <c r="L373" i="20" s="1"/>
  <c r="T369" i="20" a="1"/>
  <c r="T369" i="20" s="1"/>
  <c r="N368" i="20" a="1"/>
  <c r="N368" i="20" s="1"/>
  <c r="Y342" i="20" a="1"/>
  <c r="Y342" i="20" s="1"/>
  <c r="L313" i="20" a="1"/>
  <c r="L313" i="20" s="1"/>
  <c r="I312" i="20" a="1"/>
  <c r="I312" i="20" s="1"/>
  <c r="Q291" i="20" a="1"/>
  <c r="Q291" i="20" s="1"/>
  <c r="X289" i="20" a="1"/>
  <c r="X289" i="20" s="1"/>
  <c r="M289" i="20" a="1"/>
  <c r="M289" i="20" s="1"/>
  <c r="Y288" i="20" a="1"/>
  <c r="Y288" i="20" s="1"/>
  <c r="Q286" i="20" a="1"/>
  <c r="Q286" i="20" s="1"/>
  <c r="U284" i="20" a="1"/>
  <c r="U284" i="20" s="1"/>
  <c r="R237" i="20" a="1"/>
  <c r="R237" i="20" s="1"/>
  <c r="W232" i="20" a="1"/>
  <c r="W232" i="20" s="1"/>
  <c r="Y201" i="20" a="1"/>
  <c r="Y201" i="20" s="1"/>
  <c r="J201" i="20" a="1"/>
  <c r="J201" i="20" s="1"/>
  <c r="L149" i="20" a="1"/>
  <c r="L149" i="20" s="1"/>
  <c r="U147" i="20" a="1"/>
  <c r="U147" i="20" s="1"/>
  <c r="T146" i="20" a="1"/>
  <c r="T146" i="20" s="1"/>
  <c r="I121" i="20" a="1"/>
  <c r="I121" i="20" s="1"/>
  <c r="L117" i="20" a="1"/>
  <c r="L117" i="20" s="1"/>
  <c r="J92" i="20" a="1"/>
  <c r="J92" i="20" s="1"/>
  <c r="T90" i="20" a="1"/>
  <c r="T90" i="20" s="1"/>
  <c r="N89" i="20" a="1"/>
  <c r="N89" i="20" s="1"/>
  <c r="V69" i="20" a="1"/>
  <c r="V69" i="20" s="1"/>
  <c r="K68" i="20" a="1"/>
  <c r="K68" i="20" s="1"/>
  <c r="W63" i="20" a="1"/>
  <c r="W63" i="20" s="1"/>
  <c r="N60" i="20" a="1"/>
  <c r="N60" i="20" s="1"/>
  <c r="I35" i="20" a="1"/>
  <c r="I35" i="20" s="1"/>
  <c r="R538" i="20" a="1"/>
  <c r="R538" i="20" s="1"/>
  <c r="Q515" i="20" a="1"/>
  <c r="Q515" i="20" s="1"/>
  <c r="O489" i="20" a="1"/>
  <c r="O489" i="20" s="1"/>
  <c r="P481" i="20" a="1"/>
  <c r="P481" i="20" s="1"/>
  <c r="T480" i="20" a="1"/>
  <c r="T480" i="20" s="1"/>
  <c r="T457" i="20" a="1"/>
  <c r="T457" i="20" s="1"/>
  <c r="I457" i="20" a="1"/>
  <c r="I457" i="20" s="1"/>
  <c r="X453" i="20" a="1"/>
  <c r="X453" i="20" s="1"/>
  <c r="J453" i="20" a="1"/>
  <c r="J453" i="20" s="1"/>
  <c r="L428" i="20" a="1"/>
  <c r="L428" i="20" s="1"/>
  <c r="K425" i="20"/>
  <c r="X398" i="20" a="1"/>
  <c r="X398" i="20" s="1"/>
  <c r="X396" i="20" a="1"/>
  <c r="X396" i="20" s="1"/>
  <c r="J396" i="20" a="1"/>
  <c r="J396" i="20" s="1"/>
  <c r="K368" i="20"/>
  <c r="P291" i="20" a="1"/>
  <c r="P291" i="20" s="1"/>
  <c r="U289" i="20" a="1"/>
  <c r="U289" i="20" s="1"/>
  <c r="L289" i="20" a="1"/>
  <c r="L289" i="20" s="1"/>
  <c r="N237" i="20" a="1"/>
  <c r="N237" i="20" s="1"/>
  <c r="X236" i="20" a="1"/>
  <c r="X236" i="20" s="1"/>
  <c r="S232" i="20" a="1"/>
  <c r="S232" i="20" s="1"/>
  <c r="X205" i="20" a="1"/>
  <c r="X205" i="20" s="1"/>
  <c r="L150" i="20" a="1"/>
  <c r="L150" i="20" s="1"/>
  <c r="J147" i="20" a="1"/>
  <c r="J147" i="20" s="1"/>
  <c r="X117" i="20" a="1"/>
  <c r="X117" i="20" s="1"/>
  <c r="J117" i="20" a="1"/>
  <c r="J117" i="20" s="1"/>
  <c r="X92" i="20" a="1"/>
  <c r="X92" i="20" s="1"/>
  <c r="J89" i="20" a="1"/>
  <c r="J89" i="20" s="1"/>
  <c r="I68" i="20" a="1"/>
  <c r="I68" i="20" s="1"/>
  <c r="M61" i="20" a="1"/>
  <c r="M61" i="20" s="1"/>
  <c r="H1128" i="20" a="1"/>
  <c r="H1128" i="20" s="1"/>
  <c r="O1128" i="20" a="1"/>
  <c r="O1128" i="20" s="1"/>
  <c r="S1128" i="20" a="1"/>
  <c r="S1128" i="20" s="1"/>
  <c r="W1128" i="20" a="1"/>
  <c r="W1128" i="20" s="1"/>
  <c r="M1131" i="20" a="1"/>
  <c r="M1131" i="20" s="1"/>
  <c r="U1131" i="20" a="1"/>
  <c r="U1131" i="20" s="1"/>
  <c r="K1131" i="20" a="1"/>
  <c r="K1131" i="20" s="1"/>
  <c r="S1131" i="20" a="1"/>
  <c r="S1131" i="20" s="1"/>
  <c r="G1131" i="20" a="1"/>
  <c r="G1131" i="20" s="1"/>
  <c r="O1131" i="20" a="1"/>
  <c r="O1131" i="20" s="1"/>
  <c r="W1131" i="20" a="1"/>
  <c r="W1131" i="20" s="1"/>
  <c r="I1131" i="20" a="1"/>
  <c r="I1131" i="20" s="1"/>
  <c r="Q1131" i="20" a="1"/>
  <c r="Q1131" i="20" s="1"/>
  <c r="Y1131" i="20" a="1"/>
  <c r="Y1131" i="20" s="1"/>
  <c r="H1126" i="20" a="1"/>
  <c r="H1126" i="20" s="1"/>
  <c r="S1126" i="20" a="1"/>
  <c r="S1126" i="20" s="1"/>
  <c r="W1126" i="20" a="1"/>
  <c r="W1126" i="20" s="1"/>
  <c r="O1126" i="20" a="1"/>
  <c r="O1126" i="20" s="1"/>
  <c r="H1124" i="20" a="1"/>
  <c r="H1124" i="20" s="1"/>
  <c r="O1124" i="20" a="1"/>
  <c r="O1124" i="20" s="1"/>
  <c r="S1124" i="20" a="1"/>
  <c r="S1124" i="20" s="1"/>
  <c r="W1124" i="20" a="1"/>
  <c r="W1124" i="20" s="1"/>
  <c r="P850" i="20" a="1"/>
  <c r="P850" i="20" s="1"/>
  <c r="T850" i="20" a="1"/>
  <c r="T850" i="20" s="1"/>
  <c r="H850" i="20" a="1"/>
  <c r="H850" i="20" s="1"/>
  <c r="X850" i="20" a="1"/>
  <c r="X850" i="20" s="1"/>
  <c r="L850" i="20" a="1"/>
  <c r="L850" i="20" s="1"/>
  <c r="J822" i="20" a="1"/>
  <c r="J822" i="20" s="1"/>
  <c r="L822" i="20" a="1"/>
  <c r="L822" i="20" s="1"/>
  <c r="T822" i="20" a="1"/>
  <c r="T822" i="20" s="1"/>
  <c r="G767" i="20" a="1"/>
  <c r="G767" i="20" s="1"/>
  <c r="Q767" i="20" a="1"/>
  <c r="Q767" i="20" s="1"/>
  <c r="T767" i="20" a="1"/>
  <c r="T767" i="20" s="1"/>
  <c r="I767" i="20" a="1"/>
  <c r="I767" i="20" s="1"/>
  <c r="Y767" i="20" a="1"/>
  <c r="Y767" i="20" s="1"/>
  <c r="L767" i="20" a="1"/>
  <c r="L767" i="20" s="1"/>
  <c r="H762" i="20" a="1"/>
  <c r="H762" i="20" s="1"/>
  <c r="R762" i="20" a="1"/>
  <c r="R762" i="20" s="1"/>
  <c r="S762" i="20" a="1"/>
  <c r="S762" i="20" s="1"/>
  <c r="N762" i="20" a="1"/>
  <c r="N762" i="20" s="1"/>
  <c r="V762" i="20" a="1"/>
  <c r="V762" i="20" s="1"/>
  <c r="O762" i="20" a="1"/>
  <c r="O762" i="20" s="1"/>
  <c r="W762" i="20" a="1"/>
  <c r="W762" i="20" s="1"/>
  <c r="G739" i="20" a="1"/>
  <c r="G739" i="20" s="1"/>
  <c r="I739" i="20" a="1"/>
  <c r="I739" i="20" s="1"/>
  <c r="Q739" i="20" a="1"/>
  <c r="Q739" i="20" s="1"/>
  <c r="Y739" i="20" a="1"/>
  <c r="Y739" i="20" s="1"/>
  <c r="M739" i="20" a="1"/>
  <c r="M739" i="20" s="1"/>
  <c r="X739" i="20" a="1"/>
  <c r="X739" i="20" s="1"/>
  <c r="P739" i="20" a="1"/>
  <c r="P739" i="20" s="1"/>
  <c r="H739" i="20" a="1"/>
  <c r="H739" i="20" s="1"/>
  <c r="T739" i="20" a="1"/>
  <c r="T739" i="20" s="1"/>
  <c r="L739" i="20" a="1"/>
  <c r="L739" i="20" s="1"/>
  <c r="U739" i="20" a="1"/>
  <c r="U739" i="20" s="1"/>
  <c r="M704" i="20" a="1"/>
  <c r="M704" i="20" s="1"/>
  <c r="R704" i="20" a="1"/>
  <c r="R704" i="20" s="1"/>
  <c r="W704" i="20" a="1"/>
  <c r="W704" i="20" s="1"/>
  <c r="T852" i="20" a="1"/>
  <c r="T852" i="20" s="1"/>
  <c r="H852" i="20" a="1"/>
  <c r="H852" i="20" s="1"/>
  <c r="X852" i="20" a="1"/>
  <c r="X852" i="20" s="1"/>
  <c r="L852" i="20" a="1"/>
  <c r="L852" i="20" s="1"/>
  <c r="P852" i="20" a="1"/>
  <c r="P852" i="20" s="1"/>
  <c r="I797" i="20" a="1"/>
  <c r="I797" i="20" s="1"/>
  <c r="Q797" i="20" a="1"/>
  <c r="Q797" i="20" s="1"/>
  <c r="H797" i="20" a="1"/>
  <c r="H797" i="20" s="1"/>
  <c r="X797" i="20" a="1"/>
  <c r="X797" i="20" s="1"/>
  <c r="L797" i="20" a="1"/>
  <c r="L797" i="20" s="1"/>
  <c r="M797" i="20" a="1"/>
  <c r="M797" i="20" s="1"/>
  <c r="J761" i="20" a="1"/>
  <c r="J761" i="20" s="1"/>
  <c r="R761" i="20" a="1"/>
  <c r="R761" i="20" s="1"/>
  <c r="O761" i="20" a="1"/>
  <c r="O761" i="20" s="1"/>
  <c r="W761" i="20" a="1"/>
  <c r="W761" i="20" s="1"/>
  <c r="K738" i="20" a="1"/>
  <c r="K738" i="20" s="1"/>
  <c r="I738" i="20" a="1"/>
  <c r="I738" i="20" s="1"/>
  <c r="Y738" i="20" a="1"/>
  <c r="Y738" i="20" s="1"/>
  <c r="L738" i="20" a="1"/>
  <c r="L738" i="20" s="1"/>
  <c r="Q738" i="20" a="1"/>
  <c r="Q738" i="20" s="1"/>
  <c r="T738" i="20" a="1"/>
  <c r="T738" i="20" s="1"/>
  <c r="S1132" i="20" a="1"/>
  <c r="S1132" i="20" s="1"/>
  <c r="G1132" i="20" a="1"/>
  <c r="G1132" i="20" s="1"/>
  <c r="W1132" i="20" a="1"/>
  <c r="W1132" i="20" s="1"/>
  <c r="O1132" i="20" a="1"/>
  <c r="O1132" i="20" s="1"/>
  <c r="K1132" i="20" a="1"/>
  <c r="K1132" i="20" s="1"/>
  <c r="J881" i="20" a="1"/>
  <c r="J881" i="20" s="1"/>
  <c r="L881" i="20" a="1"/>
  <c r="L881" i="20" s="1"/>
  <c r="T881" i="20" a="1"/>
  <c r="T881" i="20" s="1"/>
  <c r="J878" i="20" a="1"/>
  <c r="J878" i="20" s="1"/>
  <c r="T878" i="20" a="1"/>
  <c r="T878" i="20" s="1"/>
  <c r="H878" i="20" a="1"/>
  <c r="H878" i="20" s="1"/>
  <c r="X878" i="20" a="1"/>
  <c r="X878" i="20" s="1"/>
  <c r="L878" i="20" a="1"/>
  <c r="L878" i="20" s="1"/>
  <c r="P878" i="20" a="1"/>
  <c r="P878" i="20" s="1"/>
  <c r="J851" i="20" a="1"/>
  <c r="J851" i="20" s="1"/>
  <c r="L851" i="20" a="1"/>
  <c r="L851" i="20" s="1"/>
  <c r="T851" i="20" a="1"/>
  <c r="T851" i="20" s="1"/>
  <c r="J823" i="20" a="1"/>
  <c r="J823" i="20" s="1"/>
  <c r="T823" i="20" a="1"/>
  <c r="T823" i="20" s="1"/>
  <c r="H823" i="20" a="1"/>
  <c r="H823" i="20" s="1"/>
  <c r="X823" i="20" a="1"/>
  <c r="X823" i="20" s="1"/>
  <c r="L823" i="20" a="1"/>
  <c r="L823" i="20" s="1"/>
  <c r="P823" i="20" a="1"/>
  <c r="P823" i="20" s="1"/>
  <c r="H817" i="20" a="1"/>
  <c r="H817" i="20" s="1"/>
  <c r="X817" i="20" a="1"/>
  <c r="X817" i="20" s="1"/>
  <c r="J817" i="20" a="1"/>
  <c r="J817" i="20" s="1"/>
  <c r="P817" i="20" a="1"/>
  <c r="P817" i="20" s="1"/>
  <c r="R817" i="20" a="1"/>
  <c r="R817" i="20" s="1"/>
  <c r="I796" i="20" a="1"/>
  <c r="I796" i="20" s="1"/>
  <c r="M796" i="20" a="1"/>
  <c r="M796" i="20" s="1"/>
  <c r="Q796" i="20" a="1"/>
  <c r="Q796" i="20" s="1"/>
  <c r="H796" i="20" a="1"/>
  <c r="H796" i="20" s="1"/>
  <c r="X796" i="20" a="1"/>
  <c r="X796" i="20" s="1"/>
  <c r="L796" i="20" a="1"/>
  <c r="L796" i="20" s="1"/>
  <c r="I794" i="20" a="1"/>
  <c r="I794" i="20" s="1"/>
  <c r="H794" i="20" a="1"/>
  <c r="H794" i="20" s="1"/>
  <c r="X794" i="20" a="1"/>
  <c r="X794" i="20" s="1"/>
  <c r="L794" i="20" a="1"/>
  <c r="L794" i="20" s="1"/>
  <c r="M794" i="20" a="1"/>
  <c r="M794" i="20" s="1"/>
  <c r="Q794" i="20" a="1"/>
  <c r="Q794" i="20" s="1"/>
  <c r="X795" i="20" a="1"/>
  <c r="X795" i="20" s="1"/>
  <c r="H795" i="20" a="1"/>
  <c r="H795" i="20" s="1"/>
  <c r="V760" i="20" a="1"/>
  <c r="V760" i="20" s="1"/>
  <c r="U709" i="20" a="1"/>
  <c r="U709" i="20" s="1"/>
  <c r="H705" i="20" a="1"/>
  <c r="H705" i="20" s="1"/>
  <c r="Q705" i="20" a="1"/>
  <c r="Q705" i="20" s="1"/>
  <c r="G656" i="20" a="1"/>
  <c r="G656" i="20" s="1"/>
  <c r="T656" i="20" a="1"/>
  <c r="T656" i="20" s="1"/>
  <c r="I656" i="20" a="1"/>
  <c r="I656" i="20" s="1"/>
  <c r="Y656" i="20" a="1"/>
  <c r="Y656" i="20" s="1"/>
  <c r="L656" i="20" a="1"/>
  <c r="L656" i="20" s="1"/>
  <c r="K655" i="20" a="1"/>
  <c r="K655" i="20" s="1"/>
  <c r="G655" i="20" a="1"/>
  <c r="G655" i="20" s="1"/>
  <c r="L655" i="20" a="1"/>
  <c r="L655" i="20" s="1"/>
  <c r="Q655" i="20" a="1"/>
  <c r="Q655" i="20" s="1"/>
  <c r="W655" i="20" a="1"/>
  <c r="W655" i="20" s="1"/>
  <c r="H655" i="20" a="1"/>
  <c r="H655" i="20" s="1"/>
  <c r="M655" i="20" a="1"/>
  <c r="M655" i="20" s="1"/>
  <c r="R655" i="20" a="1"/>
  <c r="R655" i="20" s="1"/>
  <c r="X655" i="20" a="1"/>
  <c r="X655" i="20" s="1"/>
  <c r="I655" i="20" a="1"/>
  <c r="I655" i="20" s="1"/>
  <c r="O655" i="20" a="1"/>
  <c r="O655" i="20" s="1"/>
  <c r="T655" i="20" a="1"/>
  <c r="T655" i="20" s="1"/>
  <c r="Y655" i="20" a="1"/>
  <c r="Y655" i="20" s="1"/>
  <c r="P651" i="20" a="1"/>
  <c r="P651" i="20" s="1"/>
  <c r="X651" i="20" a="1"/>
  <c r="X651" i="20" s="1"/>
  <c r="J651" i="20" a="1"/>
  <c r="J651" i="20" s="1"/>
  <c r="R651" i="20" a="1"/>
  <c r="R651" i="20" s="1"/>
  <c r="M651" i="20" a="1"/>
  <c r="M651" i="20" s="1"/>
  <c r="U651" i="20" a="1"/>
  <c r="U651" i="20" s="1"/>
  <c r="L628" i="20" a="1"/>
  <c r="L628" i="20" s="1"/>
  <c r="M628" i="20" a="1"/>
  <c r="M628" i="20" s="1"/>
  <c r="Q628" i="20" a="1"/>
  <c r="Q628" i="20" s="1"/>
  <c r="H601" i="20" a="1"/>
  <c r="H601" i="20" s="1"/>
  <c r="L601" i="20" a="1"/>
  <c r="L601" i="20" s="1"/>
  <c r="T601" i="20" a="1"/>
  <c r="T601" i="20" s="1"/>
  <c r="G601" i="20" a="1"/>
  <c r="G601" i="20" s="1"/>
  <c r="O601" i="20" a="1"/>
  <c r="O601" i="20" s="1"/>
  <c r="W601" i="20" a="1"/>
  <c r="W601" i="20" s="1"/>
  <c r="I601" i="20" a="1"/>
  <c r="I601" i="20" s="1"/>
  <c r="Q601" i="20" a="1"/>
  <c r="Q601" i="20" s="1"/>
  <c r="Y601" i="20" a="1"/>
  <c r="Y601" i="20" s="1"/>
  <c r="J601" i="20" a="1"/>
  <c r="J601" i="20" s="1"/>
  <c r="R601" i="20" a="1"/>
  <c r="R601" i="20" s="1"/>
  <c r="J597" i="20" a="1"/>
  <c r="J597" i="20" s="1"/>
  <c r="O597" i="20" a="1"/>
  <c r="O597" i="20" s="1"/>
  <c r="R597" i="20" a="1"/>
  <c r="R597" i="20" s="1"/>
  <c r="W597" i="20" a="1"/>
  <c r="W597" i="20" s="1"/>
  <c r="J593" i="20" a="1"/>
  <c r="J593" i="20" s="1"/>
  <c r="O593" i="20" a="1"/>
  <c r="O593" i="20" s="1"/>
  <c r="R593" i="20" a="1"/>
  <c r="R593" i="20" s="1"/>
  <c r="W593" i="20" a="1"/>
  <c r="W593" i="20" s="1"/>
  <c r="J540" i="20" a="1"/>
  <c r="J540" i="20" s="1"/>
  <c r="R540" i="20" a="1"/>
  <c r="R540" i="20" s="1"/>
  <c r="O540" i="20" a="1"/>
  <c r="O540" i="20" s="1"/>
  <c r="W540" i="20" a="1"/>
  <c r="W540" i="20" s="1"/>
  <c r="G517" i="20" a="1"/>
  <c r="G517" i="20" s="1"/>
  <c r="I517" i="20" a="1"/>
  <c r="I517" i="20" s="1"/>
  <c r="Y517" i="20" a="1"/>
  <c r="Y517" i="20" s="1"/>
  <c r="T517" i="20" a="1"/>
  <c r="T517" i="20" s="1"/>
  <c r="L517" i="20" a="1"/>
  <c r="L517" i="20" s="1"/>
  <c r="Q517" i="20" a="1"/>
  <c r="Q517" i="20" s="1"/>
  <c r="O1133" i="20" a="1"/>
  <c r="O1133" i="20" s="1"/>
  <c r="O1129" i="20" a="1"/>
  <c r="O1129" i="20" s="1"/>
  <c r="W1127" i="20" a="1"/>
  <c r="W1127" i="20" s="1"/>
  <c r="O1125" i="20" a="1"/>
  <c r="O1125" i="20" s="1"/>
  <c r="J901" i="20" a="1"/>
  <c r="J901" i="20" s="1"/>
  <c r="T877" i="20" a="1"/>
  <c r="T877" i="20" s="1"/>
  <c r="X876" i="20" a="1"/>
  <c r="X876" i="20" s="1"/>
  <c r="J876" i="20" a="1"/>
  <c r="J876" i="20" s="1"/>
  <c r="L875" i="20" a="1"/>
  <c r="L875" i="20" s="1"/>
  <c r="T874" i="20" a="1"/>
  <c r="T874" i="20" s="1"/>
  <c r="J874" i="20" a="1"/>
  <c r="J874" i="20" s="1"/>
  <c r="T873" i="20" a="1"/>
  <c r="T873" i="20" s="1"/>
  <c r="L849" i="20" a="1"/>
  <c r="L849" i="20" s="1"/>
  <c r="L848" i="20" a="1"/>
  <c r="L848" i="20" s="1"/>
  <c r="X825" i="20" a="1"/>
  <c r="X825" i="20" s="1"/>
  <c r="L825" i="20" a="1"/>
  <c r="L825" i="20" s="1"/>
  <c r="Y816" i="20" a="1"/>
  <c r="Y816" i="20" s="1"/>
  <c r="O760" i="20" a="1"/>
  <c r="O760" i="20" s="1"/>
  <c r="W760" i="20" a="1"/>
  <c r="W760" i="20" s="1"/>
  <c r="K740" i="20" a="1"/>
  <c r="K740" i="20" s="1"/>
  <c r="L740" i="20" a="1"/>
  <c r="L740" i="20" s="1"/>
  <c r="G710" i="20" a="1"/>
  <c r="G710" i="20" s="1"/>
  <c r="I710" i="20" a="1"/>
  <c r="I710" i="20" s="1"/>
  <c r="Y710" i="20" a="1"/>
  <c r="Y710" i="20" s="1"/>
  <c r="O709" i="20" a="1"/>
  <c r="O709" i="20" s="1"/>
  <c r="W709" i="20" a="1"/>
  <c r="W709" i="20" s="1"/>
  <c r="V707" i="20" a="1"/>
  <c r="V707" i="20" s="1"/>
  <c r="H707" i="20" a="1"/>
  <c r="H707" i="20" s="1"/>
  <c r="P707" i="20" a="1"/>
  <c r="P707" i="20" s="1"/>
  <c r="L706" i="20" a="1"/>
  <c r="L706" i="20" s="1"/>
  <c r="R706" i="20" a="1"/>
  <c r="R706" i="20" s="1"/>
  <c r="R648" i="20" a="1"/>
  <c r="R648" i="20" s="1"/>
  <c r="V648" i="20" a="1"/>
  <c r="V648" i="20" s="1"/>
  <c r="Q626" i="20" a="1"/>
  <c r="Q626" i="20" s="1"/>
  <c r="H626" i="20" a="1"/>
  <c r="H626" i="20" s="1"/>
  <c r="X626" i="20" a="1"/>
  <c r="X626" i="20" s="1"/>
  <c r="L626" i="20" a="1"/>
  <c r="L626" i="20" s="1"/>
  <c r="K516" i="20" a="1"/>
  <c r="K516" i="20" s="1"/>
  <c r="H516" i="20" a="1"/>
  <c r="H516" i="20" s="1"/>
  <c r="P516" i="20" a="1"/>
  <c r="P516" i="20" s="1"/>
  <c r="X516" i="20" a="1"/>
  <c r="X516" i="20" s="1"/>
  <c r="Q516" i="20" a="1"/>
  <c r="Q516" i="20" s="1"/>
  <c r="I516" i="20" a="1"/>
  <c r="I516" i="20" s="1"/>
  <c r="T516" i="20" a="1"/>
  <c r="T516" i="20" s="1"/>
  <c r="L516" i="20" a="1"/>
  <c r="L516" i="20" s="1"/>
  <c r="U516" i="20" a="1"/>
  <c r="U516" i="20" s="1"/>
  <c r="M516" i="20" a="1"/>
  <c r="M516" i="20" s="1"/>
  <c r="Y516" i="20" a="1"/>
  <c r="Y516" i="20" s="1"/>
  <c r="K1133" i="20" a="1"/>
  <c r="K1133" i="20" s="1"/>
  <c r="J959" i="20" a="1"/>
  <c r="J959" i="20" s="1"/>
  <c r="J957" i="20" a="1"/>
  <c r="J957" i="20" s="1"/>
  <c r="T879" i="20" a="1"/>
  <c r="T879" i="20" s="1"/>
  <c r="L877" i="20" a="1"/>
  <c r="L877" i="20" s="1"/>
  <c r="T876" i="20" a="1"/>
  <c r="T876" i="20" s="1"/>
  <c r="I876" i="20" a="1"/>
  <c r="I876" i="20" s="1"/>
  <c r="I875" i="20" a="1"/>
  <c r="I875" i="20" s="1"/>
  <c r="R874" i="20" a="1"/>
  <c r="R874" i="20" s="1"/>
  <c r="I874" i="20" a="1"/>
  <c r="I874" i="20" s="1"/>
  <c r="L873" i="20" a="1"/>
  <c r="L873" i="20" s="1"/>
  <c r="V872" i="20" a="1"/>
  <c r="V872" i="20" s="1"/>
  <c r="N872" i="20" a="1"/>
  <c r="N872" i="20" s="1"/>
  <c r="T853" i="20" a="1"/>
  <c r="T853" i="20" s="1"/>
  <c r="I849" i="20" a="1"/>
  <c r="I849" i="20" s="1"/>
  <c r="I847" i="20" a="1"/>
  <c r="I847" i="20" s="1"/>
  <c r="T825" i="20" a="1"/>
  <c r="T825" i="20" s="1"/>
  <c r="J825" i="20" a="1"/>
  <c r="J825" i="20" s="1"/>
  <c r="T824" i="20" a="1"/>
  <c r="T824" i="20" s="1"/>
  <c r="T821" i="20" a="1"/>
  <c r="T821" i="20" s="1"/>
  <c r="I821" i="20" a="1"/>
  <c r="I821" i="20" s="1"/>
  <c r="I820" i="20" a="1"/>
  <c r="I820" i="20" s="1"/>
  <c r="V816" i="20" a="1"/>
  <c r="V816" i="20" s="1"/>
  <c r="M795" i="20" a="1"/>
  <c r="M795" i="20" s="1"/>
  <c r="Y791" i="20" a="1"/>
  <c r="Y791" i="20" s="1"/>
  <c r="P791" i="20" a="1"/>
  <c r="P791" i="20" s="1"/>
  <c r="Y790" i="20" a="1"/>
  <c r="Y790" i="20" s="1"/>
  <c r="R760" i="20" a="1"/>
  <c r="R760" i="20" s="1"/>
  <c r="Q741" i="20" a="1"/>
  <c r="Q741" i="20" s="1"/>
  <c r="T740" i="20" a="1"/>
  <c r="T740" i="20" s="1"/>
  <c r="T710" i="20" a="1"/>
  <c r="T710" i="20" s="1"/>
  <c r="P709" i="20" a="1"/>
  <c r="P709" i="20" s="1"/>
  <c r="N707" i="20" a="1"/>
  <c r="N707" i="20" s="1"/>
  <c r="Y706" i="20" a="1"/>
  <c r="Y706" i="20" s="1"/>
  <c r="L683" i="20" a="1"/>
  <c r="L683" i="20" s="1"/>
  <c r="T683" i="20" a="1"/>
  <c r="T683" i="20" s="1"/>
  <c r="T681" i="20" a="1"/>
  <c r="T681" i="20" s="1"/>
  <c r="Q681" i="20" a="1"/>
  <c r="Q681" i="20" s="1"/>
  <c r="P655" i="20" a="1"/>
  <c r="P655" i="20" s="1"/>
  <c r="W651" i="20" a="1"/>
  <c r="W651" i="20" s="1"/>
  <c r="H627" i="20" a="1"/>
  <c r="H627" i="20" s="1"/>
  <c r="X627" i="20" a="1"/>
  <c r="X627" i="20" s="1"/>
  <c r="L627" i="20" a="1"/>
  <c r="L627" i="20" s="1"/>
  <c r="M627" i="20" a="1"/>
  <c r="M627" i="20" s="1"/>
  <c r="L624" i="20" a="1"/>
  <c r="L624" i="20" s="1"/>
  <c r="Q624" i="20" a="1"/>
  <c r="Q624" i="20" s="1"/>
  <c r="H599" i="20" a="1"/>
  <c r="H599" i="20" s="1"/>
  <c r="I599" i="20" a="1"/>
  <c r="I599" i="20" s="1"/>
  <c r="O599" i="20" a="1"/>
  <c r="O599" i="20" s="1"/>
  <c r="W599" i="20" a="1"/>
  <c r="W599" i="20" s="1"/>
  <c r="J599" i="20" a="1"/>
  <c r="J599" i="20" s="1"/>
  <c r="Q599" i="20" a="1"/>
  <c r="Q599" i="20" s="1"/>
  <c r="Y599" i="20" a="1"/>
  <c r="Y599" i="20" s="1"/>
  <c r="L599" i="20" a="1"/>
  <c r="L599" i="20" s="1"/>
  <c r="R599" i="20" a="1"/>
  <c r="R599" i="20" s="1"/>
  <c r="G599" i="20" a="1"/>
  <c r="G599" i="20" s="1"/>
  <c r="T599" i="20" a="1"/>
  <c r="T599" i="20" s="1"/>
  <c r="J595" i="20" a="1"/>
  <c r="J595" i="20" s="1"/>
  <c r="R595" i="20" a="1"/>
  <c r="R595" i="20" s="1"/>
  <c r="W595" i="20" a="1"/>
  <c r="W595" i="20" s="1"/>
  <c r="O595" i="20" a="1"/>
  <c r="O595" i="20" s="1"/>
  <c r="G572" i="20" a="1"/>
  <c r="G572" i="20" s="1"/>
  <c r="T572" i="20" a="1"/>
  <c r="T572" i="20" s="1"/>
  <c r="I572" i="20" a="1"/>
  <c r="I572" i="20" s="1"/>
  <c r="Y572" i="20" a="1"/>
  <c r="Y572" i="20" s="1"/>
  <c r="L572" i="20" a="1"/>
  <c r="L572" i="20" s="1"/>
  <c r="Q572" i="20" a="1"/>
  <c r="Q572" i="20" s="1"/>
  <c r="S1127" i="20" a="1"/>
  <c r="S1127" i="20" s="1"/>
  <c r="W1133" i="20" a="1"/>
  <c r="W1133" i="20" s="1"/>
  <c r="W1129" i="20" a="1"/>
  <c r="W1129" i="20" s="1"/>
  <c r="O1127" i="20" a="1"/>
  <c r="O1127" i="20" s="1"/>
  <c r="W1125" i="20" a="1"/>
  <c r="W1125" i="20" s="1"/>
  <c r="J933" i="20" a="1"/>
  <c r="J933" i="20" s="1"/>
  <c r="J931" i="20" a="1"/>
  <c r="J931" i="20" s="1"/>
  <c r="J929" i="20" a="1"/>
  <c r="J929" i="20" s="1"/>
  <c r="L879" i="20" a="1"/>
  <c r="L879" i="20" s="1"/>
  <c r="I877" i="20" a="1"/>
  <c r="I877" i="20" s="1"/>
  <c r="P874" i="20" a="1"/>
  <c r="P874" i="20" s="1"/>
  <c r="G874" i="20" a="1"/>
  <c r="G874" i="20" s="1"/>
  <c r="L853" i="20" a="1"/>
  <c r="L853" i="20" s="1"/>
  <c r="R825" i="20" a="1"/>
  <c r="R825" i="20" s="1"/>
  <c r="H825" i="20" a="1"/>
  <c r="H825" i="20" s="1"/>
  <c r="L824" i="20" a="1"/>
  <c r="L824" i="20" s="1"/>
  <c r="L819" i="20" a="1"/>
  <c r="L819" i="20" s="1"/>
  <c r="R816" i="20" a="1"/>
  <c r="R816" i="20" s="1"/>
  <c r="L795" i="20" a="1"/>
  <c r="L795" i="20" s="1"/>
  <c r="Q792" i="20" a="1"/>
  <c r="Q792" i="20" s="1"/>
  <c r="U791" i="20" a="1"/>
  <c r="U791" i="20" s="1"/>
  <c r="N760" i="20" a="1"/>
  <c r="N760" i="20" s="1"/>
  <c r="G741" i="20" a="1"/>
  <c r="G741" i="20" s="1"/>
  <c r="L741" i="20" a="1"/>
  <c r="L741" i="20" s="1"/>
  <c r="T741" i="20" a="1"/>
  <c r="T741" i="20" s="1"/>
  <c r="Q740" i="20" a="1"/>
  <c r="Q740" i="20" s="1"/>
  <c r="Q710" i="20" a="1"/>
  <c r="Q710" i="20" s="1"/>
  <c r="X709" i="20" a="1"/>
  <c r="X709" i="20" s="1"/>
  <c r="M709" i="20" a="1"/>
  <c r="M709" i="20" s="1"/>
  <c r="U707" i="20" a="1"/>
  <c r="U707" i="20" s="1"/>
  <c r="L707" i="20" a="1"/>
  <c r="L707" i="20" s="1"/>
  <c r="U706" i="20" a="1"/>
  <c r="U706" i="20" s="1"/>
  <c r="L705" i="20" a="1"/>
  <c r="L705" i="20" s="1"/>
  <c r="G685" i="20" a="1"/>
  <c r="G685" i="20" s="1"/>
  <c r="O685" i="20" a="1"/>
  <c r="O685" i="20" s="1"/>
  <c r="W685" i="20" a="1"/>
  <c r="W685" i="20" s="1"/>
  <c r="Y683" i="20" a="1"/>
  <c r="Y683" i="20" s="1"/>
  <c r="Q656" i="20" a="1"/>
  <c r="Q656" i="20" s="1"/>
  <c r="J655" i="20" a="1"/>
  <c r="J655" i="20" s="1"/>
  <c r="G654" i="20" a="1"/>
  <c r="G654" i="20" s="1"/>
  <c r="T654" i="20" a="1"/>
  <c r="T654" i="20" s="1"/>
  <c r="I654" i="20" a="1"/>
  <c r="I654" i="20" s="1"/>
  <c r="Y654" i="20" a="1"/>
  <c r="Y654" i="20" s="1"/>
  <c r="L654" i="20" a="1"/>
  <c r="L654" i="20" s="1"/>
  <c r="O651" i="20" a="1"/>
  <c r="O651" i="20" s="1"/>
  <c r="H628" i="20" a="1"/>
  <c r="H628" i="20" s="1"/>
  <c r="K571" i="20" a="1"/>
  <c r="K571" i="20" s="1"/>
  <c r="M571" i="20" a="1"/>
  <c r="M571" i="20" s="1"/>
  <c r="U571" i="20" a="1"/>
  <c r="U571" i="20" s="1"/>
  <c r="H571" i="20" a="1"/>
  <c r="H571" i="20" s="1"/>
  <c r="P571" i="20" a="1"/>
  <c r="P571" i="20" s="1"/>
  <c r="X571" i="20" a="1"/>
  <c r="X571" i="20" s="1"/>
  <c r="I571" i="20" a="1"/>
  <c r="I571" i="20" s="1"/>
  <c r="Q571" i="20" a="1"/>
  <c r="Q571" i="20" s="1"/>
  <c r="Y571" i="20" a="1"/>
  <c r="Y571" i="20" s="1"/>
  <c r="L571" i="20" a="1"/>
  <c r="L571" i="20" s="1"/>
  <c r="T571" i="20" a="1"/>
  <c r="T571" i="20" s="1"/>
  <c r="J536" i="20" a="1"/>
  <c r="J536" i="20" s="1"/>
  <c r="R536" i="20" a="1"/>
  <c r="R536" i="20" s="1"/>
  <c r="W536" i="20" a="1"/>
  <c r="W536" i="20" s="1"/>
  <c r="O536" i="20" a="1"/>
  <c r="O536" i="20" s="1"/>
  <c r="K544" i="20" a="1"/>
  <c r="K544" i="20" s="1"/>
  <c r="H544" i="20" a="1"/>
  <c r="H544" i="20" s="1"/>
  <c r="M544" i="20" a="1"/>
  <c r="M544" i="20" s="1"/>
  <c r="T514" i="20" a="1"/>
  <c r="T514" i="20" s="1"/>
  <c r="I514" i="20" a="1"/>
  <c r="I514" i="20" s="1"/>
  <c r="R489" i="20" a="1"/>
  <c r="R489" i="20" s="1"/>
  <c r="P459" i="20" a="1"/>
  <c r="P459" i="20" s="1"/>
  <c r="X459" i="20" a="1"/>
  <c r="X459" i="20" s="1"/>
  <c r="H459" i="20" a="1"/>
  <c r="H459" i="20" s="1"/>
  <c r="R459" i="20" a="1"/>
  <c r="R459" i="20" s="1"/>
  <c r="J459" i="20" a="1"/>
  <c r="J459" i="20" s="1"/>
  <c r="L459" i="20" a="1"/>
  <c r="L459" i="20" s="1"/>
  <c r="T459" i="20" a="1"/>
  <c r="T459" i="20" s="1"/>
  <c r="P402" i="20" a="1"/>
  <c r="P402" i="20" s="1"/>
  <c r="H402" i="20" a="1"/>
  <c r="H402" i="20" s="1"/>
  <c r="R402" i="20" a="1"/>
  <c r="R402" i="20" s="1"/>
  <c r="J402" i="20" a="1"/>
  <c r="J402" i="20" s="1"/>
  <c r="T402" i="20" a="1"/>
  <c r="T402" i="20" s="1"/>
  <c r="L402" i="20" a="1"/>
  <c r="L402" i="20" s="1"/>
  <c r="X402" i="20" a="1"/>
  <c r="X402" i="20" s="1"/>
  <c r="L293" i="20" a="1"/>
  <c r="L293" i="20" s="1"/>
  <c r="H293" i="20" a="1"/>
  <c r="H293" i="20" s="1"/>
  <c r="N293" i="20" a="1"/>
  <c r="N293" i="20" s="1"/>
  <c r="V293" i="20" a="1"/>
  <c r="V293" i="20" s="1"/>
  <c r="I293" i="20" a="1"/>
  <c r="I293" i="20" s="1"/>
  <c r="Q293" i="20" a="1"/>
  <c r="Q293" i="20" s="1"/>
  <c r="X293" i="20" a="1"/>
  <c r="X293" i="20" s="1"/>
  <c r="K293" i="20" a="1"/>
  <c r="K293" i="20" s="1"/>
  <c r="T293" i="20" a="1"/>
  <c r="T293" i="20" s="1"/>
  <c r="Y293" i="20" a="1"/>
  <c r="Y293" i="20" s="1"/>
  <c r="M293" i="20" a="1"/>
  <c r="M293" i="20" s="1"/>
  <c r="U293" i="20" a="1"/>
  <c r="U293" i="20" s="1"/>
  <c r="H265" i="20" a="1"/>
  <c r="H265" i="20" s="1"/>
  <c r="G265" i="20" a="1"/>
  <c r="G265" i="20" s="1"/>
  <c r="O265" i="20" a="1"/>
  <c r="O265" i="20" s="1"/>
  <c r="W265" i="20" a="1"/>
  <c r="W265" i="20" s="1"/>
  <c r="J265" i="20" a="1"/>
  <c r="J265" i="20" s="1"/>
  <c r="T265" i="20" a="1"/>
  <c r="T265" i="20" s="1"/>
  <c r="L265" i="20" a="1"/>
  <c r="L265" i="20" s="1"/>
  <c r="Y265" i="20" a="1"/>
  <c r="Y265" i="20" s="1"/>
  <c r="Q265" i="20" a="1"/>
  <c r="Q265" i="20" s="1"/>
  <c r="I265" i="20" a="1"/>
  <c r="I265" i="20" s="1"/>
  <c r="R265" i="20" a="1"/>
  <c r="R265" i="20" s="1"/>
  <c r="R649" i="20" a="1"/>
  <c r="R649" i="20" s="1"/>
  <c r="J649" i="20" a="1"/>
  <c r="J649" i="20" s="1"/>
  <c r="X629" i="20" a="1"/>
  <c r="X629" i="20" s="1"/>
  <c r="H629" i="20" a="1"/>
  <c r="H629" i="20" s="1"/>
  <c r="P620" i="20" a="1"/>
  <c r="P620" i="20" s="1"/>
  <c r="T573" i="20" a="1"/>
  <c r="T573" i="20" s="1"/>
  <c r="L573" i="20" a="1"/>
  <c r="L573" i="20" s="1"/>
  <c r="Y570" i="20" a="1"/>
  <c r="Y570" i="20" s="1"/>
  <c r="I570" i="20" a="1"/>
  <c r="I570" i="20" s="1"/>
  <c r="W544" i="20" a="1"/>
  <c r="W544" i="20" s="1"/>
  <c r="Q544" i="20" a="1"/>
  <c r="Q544" i="20" s="1"/>
  <c r="J544" i="20" a="1"/>
  <c r="J544" i="20" s="1"/>
  <c r="W542" i="20" a="1"/>
  <c r="W542" i="20" s="1"/>
  <c r="O542" i="20" a="1"/>
  <c r="O542" i="20" s="1"/>
  <c r="G515" i="20" a="1"/>
  <c r="G515" i="20" s="1"/>
  <c r="T515" i="20" a="1"/>
  <c r="T515" i="20" s="1"/>
  <c r="Q514" i="20" a="1"/>
  <c r="Q514" i="20" s="1"/>
  <c r="K489" i="20" a="1"/>
  <c r="K489" i="20" s="1"/>
  <c r="J489" i="20" a="1"/>
  <c r="J489" i="20" s="1"/>
  <c r="P489" i="20" a="1"/>
  <c r="P489" i="20" s="1"/>
  <c r="Y489" i="20" a="1"/>
  <c r="Y489" i="20" s="1"/>
  <c r="G489" i="20" a="1"/>
  <c r="G489" i="20" s="1"/>
  <c r="L489" i="20" a="1"/>
  <c r="L489" i="20" s="1"/>
  <c r="Q489" i="20" a="1"/>
  <c r="Q489" i="20" s="1"/>
  <c r="U489" i="20" a="1"/>
  <c r="U489" i="20" s="1"/>
  <c r="N458" i="20" a="1"/>
  <c r="N458" i="20" s="1"/>
  <c r="T458" i="20" a="1"/>
  <c r="T458" i="20" s="1"/>
  <c r="V458" i="20" a="1"/>
  <c r="V458" i="20" s="1"/>
  <c r="L458" i="20" a="1"/>
  <c r="L458" i="20" s="1"/>
  <c r="J375" i="20" a="1"/>
  <c r="J375" i="20" s="1"/>
  <c r="L375" i="20" a="1"/>
  <c r="L375" i="20" s="1"/>
  <c r="T375" i="20" a="1"/>
  <c r="T375" i="20" s="1"/>
  <c r="I292" i="20" a="1"/>
  <c r="I292" i="20" s="1"/>
  <c r="L292" i="20" a="1"/>
  <c r="L292" i="20" s="1"/>
  <c r="U292" i="20" a="1"/>
  <c r="U292" i="20" s="1"/>
  <c r="M292" i="20" a="1"/>
  <c r="M292" i="20" s="1"/>
  <c r="X292" i="20" a="1"/>
  <c r="X292" i="20" s="1"/>
  <c r="P292" i="20" a="1"/>
  <c r="P292" i="20" s="1"/>
  <c r="H292" i="20" a="1"/>
  <c r="H292" i="20" s="1"/>
  <c r="Q292" i="20" a="1"/>
  <c r="Q292" i="20" s="1"/>
  <c r="T682" i="20" a="1"/>
  <c r="T682" i="20" s="1"/>
  <c r="L682" i="20" a="1"/>
  <c r="L682" i="20" s="1"/>
  <c r="M620" i="20" a="1"/>
  <c r="M620" i="20" s="1"/>
  <c r="Y573" i="20" a="1"/>
  <c r="Y573" i="20" s="1"/>
  <c r="Q573" i="20" a="1"/>
  <c r="Q573" i="20" s="1"/>
  <c r="I573" i="20" a="1"/>
  <c r="I573" i="20" s="1"/>
  <c r="U544" i="20" a="1"/>
  <c r="U544" i="20" s="1"/>
  <c r="P544" i="20" a="1"/>
  <c r="P544" i="20" s="1"/>
  <c r="I544" i="20" a="1"/>
  <c r="I544" i="20" s="1"/>
  <c r="K514" i="20" a="1"/>
  <c r="K514" i="20" s="1"/>
  <c r="M514" i="20" a="1"/>
  <c r="M514" i="20" s="1"/>
  <c r="U514" i="20" a="1"/>
  <c r="U514" i="20" s="1"/>
  <c r="J432" i="20" a="1"/>
  <c r="J432" i="20" s="1"/>
  <c r="L432" i="20" a="1"/>
  <c r="L432" i="20" s="1"/>
  <c r="T432" i="20" a="1"/>
  <c r="T432" i="20" s="1"/>
  <c r="Y682" i="20" a="1"/>
  <c r="Y682" i="20" s="1"/>
  <c r="Q682" i="20" a="1"/>
  <c r="Q682" i="20" s="1"/>
  <c r="I682" i="20" a="1"/>
  <c r="I682" i="20" s="1"/>
  <c r="T679" i="20" a="1"/>
  <c r="T679" i="20" s="1"/>
  <c r="W649" i="20" a="1"/>
  <c r="W649" i="20" s="1"/>
  <c r="X620" i="20" a="1"/>
  <c r="X620" i="20" s="1"/>
  <c r="X573" i="20" a="1"/>
  <c r="X573" i="20" s="1"/>
  <c r="P573" i="20" a="1"/>
  <c r="P573" i="20" s="1"/>
  <c r="H573" i="20" a="1"/>
  <c r="H573" i="20" s="1"/>
  <c r="Q570" i="20" a="1"/>
  <c r="Q570" i="20" s="1"/>
  <c r="Y544" i="20" a="1"/>
  <c r="Y544" i="20" s="1"/>
  <c r="T544" i="20" a="1"/>
  <c r="T544" i="20" s="1"/>
  <c r="O544" i="20" a="1"/>
  <c r="O544" i="20" s="1"/>
  <c r="G544" i="20" a="1"/>
  <c r="G544" i="20" s="1"/>
  <c r="K542" i="20" a="1"/>
  <c r="K542" i="20" s="1"/>
  <c r="J542" i="20" a="1"/>
  <c r="J542" i="20" s="1"/>
  <c r="P542" i="20" a="1"/>
  <c r="P542" i="20" s="1"/>
  <c r="U542" i="20" a="1"/>
  <c r="U542" i="20" s="1"/>
  <c r="T489" i="20" a="1"/>
  <c r="T489" i="20" s="1"/>
  <c r="I489" i="20" a="1"/>
  <c r="I489" i="20" s="1"/>
  <c r="R487" i="20" a="1"/>
  <c r="R487" i="20" s="1"/>
  <c r="J487" i="20" a="1"/>
  <c r="J487" i="20" s="1"/>
  <c r="W487" i="20" a="1"/>
  <c r="W487" i="20" s="1"/>
  <c r="H263" i="20" a="1"/>
  <c r="H263" i="20" s="1"/>
  <c r="G263" i="20" a="1"/>
  <c r="G263" i="20" s="1"/>
  <c r="O263" i="20" a="1"/>
  <c r="O263" i="20" s="1"/>
  <c r="W263" i="20" a="1"/>
  <c r="W263" i="20" s="1"/>
  <c r="J263" i="20" a="1"/>
  <c r="J263" i="20" s="1"/>
  <c r="T263" i="20" a="1"/>
  <c r="T263" i="20" s="1"/>
  <c r="L263" i="20" a="1"/>
  <c r="L263" i="20" s="1"/>
  <c r="Y263" i="20" a="1"/>
  <c r="Y263" i="20" s="1"/>
  <c r="Q263" i="20" a="1"/>
  <c r="Q263" i="20" s="1"/>
  <c r="I263" i="20" a="1"/>
  <c r="I263" i="20" s="1"/>
  <c r="R263" i="20" a="1"/>
  <c r="R263" i="20" s="1"/>
  <c r="P485" i="20" a="1"/>
  <c r="P485" i="20" s="1"/>
  <c r="I485" i="20" a="1"/>
  <c r="I485" i="20" s="1"/>
  <c r="V484" i="20" a="1"/>
  <c r="V484" i="20" s="1"/>
  <c r="J484" i="20" a="1"/>
  <c r="J484" i="20" s="1"/>
  <c r="X481" i="20" a="1"/>
  <c r="X481" i="20" s="1"/>
  <c r="J481" i="20" a="1"/>
  <c r="J481" i="20" s="1"/>
  <c r="P455" i="20" a="1"/>
  <c r="P455" i="20" s="1"/>
  <c r="G455" i="20" a="1"/>
  <c r="G455" i="20" s="1"/>
  <c r="P431" i="20" a="1"/>
  <c r="P431" i="20" s="1"/>
  <c r="L429" i="20" a="1"/>
  <c r="L429" i="20" s="1"/>
  <c r="T428" i="20" a="1"/>
  <c r="T428" i="20" s="1"/>
  <c r="X427" i="20" a="1"/>
  <c r="X427" i="20" s="1"/>
  <c r="J427" i="20" a="1"/>
  <c r="J427" i="20" s="1"/>
  <c r="L426" i="20" a="1"/>
  <c r="L426" i="20" s="1"/>
  <c r="V425" i="20" a="1"/>
  <c r="V425" i="20" s="1"/>
  <c r="L425" i="20" a="1"/>
  <c r="L425" i="20" s="1"/>
  <c r="H425" i="20" a="1"/>
  <c r="H425" i="20" s="1"/>
  <c r="T403" i="20" a="1"/>
  <c r="T403" i="20" s="1"/>
  <c r="P400" i="20" a="1"/>
  <c r="P400" i="20" s="1"/>
  <c r="G400" i="20" a="1"/>
  <c r="G400" i="20" s="1"/>
  <c r="I399" i="20" a="1"/>
  <c r="I399" i="20" s="1"/>
  <c r="R398" i="20" a="1"/>
  <c r="R398" i="20" s="1"/>
  <c r="I398" i="20" a="1"/>
  <c r="I398" i="20" s="1"/>
  <c r="L397" i="20" a="1"/>
  <c r="L397" i="20" s="1"/>
  <c r="V396" i="20" a="1"/>
  <c r="V396" i="20" s="1"/>
  <c r="N396" i="20" a="1"/>
  <c r="N396" i="20" s="1"/>
  <c r="I396" i="20" a="1"/>
  <c r="I396" i="20" s="1"/>
  <c r="T377" i="20" a="1"/>
  <c r="T377" i="20" s="1"/>
  <c r="L374" i="20" a="1"/>
  <c r="L374" i="20" s="1"/>
  <c r="X372" i="20" a="1"/>
  <c r="X372" i="20" s="1"/>
  <c r="J372" i="20" a="1"/>
  <c r="J372" i="20" s="1"/>
  <c r="L371" i="20" a="1"/>
  <c r="L371" i="20" s="1"/>
  <c r="T370" i="20" a="1"/>
  <c r="T370" i="20" s="1"/>
  <c r="I370" i="20" a="1"/>
  <c r="I370" i="20" s="1"/>
  <c r="T347" i="20" a="1"/>
  <c r="T347" i="20" s="1"/>
  <c r="J347" i="20" a="1"/>
  <c r="J347" i="20" s="1"/>
  <c r="Q344" i="20" a="1"/>
  <c r="Q344" i="20" s="1"/>
  <c r="Q341" i="20" a="1"/>
  <c r="Q341" i="20" s="1"/>
  <c r="U291" i="20" a="1"/>
  <c r="U291" i="20" s="1"/>
  <c r="L291" i="20" a="1"/>
  <c r="L291" i="20" s="1"/>
  <c r="X290" i="20" a="1"/>
  <c r="X290" i="20" s="1"/>
  <c r="M290" i="20" a="1"/>
  <c r="M290" i="20" s="1"/>
  <c r="L288" i="20" a="1"/>
  <c r="L288" i="20" s="1"/>
  <c r="M287" i="20" a="1"/>
  <c r="M287" i="20" s="1"/>
  <c r="J284" i="20" a="1"/>
  <c r="J284" i="20" s="1"/>
  <c r="K264" i="20" a="1"/>
  <c r="K264" i="20" s="1"/>
  <c r="J259" i="20" a="1"/>
  <c r="J259" i="20" s="1"/>
  <c r="O259" i="20" a="1"/>
  <c r="O259" i="20" s="1"/>
  <c r="Q228" i="20" a="1"/>
  <c r="Q228" i="20" s="1"/>
  <c r="N228" i="20" a="1"/>
  <c r="N228" i="20" s="1"/>
  <c r="H208" i="20" a="1"/>
  <c r="H208" i="20" s="1"/>
  <c r="P208" i="20" a="1"/>
  <c r="P208" i="20" s="1"/>
  <c r="X208" i="20" a="1"/>
  <c r="X208" i="20" s="1"/>
  <c r="I208" i="20" a="1"/>
  <c r="I208" i="20" s="1"/>
  <c r="Q208" i="20" a="1"/>
  <c r="Q208" i="20" s="1"/>
  <c r="Y208" i="20" a="1"/>
  <c r="Y208" i="20" s="1"/>
  <c r="L208" i="20" a="1"/>
  <c r="L208" i="20" s="1"/>
  <c r="T208" i="20" a="1"/>
  <c r="T208" i="20" s="1"/>
  <c r="M208" i="20" a="1"/>
  <c r="M208" i="20" s="1"/>
  <c r="U208" i="20" a="1"/>
  <c r="U208" i="20" s="1"/>
  <c r="L96" i="20" a="1"/>
  <c r="L96" i="20" s="1"/>
  <c r="T96" i="20" a="1"/>
  <c r="T96" i="20" s="1"/>
  <c r="M32" i="20" a="1"/>
  <c r="M32" i="20" s="1"/>
  <c r="R32" i="20" a="1"/>
  <c r="R32" i="20" s="1"/>
  <c r="X32" i="20" a="1"/>
  <c r="X32" i="20" s="1"/>
  <c r="O32" i="20" a="1"/>
  <c r="O32" i="20" s="1"/>
  <c r="T32" i="20" a="1"/>
  <c r="T32" i="20" s="1"/>
  <c r="Y32" i="20" a="1"/>
  <c r="Y32" i="20" s="1"/>
  <c r="J32" i="20" a="1"/>
  <c r="J32" i="20" s="1"/>
  <c r="P32" i="20" a="1"/>
  <c r="P32" i="20" s="1"/>
  <c r="U32" i="20" a="1"/>
  <c r="U32" i="20" s="1"/>
  <c r="L32" i="20" a="1"/>
  <c r="L32" i="20" s="1"/>
  <c r="Q32" i="20" a="1"/>
  <c r="Q32" i="20" s="1"/>
  <c r="W32" i="20" a="1"/>
  <c r="W32" i="20" s="1"/>
  <c r="X485" i="20" a="1"/>
  <c r="X485" i="20" s="1"/>
  <c r="G485" i="20" a="1"/>
  <c r="G485" i="20" s="1"/>
  <c r="T484" i="20" a="1"/>
  <c r="T484" i="20" s="1"/>
  <c r="I484" i="20" a="1"/>
  <c r="I484" i="20" s="1"/>
  <c r="N482" i="20" a="1"/>
  <c r="N482" i="20" s="1"/>
  <c r="T481" i="20" a="1"/>
  <c r="T481" i="20" s="1"/>
  <c r="V453" i="20" a="1"/>
  <c r="V453" i="20" s="1"/>
  <c r="N453" i="20" a="1"/>
  <c r="N453" i="20" s="1"/>
  <c r="L431" i="20" a="1"/>
  <c r="L431" i="20" s="1"/>
  <c r="T430" i="20" a="1"/>
  <c r="T430" i="20" s="1"/>
  <c r="X429" i="20" a="1"/>
  <c r="X429" i="20" s="1"/>
  <c r="J429" i="20" a="1"/>
  <c r="J429" i="20" s="1"/>
  <c r="T427" i="20" a="1"/>
  <c r="T427" i="20" s="1"/>
  <c r="I427" i="20" a="1"/>
  <c r="I427" i="20" s="1"/>
  <c r="I426" i="20" a="1"/>
  <c r="I426" i="20" s="1"/>
  <c r="L403" i="20" a="1"/>
  <c r="L403" i="20" s="1"/>
  <c r="P398" i="20" a="1"/>
  <c r="P398" i="20" s="1"/>
  <c r="G398" i="20" a="1"/>
  <c r="G398" i="20" s="1"/>
  <c r="I397" i="20" a="1"/>
  <c r="I397" i="20" s="1"/>
  <c r="T396" i="20" a="1"/>
  <c r="T396" i="20" s="1"/>
  <c r="L396" i="20" a="1"/>
  <c r="L396" i="20" s="1"/>
  <c r="L377" i="20" a="1"/>
  <c r="L377" i="20" s="1"/>
  <c r="X374" i="20" a="1"/>
  <c r="X374" i="20" s="1"/>
  <c r="H374" i="20" a="1"/>
  <c r="H374" i="20" s="1"/>
  <c r="T372" i="20" a="1"/>
  <c r="T372" i="20" s="1"/>
  <c r="I372" i="20" a="1"/>
  <c r="I372" i="20" s="1"/>
  <c r="I371" i="20" a="1"/>
  <c r="I371" i="20" s="1"/>
  <c r="P368" i="20" a="1"/>
  <c r="P368" i="20" s="1"/>
  <c r="J368" i="20" a="1"/>
  <c r="J368" i="20" s="1"/>
  <c r="R347" i="20" a="1"/>
  <c r="R347" i="20" s="1"/>
  <c r="H347" i="20" a="1"/>
  <c r="H347" i="20" s="1"/>
  <c r="K344" i="20"/>
  <c r="I316" i="20" a="1"/>
  <c r="I316" i="20" s="1"/>
  <c r="T314" i="20" a="1"/>
  <c r="T314" i="20" s="1"/>
  <c r="H207" i="20" a="1"/>
  <c r="H207" i="20" s="1"/>
  <c r="P207" i="20" a="1"/>
  <c r="P207" i="20" s="1"/>
  <c r="X207" i="20" a="1"/>
  <c r="X207" i="20" s="1"/>
  <c r="I207" i="20" a="1"/>
  <c r="I207" i="20" s="1"/>
  <c r="Q207" i="20" a="1"/>
  <c r="Q207" i="20" s="1"/>
  <c r="Y207" i="20" a="1"/>
  <c r="Y207" i="20" s="1"/>
  <c r="L207" i="20" a="1"/>
  <c r="L207" i="20" s="1"/>
  <c r="T207" i="20" a="1"/>
  <c r="T207" i="20" s="1"/>
  <c r="M207" i="20" a="1"/>
  <c r="M207" i="20" s="1"/>
  <c r="U207" i="20" a="1"/>
  <c r="U207" i="20" s="1"/>
  <c r="O172" i="20" a="1"/>
  <c r="O172" i="20" s="1"/>
  <c r="W172" i="20" a="1"/>
  <c r="W172" i="20" s="1"/>
  <c r="R172" i="20" a="1"/>
  <c r="R172" i="20" s="1"/>
  <c r="H172" i="20" a="1"/>
  <c r="H172" i="20" s="1"/>
  <c r="S172" i="20" a="1"/>
  <c r="S172" i="20" s="1"/>
  <c r="N172" i="20" a="1"/>
  <c r="N172" i="20" s="1"/>
  <c r="V172" i="20" a="1"/>
  <c r="V172" i="20" s="1"/>
  <c r="J67" i="20" a="1"/>
  <c r="J67" i="20" s="1"/>
  <c r="X67" i="20" a="1"/>
  <c r="X67" i="20" s="1"/>
  <c r="K40" i="20" a="1"/>
  <c r="K40" i="20" s="1"/>
  <c r="Q40" i="20" a="1"/>
  <c r="Q40" i="20" s="1"/>
  <c r="V40" i="20" a="1"/>
  <c r="V40" i="20" s="1"/>
  <c r="G40" i="20" a="1"/>
  <c r="G40" i="20" s="1"/>
  <c r="L40" i="20" a="1"/>
  <c r="L40" i="20" s="1"/>
  <c r="R40" i="20" a="1"/>
  <c r="R40" i="20" s="1"/>
  <c r="W40" i="20" a="1"/>
  <c r="W40" i="20" s="1"/>
  <c r="I40" i="20" a="1"/>
  <c r="I40" i="20" s="1"/>
  <c r="N40" i="20" a="1"/>
  <c r="N40" i="20" s="1"/>
  <c r="S40" i="20" a="1"/>
  <c r="S40" i="20" s="1"/>
  <c r="Y40" i="20" a="1"/>
  <c r="Y40" i="20" s="1"/>
  <c r="J40" i="20" a="1"/>
  <c r="J40" i="20" s="1"/>
  <c r="O40" i="20" a="1"/>
  <c r="O40" i="20" s="1"/>
  <c r="T40" i="20" a="1"/>
  <c r="T40" i="20" s="1"/>
  <c r="R481" i="20" a="1"/>
  <c r="R481" i="20" s="1"/>
  <c r="G481" i="20" a="1"/>
  <c r="G481" i="20" s="1"/>
  <c r="P457" i="20" a="1"/>
  <c r="P457" i="20" s="1"/>
  <c r="T455" i="20" a="1"/>
  <c r="T455" i="20" s="1"/>
  <c r="J455" i="20" a="1"/>
  <c r="J455" i="20" s="1"/>
  <c r="L370" i="20" a="1"/>
  <c r="L370" i="20" s="1"/>
  <c r="L314" i="20" a="1"/>
  <c r="L314" i="20" s="1"/>
  <c r="T288" i="20" a="1"/>
  <c r="T288" i="20" s="1"/>
  <c r="J229" i="20" a="1"/>
  <c r="J229" i="20" s="1"/>
  <c r="U229" i="20" a="1"/>
  <c r="U229" i="20" s="1"/>
  <c r="H206" i="20" a="1"/>
  <c r="H206" i="20" s="1"/>
  <c r="P206" i="20" a="1"/>
  <c r="P206" i="20" s="1"/>
  <c r="X206" i="20" a="1"/>
  <c r="X206" i="20" s="1"/>
  <c r="I206" i="20" a="1"/>
  <c r="I206" i="20" s="1"/>
  <c r="Q206" i="20" a="1"/>
  <c r="Q206" i="20" s="1"/>
  <c r="Y206" i="20" a="1"/>
  <c r="Y206" i="20" s="1"/>
  <c r="L206" i="20" a="1"/>
  <c r="L206" i="20" s="1"/>
  <c r="T206" i="20" a="1"/>
  <c r="T206" i="20" s="1"/>
  <c r="M206" i="20" a="1"/>
  <c r="M206" i="20" s="1"/>
  <c r="U206" i="20" a="1"/>
  <c r="U206" i="20" s="1"/>
  <c r="O175" i="20" a="1"/>
  <c r="O175" i="20" s="1"/>
  <c r="R175" i="20" a="1"/>
  <c r="R175" i="20" s="1"/>
  <c r="U175" i="20" a="1"/>
  <c r="U175" i="20" s="1"/>
  <c r="J175" i="20" a="1"/>
  <c r="J175" i="20" s="1"/>
  <c r="N175" i="20" a="1"/>
  <c r="N175" i="20" s="1"/>
  <c r="H153" i="20" a="1"/>
  <c r="H153" i="20" s="1"/>
  <c r="L153" i="20" a="1"/>
  <c r="L153" i="20" s="1"/>
  <c r="Q153" i="20" a="1"/>
  <c r="Q153" i="20" s="1"/>
  <c r="H123" i="20" a="1"/>
  <c r="H123" i="20" s="1"/>
  <c r="N123" i="20" a="1"/>
  <c r="N123" i="20" s="1"/>
  <c r="R123" i="20" a="1"/>
  <c r="R123" i="20" s="1"/>
  <c r="V123" i="20" a="1"/>
  <c r="V123" i="20" s="1"/>
  <c r="J123" i="20" a="1"/>
  <c r="J123" i="20" s="1"/>
  <c r="O123" i="20" a="1"/>
  <c r="O123" i="20" s="1"/>
  <c r="S123" i="20" a="1"/>
  <c r="S123" i="20" s="1"/>
  <c r="W123" i="20" a="1"/>
  <c r="W123" i="20" s="1"/>
  <c r="L123" i="20" a="1"/>
  <c r="L123" i="20" s="1"/>
  <c r="P123" i="20" a="1"/>
  <c r="P123" i="20" s="1"/>
  <c r="T123" i="20" a="1"/>
  <c r="T123" i="20" s="1"/>
  <c r="X123" i="20" a="1"/>
  <c r="X123" i="20" s="1"/>
  <c r="M123" i="20" a="1"/>
  <c r="M123" i="20" s="1"/>
  <c r="Q123" i="20" a="1"/>
  <c r="Q123" i="20" s="1"/>
  <c r="U123" i="20" a="1"/>
  <c r="U123" i="20" s="1"/>
  <c r="Y123" i="20" a="1"/>
  <c r="Y123" i="20" s="1"/>
  <c r="R485" i="20" a="1"/>
  <c r="R485" i="20" s="1"/>
  <c r="R455" i="20" a="1"/>
  <c r="R455" i="20" s="1"/>
  <c r="R453" i="20" a="1"/>
  <c r="R453" i="20" s="1"/>
  <c r="K453" i="20"/>
  <c r="L427" i="20" a="1"/>
  <c r="L427" i="20" s="1"/>
  <c r="T426" i="20" a="1"/>
  <c r="T426" i="20" s="1"/>
  <c r="X425" i="20" a="1"/>
  <c r="X425" i="20" s="1"/>
  <c r="N425" i="20" a="1"/>
  <c r="N425" i="20" s="1"/>
  <c r="L424" i="20" a="1"/>
  <c r="L424" i="20" s="1"/>
  <c r="I401" i="20" a="1"/>
  <c r="I401" i="20" s="1"/>
  <c r="R400" i="20" a="1"/>
  <c r="R400" i="20" s="1"/>
  <c r="L399" i="20" a="1"/>
  <c r="L399" i="20" s="1"/>
  <c r="T398" i="20" a="1"/>
  <c r="T398" i="20" s="1"/>
  <c r="T397" i="20" a="1"/>
  <c r="T397" i="20" s="1"/>
  <c r="P374" i="20" a="1"/>
  <c r="P374" i="20" s="1"/>
  <c r="L372" i="20" a="1"/>
  <c r="L372" i="20" s="1"/>
  <c r="T371" i="20" a="1"/>
  <c r="T371" i="20" s="1"/>
  <c r="X370" i="20" a="1"/>
  <c r="X370" i="20" s="1"/>
  <c r="J370" i="20" a="1"/>
  <c r="J370" i="20" s="1"/>
  <c r="L369" i="20" a="1"/>
  <c r="L369" i="20" s="1"/>
  <c r="V368" i="20" a="1"/>
  <c r="V368" i="20" s="1"/>
  <c r="L368" i="20" a="1"/>
  <c r="L368" i="20" s="1"/>
  <c r="H368" i="20" a="1"/>
  <c r="H368" i="20" s="1"/>
  <c r="X347" i="20" a="1"/>
  <c r="X347" i="20" s="1"/>
  <c r="Q343" i="20" a="1"/>
  <c r="Q343" i="20" s="1"/>
  <c r="T316" i="20" a="1"/>
  <c r="T316" i="20" s="1"/>
  <c r="L315" i="20" a="1"/>
  <c r="L315" i="20" s="1"/>
  <c r="X291" i="20" a="1"/>
  <c r="X291" i="20" s="1"/>
  <c r="M291" i="20" a="1"/>
  <c r="M291" i="20" s="1"/>
  <c r="Q288" i="20" a="1"/>
  <c r="Q288" i="20" s="1"/>
  <c r="Q287" i="20" a="1"/>
  <c r="Q287" i="20" s="1"/>
  <c r="V257" i="20" a="1"/>
  <c r="V257" i="20" s="1"/>
  <c r="N257" i="20" a="1"/>
  <c r="N257" i="20" s="1"/>
  <c r="Q257" i="20" a="1"/>
  <c r="Q257" i="20" s="1"/>
  <c r="J257" i="20" a="1"/>
  <c r="J257" i="20" s="1"/>
  <c r="G234" i="20" a="1"/>
  <c r="G234" i="20" s="1"/>
  <c r="M234" i="20" a="1"/>
  <c r="M234" i="20" s="1"/>
  <c r="X234" i="20" a="1"/>
  <c r="X234" i="20" s="1"/>
  <c r="J234" i="20" a="1"/>
  <c r="J234" i="20" s="1"/>
  <c r="H209" i="20" a="1"/>
  <c r="H209" i="20" s="1"/>
  <c r="P209" i="20" a="1"/>
  <c r="P209" i="20" s="1"/>
  <c r="X209" i="20" a="1"/>
  <c r="X209" i="20" s="1"/>
  <c r="I209" i="20" a="1"/>
  <c r="I209" i="20" s="1"/>
  <c r="Q209" i="20" a="1"/>
  <c r="Q209" i="20" s="1"/>
  <c r="Y209" i="20" a="1"/>
  <c r="Y209" i="20" s="1"/>
  <c r="M209" i="20" a="1"/>
  <c r="M209" i="20" s="1"/>
  <c r="U209" i="20" a="1"/>
  <c r="U209" i="20" s="1"/>
  <c r="H174" i="20" a="1"/>
  <c r="H174" i="20" s="1"/>
  <c r="O174" i="20" a="1"/>
  <c r="O174" i="20" s="1"/>
  <c r="T174" i="20" a="1"/>
  <c r="T174" i="20" s="1"/>
  <c r="Q174" i="20" a="1"/>
  <c r="Q174" i="20" s="1"/>
  <c r="V174" i="20" a="1"/>
  <c r="V174" i="20" s="1"/>
  <c r="L174" i="20" a="1"/>
  <c r="L174" i="20" s="1"/>
  <c r="R174" i="20" a="1"/>
  <c r="R174" i="20" s="1"/>
  <c r="W174" i="20" a="1"/>
  <c r="W174" i="20" s="1"/>
  <c r="N174" i="20" a="1"/>
  <c r="N174" i="20" s="1"/>
  <c r="S174" i="20" a="1"/>
  <c r="S174" i="20" s="1"/>
  <c r="Y174" i="20" a="1"/>
  <c r="Y174" i="20" s="1"/>
  <c r="H152" i="20" a="1"/>
  <c r="H152" i="20" s="1"/>
  <c r="L152" i="20" a="1"/>
  <c r="L152" i="20" s="1"/>
  <c r="Q152" i="20" a="1"/>
  <c r="Q152" i="20" s="1"/>
  <c r="P65" i="20" a="1"/>
  <c r="P65" i="20" s="1"/>
  <c r="J65" i="20" a="1"/>
  <c r="J65" i="20" s="1"/>
  <c r="U65" i="20" a="1"/>
  <c r="U65" i="20" s="1"/>
  <c r="L65" i="20" a="1"/>
  <c r="L65" i="20" s="1"/>
  <c r="Y65" i="20" a="1"/>
  <c r="Y65" i="20" s="1"/>
  <c r="O65" i="20" a="1"/>
  <c r="O65" i="20" s="1"/>
  <c r="R65" i="20" a="1"/>
  <c r="R65" i="20" s="1"/>
  <c r="N38" i="20" a="1"/>
  <c r="N38" i="20" s="1"/>
  <c r="V38" i="20" a="1"/>
  <c r="V38" i="20" s="1"/>
  <c r="H38" i="20" a="1"/>
  <c r="H38" i="20" s="1"/>
  <c r="P38" i="20" a="1"/>
  <c r="P38" i="20" s="1"/>
  <c r="X38" i="20" a="1"/>
  <c r="X38" i="20" s="1"/>
  <c r="J38" i="20" a="1"/>
  <c r="J38" i="20" s="1"/>
  <c r="R38" i="20" a="1"/>
  <c r="R38" i="20" s="1"/>
  <c r="L38" i="20" a="1"/>
  <c r="L38" i="20" s="1"/>
  <c r="T38" i="20" a="1"/>
  <c r="T38" i="20" s="1"/>
  <c r="V237" i="20" a="1"/>
  <c r="V237" i="20" s="1"/>
  <c r="K237" i="20" a="1"/>
  <c r="K237" i="20" s="1"/>
  <c r="S233" i="20" a="1"/>
  <c r="S233" i="20" s="1"/>
  <c r="N233" i="20" a="1"/>
  <c r="N233" i="20" s="1"/>
  <c r="R232" i="20" a="1"/>
  <c r="R232" i="20" s="1"/>
  <c r="R231" i="20" a="1"/>
  <c r="R231" i="20" s="1"/>
  <c r="U205" i="20" a="1"/>
  <c r="U205" i="20" s="1"/>
  <c r="M205" i="20" a="1"/>
  <c r="M205" i="20" s="1"/>
  <c r="Q202" i="20" a="1"/>
  <c r="Q202" i="20" s="1"/>
  <c r="U201" i="20" a="1"/>
  <c r="U201" i="20" s="1"/>
  <c r="T200" i="20" a="1"/>
  <c r="T200" i="20" s="1"/>
  <c r="W177" i="20" a="1"/>
  <c r="W177" i="20" s="1"/>
  <c r="S173" i="20" a="1"/>
  <c r="S173" i="20" s="1"/>
  <c r="H173" i="20" a="1"/>
  <c r="H173" i="20" s="1"/>
  <c r="Q151" i="20" a="1"/>
  <c r="Q151" i="20" s="1"/>
  <c r="Q150" i="20" a="1"/>
  <c r="Q150" i="20" s="1"/>
  <c r="Q149" i="20" a="1"/>
  <c r="Q149" i="20" s="1"/>
  <c r="M147" i="20" a="1"/>
  <c r="M147" i="20" s="1"/>
  <c r="L122" i="20" a="1"/>
  <c r="L122" i="20" s="1"/>
  <c r="L120" i="20" a="1"/>
  <c r="L120" i="20" s="1"/>
  <c r="J94" i="20" a="1"/>
  <c r="J94" i="20" s="1"/>
  <c r="J91" i="20" a="1"/>
  <c r="J91" i="20" s="1"/>
  <c r="T66" i="20" a="1"/>
  <c r="T66" i="20" s="1"/>
  <c r="V62" i="20" a="1"/>
  <c r="V62" i="20" s="1"/>
  <c r="J62" i="20" a="1"/>
  <c r="J62" i="20" s="1"/>
  <c r="J33" i="20" a="1"/>
  <c r="J33" i="20" s="1"/>
  <c r="T205" i="20" a="1"/>
  <c r="T205" i="20" s="1"/>
  <c r="L205" i="20" a="1"/>
  <c r="L205" i="20" s="1"/>
  <c r="Q203" i="20" a="1"/>
  <c r="Q203" i="20" s="1"/>
  <c r="Q200" i="20" a="1"/>
  <c r="Q200" i="20" s="1"/>
  <c r="S60" i="20" a="1"/>
  <c r="S60" i="20" s="1"/>
  <c r="L60" i="20" a="1"/>
  <c r="L60" i="20" s="1"/>
  <c r="X41" i="20" a="1"/>
  <c r="X41" i="20" s="1"/>
  <c r="Q237" i="20" a="1"/>
  <c r="Q237" i="20" s="1"/>
  <c r="G237" i="20" a="1"/>
  <c r="G237" i="20" s="1"/>
  <c r="M236" i="20" a="1"/>
  <c r="M236" i="20" s="1"/>
  <c r="Y233" i="20" a="1"/>
  <c r="Y233" i="20" s="1"/>
  <c r="Q233" i="20" a="1"/>
  <c r="Q233" i="20" s="1"/>
  <c r="V232" i="20" a="1"/>
  <c r="V232" i="20" s="1"/>
  <c r="V231" i="20" a="1"/>
  <c r="V231" i="20" s="1"/>
  <c r="N230" i="20" a="1"/>
  <c r="N230" i="20" s="1"/>
  <c r="Y205" i="20" a="1"/>
  <c r="Y205" i="20" s="1"/>
  <c r="Q205" i="20" a="1"/>
  <c r="Q205" i="20" s="1"/>
  <c r="L203" i="20" a="1"/>
  <c r="L203" i="20" s="1"/>
  <c r="O177" i="20" a="1"/>
  <c r="O177" i="20" s="1"/>
  <c r="W173" i="20" a="1"/>
  <c r="W173" i="20" s="1"/>
  <c r="P122" i="20" a="1"/>
  <c r="P122" i="20" s="1"/>
  <c r="L119" i="20" a="1"/>
  <c r="L119" i="20" s="1"/>
  <c r="J93" i="20" a="1"/>
  <c r="J93" i="20" s="1"/>
  <c r="X90" i="20" a="1"/>
  <c r="X90" i="20" s="1"/>
  <c r="I90" i="20" a="1"/>
  <c r="I90" i="20" s="1"/>
  <c r="N69" i="20" a="1"/>
  <c r="N69" i="20" s="1"/>
  <c r="T68" i="20" a="1"/>
  <c r="T68" i="20" s="1"/>
  <c r="Q62" i="20" a="1"/>
  <c r="Q62" i="20" s="1"/>
  <c r="X61" i="20" a="1"/>
  <c r="X61" i="20" s="1"/>
  <c r="Y60" i="20" a="1"/>
  <c r="Y60" i="20" s="1"/>
  <c r="Q60" i="20" a="1"/>
  <c r="Q60" i="20" s="1"/>
  <c r="J60" i="20" a="1"/>
  <c r="J60" i="20" s="1"/>
  <c r="M41" i="20" a="1"/>
  <c r="M41" i="20" s="1"/>
  <c r="Q148" i="20" a="1"/>
  <c r="Q148" i="20" s="1"/>
  <c r="X120" i="20" a="1"/>
  <c r="X120" i="20" s="1"/>
  <c r="X94" i="20" a="1"/>
  <c r="X94" i="20" s="1"/>
  <c r="X93" i="20" a="1"/>
  <c r="X93" i="20" s="1"/>
  <c r="I93" i="20" a="1"/>
  <c r="I93" i="20" s="1"/>
  <c r="N91" i="20" a="1"/>
  <c r="N91" i="20" s="1"/>
  <c r="X88" i="20" a="1"/>
  <c r="X88" i="20" s="1"/>
  <c r="J69" i="20" a="1"/>
  <c r="J69" i="20" s="1"/>
  <c r="Y62" i="20" a="1"/>
  <c r="Y62" i="20" s="1"/>
  <c r="N62" i="20" a="1"/>
  <c r="N62" i="20" s="1"/>
  <c r="V60" i="20" a="1"/>
  <c r="V60" i="20" s="1"/>
  <c r="P60" i="20" a="1"/>
  <c r="P60" i="20" s="1"/>
  <c r="J41" i="20" a="1"/>
  <c r="J41" i="20" s="1"/>
  <c r="G1101" i="20" a="1"/>
  <c r="G1101" i="20" s="1"/>
  <c r="I1101" i="20" a="1"/>
  <c r="I1101" i="20" s="1"/>
  <c r="K1101" i="20"/>
  <c r="M1101" i="20" a="1"/>
  <c r="M1101" i="20" s="1"/>
  <c r="O1101" i="20" a="1"/>
  <c r="O1101" i="20" s="1"/>
  <c r="Q1101" i="20" a="1"/>
  <c r="Q1101" i="20" s="1"/>
  <c r="S1101" i="20" a="1"/>
  <c r="S1101" i="20" s="1"/>
  <c r="U1101" i="20" a="1"/>
  <c r="U1101" i="20" s="1"/>
  <c r="W1101" i="20" a="1"/>
  <c r="W1101" i="20" s="1"/>
  <c r="Y1101" i="20" a="1"/>
  <c r="Y1101" i="20" s="1"/>
  <c r="G1096" i="20" a="1"/>
  <c r="G1096" i="20" s="1"/>
  <c r="K1096" i="20"/>
  <c r="M1096" i="20" a="1"/>
  <c r="M1096" i="20" s="1"/>
  <c r="O1096" i="20" a="1"/>
  <c r="O1096" i="20" s="1"/>
  <c r="Q1096" i="20" a="1"/>
  <c r="Q1096" i="20" s="1"/>
  <c r="S1096" i="20" a="1"/>
  <c r="S1096" i="20" s="1"/>
  <c r="U1096" i="20" a="1"/>
  <c r="U1096" i="20" s="1"/>
  <c r="W1096" i="20" a="1"/>
  <c r="W1096" i="20" s="1"/>
  <c r="Y1096" i="20" a="1"/>
  <c r="Y1096" i="20" s="1"/>
  <c r="G1077" i="20" a="1"/>
  <c r="G1077" i="20" s="1"/>
  <c r="I1077" i="20" a="1"/>
  <c r="I1077" i="20" s="1"/>
  <c r="K1077" i="20" a="1"/>
  <c r="K1077" i="20" s="1"/>
  <c r="M1077" i="20" a="1"/>
  <c r="M1077" i="20" s="1"/>
  <c r="O1077" i="20" a="1"/>
  <c r="O1077" i="20" s="1"/>
  <c r="Q1077" i="20" a="1"/>
  <c r="Q1077" i="20" s="1"/>
  <c r="S1077" i="20" a="1"/>
  <c r="S1077" i="20" s="1"/>
  <c r="U1077" i="20" a="1"/>
  <c r="U1077" i="20" s="1"/>
  <c r="W1077" i="20" a="1"/>
  <c r="W1077" i="20" s="1"/>
  <c r="Y1077" i="20" a="1"/>
  <c r="Y1077" i="20" s="1"/>
  <c r="G1076" i="20" a="1"/>
  <c r="G1076" i="20" s="1"/>
  <c r="I1076" i="20" a="1"/>
  <c r="I1076" i="20" s="1"/>
  <c r="K1076" i="20" a="1"/>
  <c r="K1076" i="20" s="1"/>
  <c r="M1076" i="20" a="1"/>
  <c r="M1076" i="20" s="1"/>
  <c r="O1076" i="20" a="1"/>
  <c r="O1076" i="20" s="1"/>
  <c r="Q1076" i="20" a="1"/>
  <c r="Q1076" i="20" s="1"/>
  <c r="S1076" i="20" a="1"/>
  <c r="S1076" i="20" s="1"/>
  <c r="U1076" i="20" a="1"/>
  <c r="U1076" i="20" s="1"/>
  <c r="W1076" i="20" a="1"/>
  <c r="W1076" i="20" s="1"/>
  <c r="Y1076" i="20" a="1"/>
  <c r="Y1076" i="20" s="1"/>
  <c r="G1075" i="20" a="1"/>
  <c r="G1075" i="20" s="1"/>
  <c r="I1075" i="20" a="1"/>
  <c r="I1075" i="20" s="1"/>
  <c r="K1075" i="20" a="1"/>
  <c r="K1075" i="20" s="1"/>
  <c r="M1075" i="20" a="1"/>
  <c r="M1075" i="20" s="1"/>
  <c r="O1075" i="20" a="1"/>
  <c r="O1075" i="20" s="1"/>
  <c r="Q1075" i="20" a="1"/>
  <c r="Q1075" i="20" s="1"/>
  <c r="S1075" i="20" a="1"/>
  <c r="S1075" i="20" s="1"/>
  <c r="U1075" i="20" a="1"/>
  <c r="U1075" i="20" s="1"/>
  <c r="W1075" i="20" a="1"/>
  <c r="W1075" i="20" s="1"/>
  <c r="Y1075" i="20" a="1"/>
  <c r="Y1075" i="20" s="1"/>
  <c r="G1074" i="20" a="1"/>
  <c r="G1074" i="20" s="1"/>
  <c r="I1074" i="20" a="1"/>
  <c r="I1074" i="20" s="1"/>
  <c r="K1074" i="20" a="1"/>
  <c r="K1074" i="20" s="1"/>
  <c r="M1074" i="20" a="1"/>
  <c r="M1074" i="20" s="1"/>
  <c r="O1074" i="20" a="1"/>
  <c r="O1074" i="20" s="1"/>
  <c r="Q1074" i="20" a="1"/>
  <c r="Q1074" i="20" s="1"/>
  <c r="S1074" i="20" a="1"/>
  <c r="S1074" i="20" s="1"/>
  <c r="U1074" i="20" a="1"/>
  <c r="U1074" i="20" s="1"/>
  <c r="W1074" i="20" a="1"/>
  <c r="W1074" i="20" s="1"/>
  <c r="Y1074" i="20" a="1"/>
  <c r="Y1074" i="20" s="1"/>
  <c r="J1073" i="20" a="1"/>
  <c r="J1073" i="20" s="1"/>
  <c r="G1070" i="20" a="1"/>
  <c r="G1070" i="20" s="1"/>
  <c r="I1070" i="20" a="1"/>
  <c r="I1070" i="20" s="1"/>
  <c r="K1070" i="20"/>
  <c r="M1070" i="20" a="1"/>
  <c r="M1070" i="20" s="1"/>
  <c r="O1070" i="20" a="1"/>
  <c r="O1070" i="20" s="1"/>
  <c r="Q1070" i="20" a="1"/>
  <c r="Q1070" i="20" s="1"/>
  <c r="S1070" i="20" a="1"/>
  <c r="S1070" i="20" s="1"/>
  <c r="U1070" i="20" a="1"/>
  <c r="U1070" i="20" s="1"/>
  <c r="W1070" i="20" a="1"/>
  <c r="W1070" i="20" s="1"/>
  <c r="Y1070" i="20" a="1"/>
  <c r="Y1070" i="20" s="1"/>
  <c r="J1069" i="20" a="1"/>
  <c r="J1069" i="20" s="1"/>
  <c r="G1044" i="20" a="1"/>
  <c r="G1044" i="20" s="1"/>
  <c r="I1044" i="20" a="1"/>
  <c r="I1044" i="20" s="1"/>
  <c r="K1044" i="20"/>
  <c r="M1044" i="20" a="1"/>
  <c r="M1044" i="20" s="1"/>
  <c r="O1044" i="20" a="1"/>
  <c r="O1044" i="20" s="1"/>
  <c r="Q1044" i="20" a="1"/>
  <c r="Q1044" i="20" s="1"/>
  <c r="S1044" i="20" a="1"/>
  <c r="S1044" i="20" s="1"/>
  <c r="U1044" i="20" a="1"/>
  <c r="U1044" i="20" s="1"/>
  <c r="W1044" i="20" a="1"/>
  <c r="W1044" i="20" s="1"/>
  <c r="Y1044" i="20" a="1"/>
  <c r="Y1044" i="20" s="1"/>
  <c r="J1043" i="20" a="1"/>
  <c r="J1043" i="20" s="1"/>
  <c r="G1040" i="20" a="1"/>
  <c r="G1040" i="20" s="1"/>
  <c r="K1040" i="20"/>
  <c r="M1040" i="20" a="1"/>
  <c r="M1040" i="20" s="1"/>
  <c r="O1040" i="20" a="1"/>
  <c r="O1040" i="20" s="1"/>
  <c r="Q1040" i="20" a="1"/>
  <c r="Q1040" i="20" s="1"/>
  <c r="S1040" i="20" a="1"/>
  <c r="S1040" i="20" s="1"/>
  <c r="U1040" i="20" a="1"/>
  <c r="U1040" i="20" s="1"/>
  <c r="W1040" i="20" a="1"/>
  <c r="W1040" i="20" s="1"/>
  <c r="Y1040" i="20" a="1"/>
  <c r="Y1040" i="20" s="1"/>
  <c r="G1021" i="20" a="1"/>
  <c r="G1021" i="20" s="1"/>
  <c r="I1021" i="20" a="1"/>
  <c r="I1021" i="20" s="1"/>
  <c r="K1021" i="20" a="1"/>
  <c r="K1021" i="20" s="1"/>
  <c r="M1021" i="20" a="1"/>
  <c r="M1021" i="20" s="1"/>
  <c r="O1021" i="20" a="1"/>
  <c r="O1021" i="20" s="1"/>
  <c r="Q1021" i="20" a="1"/>
  <c r="Q1021" i="20" s="1"/>
  <c r="S1021" i="20" a="1"/>
  <c r="S1021" i="20" s="1"/>
  <c r="U1021" i="20" a="1"/>
  <c r="U1021" i="20" s="1"/>
  <c r="W1021" i="20" a="1"/>
  <c r="W1021" i="20" s="1"/>
  <c r="Y1021" i="20" a="1"/>
  <c r="Y1021" i="20" s="1"/>
  <c r="G1020" i="20" a="1"/>
  <c r="G1020" i="20" s="1"/>
  <c r="I1020" i="20" a="1"/>
  <c r="I1020" i="20" s="1"/>
  <c r="K1020" i="20" a="1"/>
  <c r="K1020" i="20" s="1"/>
  <c r="M1020" i="20" a="1"/>
  <c r="M1020" i="20" s="1"/>
  <c r="O1020" i="20" a="1"/>
  <c r="O1020" i="20" s="1"/>
  <c r="Q1020" i="20" a="1"/>
  <c r="Q1020" i="20" s="1"/>
  <c r="S1020" i="20" a="1"/>
  <c r="S1020" i="20" s="1"/>
  <c r="U1020" i="20" a="1"/>
  <c r="U1020" i="20" s="1"/>
  <c r="W1020" i="20" a="1"/>
  <c r="W1020" i="20" s="1"/>
  <c r="Y1020" i="20" a="1"/>
  <c r="Y1020" i="20" s="1"/>
  <c r="G1019" i="20" a="1"/>
  <c r="G1019" i="20" s="1"/>
  <c r="I1019" i="20" a="1"/>
  <c r="I1019" i="20" s="1"/>
  <c r="K1019" i="20" a="1"/>
  <c r="K1019" i="20" s="1"/>
  <c r="M1019" i="20" a="1"/>
  <c r="M1019" i="20" s="1"/>
  <c r="O1019" i="20" a="1"/>
  <c r="O1019" i="20" s="1"/>
  <c r="Q1019" i="20" a="1"/>
  <c r="Q1019" i="20" s="1"/>
  <c r="S1019" i="20" a="1"/>
  <c r="S1019" i="20" s="1"/>
  <c r="U1019" i="20" a="1"/>
  <c r="U1019" i="20" s="1"/>
  <c r="W1019" i="20" a="1"/>
  <c r="W1019" i="20" s="1"/>
  <c r="Y1019" i="20" a="1"/>
  <c r="Y1019" i="20" s="1"/>
  <c r="G1018" i="20" a="1"/>
  <c r="G1018" i="20" s="1"/>
  <c r="I1018" i="20" a="1"/>
  <c r="I1018" i="20" s="1"/>
  <c r="K1018" i="20" a="1"/>
  <c r="K1018" i="20" s="1"/>
  <c r="M1018" i="20" a="1"/>
  <c r="M1018" i="20" s="1"/>
  <c r="O1018" i="20" a="1"/>
  <c r="O1018" i="20" s="1"/>
  <c r="Q1018" i="20" a="1"/>
  <c r="Q1018" i="20" s="1"/>
  <c r="S1018" i="20" a="1"/>
  <c r="S1018" i="20" s="1"/>
  <c r="U1018" i="20" a="1"/>
  <c r="U1018" i="20" s="1"/>
  <c r="W1018" i="20" a="1"/>
  <c r="W1018" i="20" s="1"/>
  <c r="Y1018" i="20" a="1"/>
  <c r="Y1018" i="20" s="1"/>
  <c r="J1017" i="20" a="1"/>
  <c r="J1017" i="20" s="1"/>
  <c r="G1014" i="20" a="1"/>
  <c r="G1014" i="20" s="1"/>
  <c r="I1014" i="20" a="1"/>
  <c r="I1014" i="20" s="1"/>
  <c r="K1014" i="20"/>
  <c r="M1014" i="20" a="1"/>
  <c r="M1014" i="20" s="1"/>
  <c r="O1014" i="20" a="1"/>
  <c r="O1014" i="20" s="1"/>
  <c r="Q1014" i="20" a="1"/>
  <c r="Q1014" i="20" s="1"/>
  <c r="S1014" i="20" a="1"/>
  <c r="S1014" i="20" s="1"/>
  <c r="U1014" i="20" a="1"/>
  <c r="U1014" i="20" s="1"/>
  <c r="W1014" i="20" a="1"/>
  <c r="W1014" i="20" s="1"/>
  <c r="Y1014" i="20" a="1"/>
  <c r="Y1014" i="20" s="1"/>
  <c r="J1013" i="20" a="1"/>
  <c r="J1013" i="20" s="1"/>
  <c r="G988" i="20" a="1"/>
  <c r="G988" i="20" s="1"/>
  <c r="I988" i="20" a="1"/>
  <c r="I988" i="20" s="1"/>
  <c r="K988" i="20"/>
  <c r="M988" i="20" a="1"/>
  <c r="M988" i="20" s="1"/>
  <c r="O988" i="20" a="1"/>
  <c r="O988" i="20" s="1"/>
  <c r="Q988" i="20" a="1"/>
  <c r="Q988" i="20" s="1"/>
  <c r="S988" i="20" a="1"/>
  <c r="S988" i="20" s="1"/>
  <c r="U988" i="20" a="1"/>
  <c r="U988" i="20" s="1"/>
  <c r="W988" i="20" a="1"/>
  <c r="W988" i="20" s="1"/>
  <c r="Y988" i="20" a="1"/>
  <c r="Y988" i="20" s="1"/>
  <c r="J987" i="20" a="1"/>
  <c r="J987" i="20" s="1"/>
  <c r="G984" i="20" a="1"/>
  <c r="G984" i="20" s="1"/>
  <c r="K984" i="20"/>
  <c r="M984" i="20" a="1"/>
  <c r="M984" i="20" s="1"/>
  <c r="O984" i="20" a="1"/>
  <c r="O984" i="20" s="1"/>
  <c r="Q984" i="20" a="1"/>
  <c r="Q984" i="20" s="1"/>
  <c r="S984" i="20" a="1"/>
  <c r="S984" i="20" s="1"/>
  <c r="U984" i="20" a="1"/>
  <c r="U984" i="20" s="1"/>
  <c r="W984" i="20" a="1"/>
  <c r="W984" i="20" s="1"/>
  <c r="Y984" i="20" a="1"/>
  <c r="Y984" i="20" s="1"/>
  <c r="G965" i="20" a="1"/>
  <c r="G965" i="20" s="1"/>
  <c r="I965" i="20" a="1"/>
  <c r="I965" i="20" s="1"/>
  <c r="K965" i="20" a="1"/>
  <c r="K965" i="20" s="1"/>
  <c r="M965" i="20" a="1"/>
  <c r="M965" i="20" s="1"/>
  <c r="O965" i="20" a="1"/>
  <c r="O965" i="20" s="1"/>
  <c r="Q965" i="20" a="1"/>
  <c r="Q965" i="20" s="1"/>
  <c r="S965" i="20" a="1"/>
  <c r="S965" i="20" s="1"/>
  <c r="U965" i="20" a="1"/>
  <c r="U965" i="20" s="1"/>
  <c r="W965" i="20" a="1"/>
  <c r="W965" i="20" s="1"/>
  <c r="Y965" i="20" a="1"/>
  <c r="Y965" i="20" s="1"/>
  <c r="G964" i="20" a="1"/>
  <c r="G964" i="20" s="1"/>
  <c r="I964" i="20" a="1"/>
  <c r="I964" i="20" s="1"/>
  <c r="K964" i="20" a="1"/>
  <c r="K964" i="20" s="1"/>
  <c r="M964" i="20" a="1"/>
  <c r="M964" i="20" s="1"/>
  <c r="O964" i="20" a="1"/>
  <c r="O964" i="20" s="1"/>
  <c r="Q964" i="20" a="1"/>
  <c r="Q964" i="20" s="1"/>
  <c r="S964" i="20" a="1"/>
  <c r="S964" i="20" s="1"/>
  <c r="U964" i="20" a="1"/>
  <c r="U964" i="20" s="1"/>
  <c r="W964" i="20" a="1"/>
  <c r="W964" i="20" s="1"/>
  <c r="Y964" i="20" a="1"/>
  <c r="Y964" i="20" s="1"/>
  <c r="G963" i="20" a="1"/>
  <c r="G963" i="20" s="1"/>
  <c r="I963" i="20" a="1"/>
  <c r="I963" i="20" s="1"/>
  <c r="K963" i="20" a="1"/>
  <c r="K963" i="20" s="1"/>
  <c r="M963" i="20" a="1"/>
  <c r="M963" i="20" s="1"/>
  <c r="O963" i="20" a="1"/>
  <c r="O963" i="20" s="1"/>
  <c r="Q963" i="20" a="1"/>
  <c r="Q963" i="20" s="1"/>
  <c r="S963" i="20" a="1"/>
  <c r="S963" i="20" s="1"/>
  <c r="U963" i="20" a="1"/>
  <c r="U963" i="20" s="1"/>
  <c r="W963" i="20" a="1"/>
  <c r="W963" i="20" s="1"/>
  <c r="Y963" i="20" a="1"/>
  <c r="Y963" i="20" s="1"/>
  <c r="G962" i="20" a="1"/>
  <c r="G962" i="20" s="1"/>
  <c r="I962" i="20" a="1"/>
  <c r="I962" i="20" s="1"/>
  <c r="K962" i="20" a="1"/>
  <c r="K962" i="20" s="1"/>
  <c r="M962" i="20" a="1"/>
  <c r="M962" i="20" s="1"/>
  <c r="O962" i="20" a="1"/>
  <c r="O962" i="20" s="1"/>
  <c r="Q962" i="20" a="1"/>
  <c r="Q962" i="20" s="1"/>
  <c r="S962" i="20" a="1"/>
  <c r="S962" i="20" s="1"/>
  <c r="U962" i="20" a="1"/>
  <c r="U962" i="20" s="1"/>
  <c r="W962" i="20" a="1"/>
  <c r="W962" i="20" s="1"/>
  <c r="Y962" i="20" a="1"/>
  <c r="Y962" i="20" s="1"/>
  <c r="J961" i="20" a="1"/>
  <c r="J961" i="20" s="1"/>
  <c r="H1133" i="20" a="1"/>
  <c r="H1133" i="20" s="1"/>
  <c r="J1133" i="20" a="1"/>
  <c r="J1133" i="20" s="1"/>
  <c r="L1133" i="20" a="1"/>
  <c r="L1133" i="20" s="1"/>
  <c r="N1133" i="20" a="1"/>
  <c r="N1133" i="20" s="1"/>
  <c r="P1133" i="20" a="1"/>
  <c r="P1133" i="20" s="1"/>
  <c r="R1133" i="20" a="1"/>
  <c r="R1133" i="20" s="1"/>
  <c r="T1133" i="20" a="1"/>
  <c r="T1133" i="20" s="1"/>
  <c r="V1133" i="20" a="1"/>
  <c r="V1133" i="20" s="1"/>
  <c r="X1133" i="20" a="1"/>
  <c r="X1133" i="20" s="1"/>
  <c r="Y1130" i="20" a="1"/>
  <c r="Y1130" i="20" s="1"/>
  <c r="U1130" i="20" a="1"/>
  <c r="U1130" i="20" s="1"/>
  <c r="Q1130" i="20" a="1"/>
  <c r="Q1130" i="20" s="1"/>
  <c r="M1130" i="20" a="1"/>
  <c r="M1130" i="20" s="1"/>
  <c r="I1130" i="20" a="1"/>
  <c r="I1130" i="20" s="1"/>
  <c r="J1129" i="20" a="1"/>
  <c r="J1129" i="20" s="1"/>
  <c r="J1126" i="20" a="1"/>
  <c r="J1126" i="20" s="1"/>
  <c r="V1105" i="20" a="1"/>
  <c r="V1105" i="20" s="1"/>
  <c r="R1105" i="20" a="1"/>
  <c r="R1105" i="20" s="1"/>
  <c r="N1105" i="20" a="1"/>
  <c r="N1105" i="20" s="1"/>
  <c r="J1105" i="20" a="1"/>
  <c r="J1105" i="20" s="1"/>
  <c r="V1102" i="20" a="1"/>
  <c r="V1102" i="20" s="1"/>
  <c r="R1102" i="20" a="1"/>
  <c r="R1102" i="20" s="1"/>
  <c r="N1102" i="20" a="1"/>
  <c r="N1102" i="20" s="1"/>
  <c r="J1102" i="20" a="1"/>
  <c r="J1102" i="20" s="1"/>
  <c r="V1075" i="20" a="1"/>
  <c r="V1075" i="20" s="1"/>
  <c r="R1075" i="20" a="1"/>
  <c r="R1075" i="20" s="1"/>
  <c r="N1075" i="20" a="1"/>
  <c r="N1075" i="20" s="1"/>
  <c r="J1075" i="20" a="1"/>
  <c r="J1075" i="20" s="1"/>
  <c r="V1073" i="20" a="1"/>
  <c r="V1073" i="20" s="1"/>
  <c r="R1073" i="20" a="1"/>
  <c r="R1073" i="20" s="1"/>
  <c r="N1073" i="20" a="1"/>
  <c r="N1073" i="20" s="1"/>
  <c r="V1072" i="20" a="1"/>
  <c r="V1072" i="20" s="1"/>
  <c r="R1072" i="20" a="1"/>
  <c r="R1072" i="20" s="1"/>
  <c r="N1072" i="20" a="1"/>
  <c r="N1072" i="20" s="1"/>
  <c r="V1071" i="20" a="1"/>
  <c r="V1071" i="20" s="1"/>
  <c r="R1071" i="20" a="1"/>
  <c r="R1071" i="20" s="1"/>
  <c r="V1070" i="20" a="1"/>
  <c r="V1070" i="20" s="1"/>
  <c r="R1070" i="20" a="1"/>
  <c r="R1070" i="20" s="1"/>
  <c r="N1070" i="20" a="1"/>
  <c r="N1070" i="20" s="1"/>
  <c r="V1069" i="20" a="1"/>
  <c r="V1069" i="20" s="1"/>
  <c r="R1069" i="20" a="1"/>
  <c r="R1069" i="20" s="1"/>
  <c r="N1069" i="20" a="1"/>
  <c r="N1069" i="20" s="1"/>
  <c r="V1068" i="20" a="1"/>
  <c r="V1068" i="20" s="1"/>
  <c r="R1068" i="20" a="1"/>
  <c r="R1068" i="20" s="1"/>
  <c r="N1068" i="20" a="1"/>
  <c r="N1068" i="20" s="1"/>
  <c r="V1049" i="20" a="1"/>
  <c r="V1049" i="20" s="1"/>
  <c r="R1049" i="20" a="1"/>
  <c r="R1049" i="20" s="1"/>
  <c r="N1049" i="20" a="1"/>
  <c r="N1049" i="20" s="1"/>
  <c r="J1049" i="20" a="1"/>
  <c r="J1049" i="20" s="1"/>
  <c r="V1046" i="20" a="1"/>
  <c r="V1046" i="20" s="1"/>
  <c r="R1046" i="20" a="1"/>
  <c r="R1046" i="20" s="1"/>
  <c r="N1046" i="20" a="1"/>
  <c r="N1046" i="20" s="1"/>
  <c r="J1046" i="20" a="1"/>
  <c r="J1046" i="20" s="1"/>
  <c r="V1019" i="20" a="1"/>
  <c r="V1019" i="20" s="1"/>
  <c r="R1019" i="20" a="1"/>
  <c r="R1019" i="20" s="1"/>
  <c r="N1019" i="20" a="1"/>
  <c r="N1019" i="20" s="1"/>
  <c r="J1019" i="20" a="1"/>
  <c r="J1019" i="20" s="1"/>
  <c r="V992" i="20" a="1"/>
  <c r="V992" i="20" s="1"/>
  <c r="R992" i="20" a="1"/>
  <c r="R992" i="20" s="1"/>
  <c r="N992" i="20" a="1"/>
  <c r="N992" i="20" s="1"/>
  <c r="J992" i="20" a="1"/>
  <c r="J992" i="20" s="1"/>
  <c r="V989" i="20" a="1"/>
  <c r="V989" i="20" s="1"/>
  <c r="R989" i="20" a="1"/>
  <c r="R989" i="20" s="1"/>
  <c r="V988" i="20" a="1"/>
  <c r="V988" i="20" s="1"/>
  <c r="R988" i="20" a="1"/>
  <c r="R988" i="20" s="1"/>
  <c r="N988" i="20" a="1"/>
  <c r="N988" i="20" s="1"/>
  <c r="V987" i="20" a="1"/>
  <c r="V987" i="20" s="1"/>
  <c r="R987" i="20" a="1"/>
  <c r="R987" i="20" s="1"/>
  <c r="N987" i="20" a="1"/>
  <c r="N987" i="20" s="1"/>
  <c r="V986" i="20" a="1"/>
  <c r="V986" i="20" s="1"/>
  <c r="R986" i="20" a="1"/>
  <c r="R986" i="20" s="1"/>
  <c r="N986" i="20" a="1"/>
  <c r="N986" i="20" s="1"/>
  <c r="V985" i="20" a="1"/>
  <c r="V985" i="20" s="1"/>
  <c r="R985" i="20" a="1"/>
  <c r="R985" i="20" s="1"/>
  <c r="V984" i="20" a="1"/>
  <c r="V984" i="20" s="1"/>
  <c r="R984" i="20" a="1"/>
  <c r="R984" i="20" s="1"/>
  <c r="N984" i="20" a="1"/>
  <c r="N984" i="20" s="1"/>
  <c r="V965" i="20" a="1"/>
  <c r="V965" i="20" s="1"/>
  <c r="R965" i="20" a="1"/>
  <c r="R965" i="20" s="1"/>
  <c r="N965" i="20" a="1"/>
  <c r="N965" i="20" s="1"/>
  <c r="J965" i="20" a="1"/>
  <c r="J965" i="20" s="1"/>
  <c r="V962" i="20" a="1"/>
  <c r="V962" i="20" s="1"/>
  <c r="R962" i="20" a="1"/>
  <c r="R962" i="20" s="1"/>
  <c r="N962" i="20" a="1"/>
  <c r="N962" i="20" s="1"/>
  <c r="J962" i="20" a="1"/>
  <c r="J962" i="20" s="1"/>
  <c r="V934" i="20" a="1"/>
  <c r="V934" i="20" s="1"/>
  <c r="R934" i="20" a="1"/>
  <c r="R934" i="20" s="1"/>
  <c r="N934" i="20" a="1"/>
  <c r="N934" i="20" s="1"/>
  <c r="J934" i="20" a="1"/>
  <c r="J934" i="20" s="1"/>
  <c r="G903" i="20" a="1"/>
  <c r="G903" i="20" s="1"/>
  <c r="I903" i="20" a="1"/>
  <c r="I903" i="20" s="1"/>
  <c r="K903" i="20"/>
  <c r="L903" i="20" a="1"/>
  <c r="L903" i="20" s="1"/>
  <c r="N903" i="20" a="1"/>
  <c r="N903" i="20" s="1"/>
  <c r="P903" i="20" a="1"/>
  <c r="P903" i="20" s="1"/>
  <c r="R903" i="20" a="1"/>
  <c r="R903" i="20" s="1"/>
  <c r="T903" i="20" a="1"/>
  <c r="T903" i="20" s="1"/>
  <c r="V903" i="20" a="1"/>
  <c r="V903" i="20" s="1"/>
  <c r="X903" i="20" a="1"/>
  <c r="X903" i="20" s="1"/>
  <c r="M903" i="20" a="1"/>
  <c r="M903" i="20" s="1"/>
  <c r="O903" i="20" a="1"/>
  <c r="O903" i="20" s="1"/>
  <c r="Q903" i="20" a="1"/>
  <c r="Q903" i="20" s="1"/>
  <c r="S903" i="20" a="1"/>
  <c r="S903" i="20" s="1"/>
  <c r="U903" i="20" a="1"/>
  <c r="U903" i="20" s="1"/>
  <c r="W903" i="20" a="1"/>
  <c r="W903" i="20" s="1"/>
  <c r="Y903" i="20" a="1"/>
  <c r="Y903" i="20" s="1"/>
  <c r="J902" i="20" a="1"/>
  <c r="J902" i="20" s="1"/>
  <c r="G901" i="20" a="1"/>
  <c r="G901" i="20" s="1"/>
  <c r="K901" i="20"/>
  <c r="L901" i="20" a="1"/>
  <c r="L901" i="20" s="1"/>
  <c r="N901" i="20" a="1"/>
  <c r="N901" i="20" s="1"/>
  <c r="P901" i="20" a="1"/>
  <c r="P901" i="20" s="1"/>
  <c r="R901" i="20" a="1"/>
  <c r="R901" i="20" s="1"/>
  <c r="T901" i="20" a="1"/>
  <c r="T901" i="20" s="1"/>
  <c r="V901" i="20" a="1"/>
  <c r="V901" i="20" s="1"/>
  <c r="X901" i="20" a="1"/>
  <c r="X901" i="20" s="1"/>
  <c r="M901" i="20" a="1"/>
  <c r="M901" i="20" s="1"/>
  <c r="O901" i="20" a="1"/>
  <c r="O901" i="20" s="1"/>
  <c r="Q901" i="20" a="1"/>
  <c r="Q901" i="20" s="1"/>
  <c r="S901" i="20" a="1"/>
  <c r="S901" i="20" s="1"/>
  <c r="U901" i="20" a="1"/>
  <c r="U901" i="20" s="1"/>
  <c r="W901" i="20" a="1"/>
  <c r="W901" i="20" s="1"/>
  <c r="Y901" i="20" a="1"/>
  <c r="Y901" i="20" s="1"/>
  <c r="G1100" i="20" a="1"/>
  <c r="G1100" i="20" s="1"/>
  <c r="I1100" i="20" a="1"/>
  <c r="I1100" i="20" s="1"/>
  <c r="K1100" i="20"/>
  <c r="M1100" i="20" a="1"/>
  <c r="M1100" i="20" s="1"/>
  <c r="O1100" i="20" a="1"/>
  <c r="O1100" i="20" s="1"/>
  <c r="Q1100" i="20" a="1"/>
  <c r="Q1100" i="20" s="1"/>
  <c r="S1100" i="20" a="1"/>
  <c r="S1100" i="20" s="1"/>
  <c r="U1100" i="20" a="1"/>
  <c r="U1100" i="20" s="1"/>
  <c r="W1100" i="20" a="1"/>
  <c r="W1100" i="20" s="1"/>
  <c r="Y1100" i="20" a="1"/>
  <c r="Y1100" i="20" s="1"/>
  <c r="J1099" i="20" a="1"/>
  <c r="J1099" i="20" s="1"/>
  <c r="G1097" i="20" a="1"/>
  <c r="G1097" i="20" s="1"/>
  <c r="K1097" i="20"/>
  <c r="M1097" i="20" a="1"/>
  <c r="M1097" i="20" s="1"/>
  <c r="O1097" i="20" a="1"/>
  <c r="O1097" i="20" s="1"/>
  <c r="Q1097" i="20" a="1"/>
  <c r="Q1097" i="20" s="1"/>
  <c r="S1097" i="20" a="1"/>
  <c r="S1097" i="20" s="1"/>
  <c r="U1097" i="20" a="1"/>
  <c r="U1097" i="20" s="1"/>
  <c r="W1097" i="20" a="1"/>
  <c r="W1097" i="20" s="1"/>
  <c r="Y1097" i="20" a="1"/>
  <c r="Y1097" i="20" s="1"/>
  <c r="J1096" i="20" a="1"/>
  <c r="J1096" i="20" s="1"/>
  <c r="G1071" i="20" a="1"/>
  <c r="G1071" i="20" s="1"/>
  <c r="I1071" i="20" a="1"/>
  <c r="I1071" i="20" s="1"/>
  <c r="K1071" i="20"/>
  <c r="M1071" i="20" a="1"/>
  <c r="M1071" i="20" s="1"/>
  <c r="O1071" i="20" a="1"/>
  <c r="O1071" i="20" s="1"/>
  <c r="Q1071" i="20" a="1"/>
  <c r="Q1071" i="20" s="1"/>
  <c r="S1071" i="20" a="1"/>
  <c r="S1071" i="20" s="1"/>
  <c r="U1071" i="20" a="1"/>
  <c r="U1071" i="20" s="1"/>
  <c r="W1071" i="20" a="1"/>
  <c r="W1071" i="20" s="1"/>
  <c r="Y1071" i="20" a="1"/>
  <c r="Y1071" i="20" s="1"/>
  <c r="J1070" i="20" a="1"/>
  <c r="J1070" i="20" s="1"/>
  <c r="G1045" i="20" a="1"/>
  <c r="G1045" i="20" s="1"/>
  <c r="I1045" i="20" a="1"/>
  <c r="I1045" i="20" s="1"/>
  <c r="K1045" i="20"/>
  <c r="M1045" i="20" a="1"/>
  <c r="M1045" i="20" s="1"/>
  <c r="O1045" i="20" a="1"/>
  <c r="O1045" i="20" s="1"/>
  <c r="Q1045" i="20" a="1"/>
  <c r="Q1045" i="20" s="1"/>
  <c r="S1045" i="20" a="1"/>
  <c r="S1045" i="20" s="1"/>
  <c r="U1045" i="20" a="1"/>
  <c r="U1045" i="20" s="1"/>
  <c r="W1045" i="20" a="1"/>
  <c r="W1045" i="20" s="1"/>
  <c r="Y1045" i="20" a="1"/>
  <c r="Y1045" i="20" s="1"/>
  <c r="J1044" i="20" a="1"/>
  <c r="J1044" i="20" s="1"/>
  <c r="G1041" i="20" a="1"/>
  <c r="G1041" i="20" s="1"/>
  <c r="K1041" i="20"/>
  <c r="M1041" i="20" a="1"/>
  <c r="M1041" i="20" s="1"/>
  <c r="O1041" i="20" a="1"/>
  <c r="O1041" i="20" s="1"/>
  <c r="Q1041" i="20" a="1"/>
  <c r="Q1041" i="20" s="1"/>
  <c r="S1041" i="20" a="1"/>
  <c r="S1041" i="20" s="1"/>
  <c r="U1041" i="20" a="1"/>
  <c r="U1041" i="20" s="1"/>
  <c r="W1041" i="20" a="1"/>
  <c r="W1041" i="20" s="1"/>
  <c r="Y1041" i="20" a="1"/>
  <c r="Y1041" i="20" s="1"/>
  <c r="J1040" i="20" a="1"/>
  <c r="J1040" i="20" s="1"/>
  <c r="G1015" i="20" a="1"/>
  <c r="G1015" i="20" s="1"/>
  <c r="I1015" i="20" a="1"/>
  <c r="I1015" i="20" s="1"/>
  <c r="K1015" i="20"/>
  <c r="M1015" i="20" a="1"/>
  <c r="M1015" i="20" s="1"/>
  <c r="O1015" i="20" a="1"/>
  <c r="O1015" i="20" s="1"/>
  <c r="Q1015" i="20" a="1"/>
  <c r="Q1015" i="20" s="1"/>
  <c r="S1015" i="20" a="1"/>
  <c r="S1015" i="20" s="1"/>
  <c r="U1015" i="20" a="1"/>
  <c r="U1015" i="20" s="1"/>
  <c r="W1015" i="20" a="1"/>
  <c r="W1015" i="20" s="1"/>
  <c r="Y1015" i="20" a="1"/>
  <c r="Y1015" i="20" s="1"/>
  <c r="J1014" i="20" a="1"/>
  <c r="J1014" i="20" s="1"/>
  <c r="G989" i="20" a="1"/>
  <c r="G989" i="20" s="1"/>
  <c r="I989" i="20" a="1"/>
  <c r="I989" i="20" s="1"/>
  <c r="K989" i="20"/>
  <c r="M989" i="20" a="1"/>
  <c r="M989" i="20" s="1"/>
  <c r="O989" i="20" a="1"/>
  <c r="O989" i="20" s="1"/>
  <c r="Q989" i="20" a="1"/>
  <c r="Q989" i="20" s="1"/>
  <c r="S989" i="20" a="1"/>
  <c r="S989" i="20" s="1"/>
  <c r="U989" i="20" a="1"/>
  <c r="U989" i="20" s="1"/>
  <c r="W989" i="20" a="1"/>
  <c r="W989" i="20" s="1"/>
  <c r="Y989" i="20" a="1"/>
  <c r="Y989" i="20" s="1"/>
  <c r="J988" i="20" a="1"/>
  <c r="J988" i="20" s="1"/>
  <c r="G985" i="20" a="1"/>
  <c r="G985" i="20" s="1"/>
  <c r="K985" i="20"/>
  <c r="M985" i="20" a="1"/>
  <c r="M985" i="20" s="1"/>
  <c r="O985" i="20" a="1"/>
  <c r="O985" i="20" s="1"/>
  <c r="Q985" i="20" a="1"/>
  <c r="Q985" i="20" s="1"/>
  <c r="S985" i="20" a="1"/>
  <c r="S985" i="20" s="1"/>
  <c r="U985" i="20" a="1"/>
  <c r="U985" i="20" s="1"/>
  <c r="W985" i="20" a="1"/>
  <c r="W985" i="20" s="1"/>
  <c r="Y985" i="20" a="1"/>
  <c r="Y985" i="20" s="1"/>
  <c r="J984" i="20" a="1"/>
  <c r="J984" i="20" s="1"/>
  <c r="J1127" i="20" a="1"/>
  <c r="J1127" i="20" s="1"/>
  <c r="J1124" i="20" a="1"/>
  <c r="J1124" i="20" s="1"/>
  <c r="V1103" i="20" a="1"/>
  <c r="V1103" i="20" s="1"/>
  <c r="R1103" i="20" a="1"/>
  <c r="R1103" i="20" s="1"/>
  <c r="N1103" i="20" a="1"/>
  <c r="N1103" i="20" s="1"/>
  <c r="J1103" i="20" a="1"/>
  <c r="J1103" i="20" s="1"/>
  <c r="V1076" i="20" a="1"/>
  <c r="V1076" i="20" s="1"/>
  <c r="R1076" i="20" a="1"/>
  <c r="R1076" i="20" s="1"/>
  <c r="N1076" i="20" a="1"/>
  <c r="N1076" i="20" s="1"/>
  <c r="J1076" i="20" a="1"/>
  <c r="J1076" i="20" s="1"/>
  <c r="V1048" i="20" a="1"/>
  <c r="V1048" i="20" s="1"/>
  <c r="R1048" i="20" a="1"/>
  <c r="R1048" i="20" s="1"/>
  <c r="N1048" i="20" a="1"/>
  <c r="N1048" i="20" s="1"/>
  <c r="J1048" i="20" a="1"/>
  <c r="J1048" i="20" s="1"/>
  <c r="V1045" i="20" a="1"/>
  <c r="V1045" i="20" s="1"/>
  <c r="R1045" i="20" a="1"/>
  <c r="R1045" i="20" s="1"/>
  <c r="N1045" i="20" a="1"/>
  <c r="N1045" i="20" s="1"/>
  <c r="V1044" i="20" a="1"/>
  <c r="V1044" i="20" s="1"/>
  <c r="R1044" i="20" a="1"/>
  <c r="R1044" i="20" s="1"/>
  <c r="N1044" i="20" a="1"/>
  <c r="N1044" i="20" s="1"/>
  <c r="V1043" i="20" a="1"/>
  <c r="V1043" i="20" s="1"/>
  <c r="R1043" i="20" a="1"/>
  <c r="R1043" i="20" s="1"/>
  <c r="N1043" i="20" a="1"/>
  <c r="N1043" i="20" s="1"/>
  <c r="V1042" i="20" a="1"/>
  <c r="V1042" i="20" s="1"/>
  <c r="R1042" i="20" a="1"/>
  <c r="R1042" i="20" s="1"/>
  <c r="N1042" i="20" a="1"/>
  <c r="N1042" i="20" s="1"/>
  <c r="V1041" i="20" a="1"/>
  <c r="V1041" i="20" s="1"/>
  <c r="R1041" i="20" a="1"/>
  <c r="R1041" i="20" s="1"/>
  <c r="N1041" i="20" a="1"/>
  <c r="N1041" i="20" s="1"/>
  <c r="V1040" i="20" a="1"/>
  <c r="V1040" i="20" s="1"/>
  <c r="R1040" i="20" a="1"/>
  <c r="R1040" i="20" s="1"/>
  <c r="N1040" i="20" a="1"/>
  <c r="N1040" i="20" s="1"/>
  <c r="V1021" i="20" a="1"/>
  <c r="V1021" i="20" s="1"/>
  <c r="R1021" i="20" a="1"/>
  <c r="R1021" i="20" s="1"/>
  <c r="N1021" i="20" a="1"/>
  <c r="N1021" i="20" s="1"/>
  <c r="J1021" i="20" a="1"/>
  <c r="J1021" i="20" s="1"/>
  <c r="V1018" i="20" a="1"/>
  <c r="V1018" i="20" s="1"/>
  <c r="R1018" i="20" a="1"/>
  <c r="R1018" i="20" s="1"/>
  <c r="N1018" i="20" a="1"/>
  <c r="N1018" i="20" s="1"/>
  <c r="J1018" i="20" a="1"/>
  <c r="J1018" i="20" s="1"/>
  <c r="V991" i="20" a="1"/>
  <c r="V991" i="20" s="1"/>
  <c r="R991" i="20" a="1"/>
  <c r="R991" i="20" s="1"/>
  <c r="N991" i="20" a="1"/>
  <c r="N991" i="20" s="1"/>
  <c r="J991" i="20" a="1"/>
  <c r="J991" i="20" s="1"/>
  <c r="V964" i="20" a="1"/>
  <c r="V964" i="20" s="1"/>
  <c r="R964" i="20" a="1"/>
  <c r="R964" i="20" s="1"/>
  <c r="N964" i="20" a="1"/>
  <c r="N964" i="20" s="1"/>
  <c r="J964" i="20" a="1"/>
  <c r="J964" i="20" s="1"/>
  <c r="V961" i="20" a="1"/>
  <c r="V961" i="20" s="1"/>
  <c r="R961" i="20" a="1"/>
  <c r="R961" i="20" s="1"/>
  <c r="N961" i="20" a="1"/>
  <c r="N961" i="20" s="1"/>
  <c r="V960" i="20" a="1"/>
  <c r="V960" i="20" s="1"/>
  <c r="R960" i="20" a="1"/>
  <c r="R960" i="20" s="1"/>
  <c r="N960" i="20" a="1"/>
  <c r="N960" i="20" s="1"/>
  <c r="V959" i="20" a="1"/>
  <c r="V959" i="20" s="1"/>
  <c r="R959" i="20" a="1"/>
  <c r="R959" i="20" s="1"/>
  <c r="N959" i="20" a="1"/>
  <c r="N959" i="20" s="1"/>
  <c r="V958" i="20" a="1"/>
  <c r="V958" i="20" s="1"/>
  <c r="R958" i="20" a="1"/>
  <c r="R958" i="20" s="1"/>
  <c r="N958" i="20" a="1"/>
  <c r="N958" i="20" s="1"/>
  <c r="V957" i="20" a="1"/>
  <c r="V957" i="20" s="1"/>
  <c r="R957" i="20" a="1"/>
  <c r="R957" i="20" s="1"/>
  <c r="N957" i="20" a="1"/>
  <c r="N957" i="20" s="1"/>
  <c r="V956" i="20" a="1"/>
  <c r="V956" i="20" s="1"/>
  <c r="R956" i="20" a="1"/>
  <c r="R956" i="20" s="1"/>
  <c r="N956" i="20" a="1"/>
  <c r="N956" i="20" s="1"/>
  <c r="V937" i="20" a="1"/>
  <c r="V937" i="20" s="1"/>
  <c r="R937" i="20" a="1"/>
  <c r="R937" i="20" s="1"/>
  <c r="N937" i="20" a="1"/>
  <c r="N937" i="20" s="1"/>
  <c r="J937" i="20" a="1"/>
  <c r="J937" i="20" s="1"/>
  <c r="V933" i="20" a="1"/>
  <c r="V933" i="20" s="1"/>
  <c r="R933" i="20" a="1"/>
  <c r="R933" i="20" s="1"/>
  <c r="N933" i="20" a="1"/>
  <c r="N933" i="20" s="1"/>
  <c r="V932" i="20" a="1"/>
  <c r="V932" i="20" s="1"/>
  <c r="R932" i="20" a="1"/>
  <c r="R932" i="20" s="1"/>
  <c r="N932" i="20" a="1"/>
  <c r="N932" i="20" s="1"/>
  <c r="V931" i="20" a="1"/>
  <c r="V931" i="20" s="1"/>
  <c r="R931" i="20" a="1"/>
  <c r="R931" i="20" s="1"/>
  <c r="N931" i="20" a="1"/>
  <c r="N931" i="20" s="1"/>
  <c r="V930" i="20" a="1"/>
  <c r="V930" i="20" s="1"/>
  <c r="R930" i="20" a="1"/>
  <c r="R930" i="20" s="1"/>
  <c r="N930" i="20" a="1"/>
  <c r="N930" i="20" s="1"/>
  <c r="V929" i="20" a="1"/>
  <c r="V929" i="20" s="1"/>
  <c r="R929" i="20" a="1"/>
  <c r="R929" i="20" s="1"/>
  <c r="N929" i="20" a="1"/>
  <c r="N929" i="20" s="1"/>
  <c r="V928" i="20" a="1"/>
  <c r="V928" i="20" s="1"/>
  <c r="Y1133" i="20" a="1"/>
  <c r="Y1133" i="20" s="1"/>
  <c r="U1133" i="20" a="1"/>
  <c r="U1133" i="20" s="1"/>
  <c r="Q1133" i="20" a="1"/>
  <c r="Q1133" i="20" s="1"/>
  <c r="M1133" i="20" a="1"/>
  <c r="M1133" i="20" s="1"/>
  <c r="I1133" i="20" a="1"/>
  <c r="I1133" i="20" s="1"/>
  <c r="H1132" i="20" a="1"/>
  <c r="H1132" i="20" s="1"/>
  <c r="J1132" i="20" a="1"/>
  <c r="J1132" i="20" s="1"/>
  <c r="L1132" i="20" a="1"/>
  <c r="L1132" i="20" s="1"/>
  <c r="N1132" i="20" a="1"/>
  <c r="N1132" i="20" s="1"/>
  <c r="P1132" i="20" a="1"/>
  <c r="P1132" i="20" s="1"/>
  <c r="R1132" i="20" a="1"/>
  <c r="R1132" i="20" s="1"/>
  <c r="T1132" i="20" a="1"/>
  <c r="T1132" i="20" s="1"/>
  <c r="V1132" i="20" a="1"/>
  <c r="V1132" i="20" s="1"/>
  <c r="X1132" i="20" a="1"/>
  <c r="X1132" i="20" s="1"/>
  <c r="Y1129" i="20" a="1"/>
  <c r="Y1129" i="20" s="1"/>
  <c r="U1129" i="20" a="1"/>
  <c r="U1129" i="20" s="1"/>
  <c r="Q1129" i="20" a="1"/>
  <c r="Q1129" i="20" s="1"/>
  <c r="M1129" i="20" a="1"/>
  <c r="M1129" i="20" s="1"/>
  <c r="Y1128" i="20" a="1"/>
  <c r="Y1128" i="20" s="1"/>
  <c r="U1128" i="20" a="1"/>
  <c r="U1128" i="20" s="1"/>
  <c r="Q1128" i="20" a="1"/>
  <c r="Q1128" i="20" s="1"/>
  <c r="M1128" i="20" a="1"/>
  <c r="M1128" i="20" s="1"/>
  <c r="Y1127" i="20" a="1"/>
  <c r="Y1127" i="20" s="1"/>
  <c r="U1127" i="20" a="1"/>
  <c r="U1127" i="20" s="1"/>
  <c r="Q1127" i="20" a="1"/>
  <c r="Q1127" i="20" s="1"/>
  <c r="M1127" i="20" a="1"/>
  <c r="M1127" i="20" s="1"/>
  <c r="Y1126" i="20" a="1"/>
  <c r="Y1126" i="20" s="1"/>
  <c r="U1126" i="20" a="1"/>
  <c r="U1126" i="20" s="1"/>
  <c r="Q1126" i="20" a="1"/>
  <c r="Q1126" i="20" s="1"/>
  <c r="M1126" i="20" a="1"/>
  <c r="M1126" i="20" s="1"/>
  <c r="Y1125" i="20" a="1"/>
  <c r="Y1125" i="20" s="1"/>
  <c r="U1125" i="20" a="1"/>
  <c r="U1125" i="20" s="1"/>
  <c r="Q1125" i="20" a="1"/>
  <c r="Q1125" i="20" s="1"/>
  <c r="M1125" i="20" a="1"/>
  <c r="M1125" i="20" s="1"/>
  <c r="Y1124" i="20" a="1"/>
  <c r="Y1124" i="20" s="1"/>
  <c r="U1124" i="20" a="1"/>
  <c r="U1124" i="20" s="1"/>
  <c r="Q1124" i="20" a="1"/>
  <c r="Q1124" i="20" s="1"/>
  <c r="Q1139" i="20" s="1" a="1"/>
  <c r="M1124" i="20" a="1"/>
  <c r="M1124" i="20" s="1"/>
  <c r="H1101" i="20" a="1"/>
  <c r="H1101" i="20" s="1"/>
  <c r="H1100" i="20" a="1"/>
  <c r="H1100" i="20" s="1"/>
  <c r="H1099" i="20" a="1"/>
  <c r="H1099" i="20" s="1"/>
  <c r="H1098" i="20" a="1"/>
  <c r="H1098" i="20" s="1"/>
  <c r="H1097" i="20" a="1"/>
  <c r="H1097" i="20" s="1"/>
  <c r="H1096" i="20" a="1"/>
  <c r="H1096" i="20" s="1"/>
  <c r="H1073" i="20" a="1"/>
  <c r="H1073" i="20" s="1"/>
  <c r="H1072" i="20" a="1"/>
  <c r="H1072" i="20" s="1"/>
  <c r="H1071" i="20" a="1"/>
  <c r="H1071" i="20" s="1"/>
  <c r="H1070" i="20" a="1"/>
  <c r="H1070" i="20" s="1"/>
  <c r="H1069" i="20" a="1"/>
  <c r="H1069" i="20" s="1"/>
  <c r="H1068" i="20" a="1"/>
  <c r="H1068" i="20" s="1"/>
  <c r="H1045" i="20" a="1"/>
  <c r="H1045" i="20" s="1"/>
  <c r="H1044" i="20" a="1"/>
  <c r="H1044" i="20" s="1"/>
  <c r="H1043" i="20" a="1"/>
  <c r="H1043" i="20" s="1"/>
  <c r="H1042" i="20" a="1"/>
  <c r="H1042" i="20" s="1"/>
  <c r="H1041" i="20" a="1"/>
  <c r="H1041" i="20" s="1"/>
  <c r="H1040" i="20" a="1"/>
  <c r="H1040" i="20" s="1"/>
  <c r="H1017" i="20" a="1"/>
  <c r="H1017" i="20" s="1"/>
  <c r="H1016" i="20" a="1"/>
  <c r="H1016" i="20" s="1"/>
  <c r="H1015" i="20" a="1"/>
  <c r="H1015" i="20" s="1"/>
  <c r="H1014" i="20" a="1"/>
  <c r="H1014" i="20" s="1"/>
  <c r="H1013" i="20" a="1"/>
  <c r="H1013" i="20" s="1"/>
  <c r="H1012" i="20" a="1"/>
  <c r="H1012" i="20" s="1"/>
  <c r="H989" i="20" a="1"/>
  <c r="H989" i="20" s="1"/>
  <c r="H988" i="20" a="1"/>
  <c r="H988" i="20" s="1"/>
  <c r="H987" i="20" a="1"/>
  <c r="H987" i="20" s="1"/>
  <c r="H986" i="20" a="1"/>
  <c r="H986" i="20" s="1"/>
  <c r="H985" i="20" a="1"/>
  <c r="H985" i="20" s="1"/>
  <c r="H984" i="20" a="1"/>
  <c r="H984" i="20" s="1"/>
  <c r="H961" i="20" a="1"/>
  <c r="H961" i="20" s="1"/>
  <c r="H960" i="20" a="1"/>
  <c r="H960" i="20" s="1"/>
  <c r="H959" i="20" a="1"/>
  <c r="H959" i="20" s="1"/>
  <c r="H958" i="20" a="1"/>
  <c r="H958" i="20" s="1"/>
  <c r="H957" i="20" a="1"/>
  <c r="H957" i="20" s="1"/>
  <c r="H956" i="20" a="1"/>
  <c r="H956" i="20" s="1"/>
  <c r="H933" i="20" a="1"/>
  <c r="H933" i="20" s="1"/>
  <c r="H932" i="20" a="1"/>
  <c r="H932" i="20" s="1"/>
  <c r="H931" i="20" a="1"/>
  <c r="H931" i="20" s="1"/>
  <c r="H930" i="20" a="1"/>
  <c r="H930" i="20" s="1"/>
  <c r="H929" i="20" a="1"/>
  <c r="H929" i="20" s="1"/>
  <c r="H909" i="20" a="1"/>
  <c r="H909" i="20" s="1"/>
  <c r="J909" i="20" a="1"/>
  <c r="J909" i="20" s="1"/>
  <c r="L909" i="20" a="1"/>
  <c r="L909" i="20" s="1"/>
  <c r="N909" i="20" a="1"/>
  <c r="N909" i="20" s="1"/>
  <c r="P909" i="20" a="1"/>
  <c r="P909" i="20" s="1"/>
  <c r="R909" i="20" a="1"/>
  <c r="R909" i="20" s="1"/>
  <c r="T909" i="20" a="1"/>
  <c r="T909" i="20" s="1"/>
  <c r="V909" i="20" a="1"/>
  <c r="V909" i="20" s="1"/>
  <c r="X909" i="20" a="1"/>
  <c r="X909" i="20" s="1"/>
  <c r="G909" i="20" a="1"/>
  <c r="G909" i="20" s="1"/>
  <c r="I909" i="20" a="1"/>
  <c r="I909" i="20" s="1"/>
  <c r="K909" i="20" a="1"/>
  <c r="K909" i="20" s="1"/>
  <c r="M909" i="20" a="1"/>
  <c r="M909" i="20" s="1"/>
  <c r="O909" i="20" a="1"/>
  <c r="O909" i="20" s="1"/>
  <c r="Q909" i="20" a="1"/>
  <c r="Q909" i="20" s="1"/>
  <c r="S909" i="20" a="1"/>
  <c r="S909" i="20" s="1"/>
  <c r="U909" i="20" a="1"/>
  <c r="U909" i="20" s="1"/>
  <c r="W909" i="20" a="1"/>
  <c r="W909" i="20" s="1"/>
  <c r="Y909" i="20" a="1"/>
  <c r="Y909" i="20" s="1"/>
  <c r="G905" i="20" a="1"/>
  <c r="G905" i="20" s="1"/>
  <c r="I905" i="20" a="1"/>
  <c r="I905" i="20" s="1"/>
  <c r="K905" i="20"/>
  <c r="L905" i="20" a="1"/>
  <c r="L905" i="20" s="1"/>
  <c r="N905" i="20" a="1"/>
  <c r="N905" i="20" s="1"/>
  <c r="P905" i="20" a="1"/>
  <c r="P905" i="20" s="1"/>
  <c r="R905" i="20" a="1"/>
  <c r="R905" i="20" s="1"/>
  <c r="T905" i="20" a="1"/>
  <c r="T905" i="20" s="1"/>
  <c r="V905" i="20" a="1"/>
  <c r="V905" i="20" s="1"/>
  <c r="X905" i="20" a="1"/>
  <c r="X905" i="20" s="1"/>
  <c r="M905" i="20" a="1"/>
  <c r="M905" i="20" s="1"/>
  <c r="O905" i="20" a="1"/>
  <c r="O905" i="20" s="1"/>
  <c r="Q905" i="20" a="1"/>
  <c r="Q905" i="20" s="1"/>
  <c r="S905" i="20" a="1"/>
  <c r="S905" i="20" s="1"/>
  <c r="U905" i="20" a="1"/>
  <c r="U905" i="20" s="1"/>
  <c r="W905" i="20" a="1"/>
  <c r="W905" i="20" s="1"/>
  <c r="Y905" i="20" a="1"/>
  <c r="Y905" i="20" s="1"/>
  <c r="J904" i="20" a="1"/>
  <c r="J904" i="20" s="1"/>
  <c r="Y1132" i="20" a="1"/>
  <c r="Y1132" i="20" s="1"/>
  <c r="U1132" i="20" a="1"/>
  <c r="U1132" i="20" s="1"/>
  <c r="Q1132" i="20" a="1"/>
  <c r="Q1132" i="20" s="1"/>
  <c r="M1132" i="20" a="1"/>
  <c r="M1132" i="20" s="1"/>
  <c r="I1132" i="20" a="1"/>
  <c r="I1132" i="20" s="1"/>
  <c r="H1131" i="20" a="1"/>
  <c r="H1131" i="20" s="1"/>
  <c r="J1131" i="20" a="1"/>
  <c r="J1131" i="20" s="1"/>
  <c r="L1131" i="20" a="1"/>
  <c r="L1131" i="20" s="1"/>
  <c r="N1131" i="20" a="1"/>
  <c r="N1131" i="20" s="1"/>
  <c r="P1131" i="20" a="1"/>
  <c r="P1131" i="20" s="1"/>
  <c r="R1131" i="20" a="1"/>
  <c r="R1131" i="20" s="1"/>
  <c r="T1131" i="20" a="1"/>
  <c r="T1131" i="20" s="1"/>
  <c r="V1131" i="20" a="1"/>
  <c r="V1131" i="20" s="1"/>
  <c r="X1131" i="20" a="1"/>
  <c r="X1131" i="20" s="1"/>
  <c r="W1130" i="20" a="1"/>
  <c r="W1130" i="20" s="1"/>
  <c r="S1130" i="20" a="1"/>
  <c r="S1130" i="20" s="1"/>
  <c r="O1130" i="20" a="1"/>
  <c r="O1130" i="20" s="1"/>
  <c r="K1130" i="20" a="1"/>
  <c r="K1130" i="20" s="1"/>
  <c r="X1105" i="20" a="1"/>
  <c r="X1105" i="20" s="1"/>
  <c r="T1105" i="20" a="1"/>
  <c r="T1105" i="20" s="1"/>
  <c r="P1105" i="20" a="1"/>
  <c r="P1105" i="20" s="1"/>
  <c r="L1105" i="20" a="1"/>
  <c r="L1105" i="20" s="1"/>
  <c r="X1104" i="20" a="1"/>
  <c r="X1104" i="20" s="1"/>
  <c r="T1104" i="20" a="1"/>
  <c r="T1104" i="20" s="1"/>
  <c r="P1104" i="20" a="1"/>
  <c r="P1104" i="20" s="1"/>
  <c r="L1104" i="20" a="1"/>
  <c r="L1104" i="20" s="1"/>
  <c r="X1103" i="20" a="1"/>
  <c r="X1103" i="20" s="1"/>
  <c r="T1103" i="20" a="1"/>
  <c r="T1103" i="20" s="1"/>
  <c r="P1103" i="20" a="1"/>
  <c r="P1103" i="20" s="1"/>
  <c r="L1103" i="20" a="1"/>
  <c r="L1103" i="20" s="1"/>
  <c r="X1102" i="20" a="1"/>
  <c r="X1102" i="20" s="1"/>
  <c r="T1102" i="20" a="1"/>
  <c r="T1102" i="20" s="1"/>
  <c r="P1102" i="20" a="1"/>
  <c r="P1102" i="20" s="1"/>
  <c r="L1102" i="20" a="1"/>
  <c r="L1102" i="20" s="1"/>
  <c r="X1101" i="20" a="1"/>
  <c r="X1101" i="20" s="1"/>
  <c r="T1101" i="20" a="1"/>
  <c r="T1101" i="20" s="1"/>
  <c r="P1101" i="20" a="1"/>
  <c r="P1101" i="20" s="1"/>
  <c r="L1101" i="20" a="1"/>
  <c r="L1101" i="20" s="1"/>
  <c r="X1100" i="20" a="1"/>
  <c r="X1100" i="20" s="1"/>
  <c r="T1100" i="20" a="1"/>
  <c r="T1100" i="20" s="1"/>
  <c r="P1100" i="20" a="1"/>
  <c r="P1100" i="20" s="1"/>
  <c r="L1100" i="20" a="1"/>
  <c r="L1100" i="20" s="1"/>
  <c r="X1099" i="20" a="1"/>
  <c r="X1099" i="20" s="1"/>
  <c r="T1099" i="20" a="1"/>
  <c r="T1099" i="20" s="1"/>
  <c r="P1099" i="20" a="1"/>
  <c r="P1099" i="20" s="1"/>
  <c r="L1099" i="20" a="1"/>
  <c r="L1099" i="20" s="1"/>
  <c r="X1098" i="20" a="1"/>
  <c r="X1098" i="20" s="1"/>
  <c r="T1098" i="20" a="1"/>
  <c r="T1098" i="20" s="1"/>
  <c r="P1098" i="20" a="1"/>
  <c r="P1098" i="20" s="1"/>
  <c r="X1097" i="20" a="1"/>
  <c r="X1097" i="20" s="1"/>
  <c r="T1097" i="20" a="1"/>
  <c r="T1097" i="20" s="1"/>
  <c r="P1097" i="20" a="1"/>
  <c r="P1097" i="20" s="1"/>
  <c r="L1097" i="20" a="1"/>
  <c r="L1097" i="20" s="1"/>
  <c r="X1096" i="20" a="1"/>
  <c r="X1096" i="20" s="1"/>
  <c r="X1111" i="20" s="1" a="1"/>
  <c r="T1096" i="20" a="1"/>
  <c r="T1096" i="20" s="1"/>
  <c r="P1096" i="20" a="1"/>
  <c r="P1096" i="20" s="1"/>
  <c r="L1096" i="20" a="1"/>
  <c r="L1096" i="20" s="1"/>
  <c r="L1111" i="20" s="1" a="1"/>
  <c r="X1077" i="20" a="1"/>
  <c r="X1077" i="20" s="1"/>
  <c r="T1077" i="20" a="1"/>
  <c r="T1077" i="20" s="1"/>
  <c r="P1077" i="20" a="1"/>
  <c r="P1077" i="20" s="1"/>
  <c r="L1077" i="20" a="1"/>
  <c r="L1077" i="20" s="1"/>
  <c r="H1077" i="20" a="1"/>
  <c r="H1077" i="20" s="1"/>
  <c r="X1076" i="20" a="1"/>
  <c r="X1076" i="20" s="1"/>
  <c r="T1076" i="20" a="1"/>
  <c r="T1076" i="20" s="1"/>
  <c r="P1076" i="20" a="1"/>
  <c r="P1076" i="20" s="1"/>
  <c r="L1076" i="20" a="1"/>
  <c r="L1076" i="20" s="1"/>
  <c r="H1076" i="20" a="1"/>
  <c r="H1076" i="20" s="1"/>
  <c r="X1075" i="20" a="1"/>
  <c r="X1075" i="20" s="1"/>
  <c r="T1075" i="20" a="1"/>
  <c r="T1075" i="20" s="1"/>
  <c r="P1075" i="20" a="1"/>
  <c r="P1075" i="20" s="1"/>
  <c r="L1075" i="20" a="1"/>
  <c r="L1075" i="20" s="1"/>
  <c r="H1075" i="20" a="1"/>
  <c r="H1075" i="20" s="1"/>
  <c r="X1074" i="20" a="1"/>
  <c r="X1074" i="20" s="1"/>
  <c r="T1074" i="20" a="1"/>
  <c r="T1074" i="20" s="1"/>
  <c r="P1074" i="20" a="1"/>
  <c r="P1074" i="20" s="1"/>
  <c r="L1074" i="20" a="1"/>
  <c r="L1074" i="20" s="1"/>
  <c r="H1074" i="20" a="1"/>
  <c r="H1074" i="20" s="1"/>
  <c r="X1073" i="20" a="1"/>
  <c r="X1073" i="20" s="1"/>
  <c r="T1073" i="20" a="1"/>
  <c r="T1073" i="20" s="1"/>
  <c r="P1073" i="20" a="1"/>
  <c r="P1073" i="20" s="1"/>
  <c r="X1072" i="20" a="1"/>
  <c r="X1072" i="20" s="1"/>
  <c r="T1072" i="20" a="1"/>
  <c r="T1072" i="20" s="1"/>
  <c r="P1072" i="20" a="1"/>
  <c r="P1072" i="20" s="1"/>
  <c r="X1071" i="20" a="1"/>
  <c r="X1071" i="20" s="1"/>
  <c r="T1071" i="20" a="1"/>
  <c r="T1071" i="20" s="1"/>
  <c r="P1071" i="20" a="1"/>
  <c r="P1071" i="20" s="1"/>
  <c r="L1071" i="20" a="1"/>
  <c r="L1071" i="20" s="1"/>
  <c r="X1070" i="20" a="1"/>
  <c r="X1070" i="20" s="1"/>
  <c r="T1070" i="20" a="1"/>
  <c r="T1070" i="20" s="1"/>
  <c r="P1070" i="20" a="1"/>
  <c r="P1070" i="20" s="1"/>
  <c r="L1070" i="20" a="1"/>
  <c r="L1070" i="20" s="1"/>
  <c r="X1069" i="20" a="1"/>
  <c r="X1069" i="20" s="1"/>
  <c r="T1069" i="20" a="1"/>
  <c r="T1069" i="20" s="1"/>
  <c r="P1069" i="20" a="1"/>
  <c r="P1069" i="20" s="1"/>
  <c r="X1068" i="20" a="1"/>
  <c r="X1068" i="20" s="1"/>
  <c r="T1068" i="20" a="1"/>
  <c r="T1068" i="20" s="1"/>
  <c r="P1068" i="20" a="1"/>
  <c r="P1068" i="20" s="1"/>
  <c r="P1083" i="20" s="1" a="1"/>
  <c r="X1049" i="20" a="1"/>
  <c r="X1049" i="20" s="1"/>
  <c r="T1049" i="20" a="1"/>
  <c r="T1049" i="20" s="1"/>
  <c r="P1049" i="20" a="1"/>
  <c r="P1049" i="20" s="1"/>
  <c r="L1049" i="20" a="1"/>
  <c r="L1049" i="20" s="1"/>
  <c r="X1048" i="20" a="1"/>
  <c r="X1048" i="20" s="1"/>
  <c r="T1048" i="20" a="1"/>
  <c r="T1048" i="20" s="1"/>
  <c r="P1048" i="20" a="1"/>
  <c r="P1048" i="20" s="1"/>
  <c r="L1048" i="20" a="1"/>
  <c r="L1048" i="20" s="1"/>
  <c r="X1047" i="20" a="1"/>
  <c r="X1047" i="20" s="1"/>
  <c r="T1047" i="20" a="1"/>
  <c r="T1047" i="20" s="1"/>
  <c r="P1047" i="20" a="1"/>
  <c r="P1047" i="20" s="1"/>
  <c r="L1047" i="20" a="1"/>
  <c r="L1047" i="20" s="1"/>
  <c r="X1046" i="20" a="1"/>
  <c r="X1046" i="20" s="1"/>
  <c r="T1046" i="20" a="1"/>
  <c r="T1046" i="20" s="1"/>
  <c r="P1046" i="20" a="1"/>
  <c r="P1046" i="20" s="1"/>
  <c r="L1046" i="20" a="1"/>
  <c r="L1046" i="20" s="1"/>
  <c r="X1045" i="20" a="1"/>
  <c r="X1045" i="20" s="1"/>
  <c r="T1045" i="20" a="1"/>
  <c r="T1045" i="20" s="1"/>
  <c r="P1045" i="20" a="1"/>
  <c r="P1045" i="20" s="1"/>
  <c r="L1045" i="20" a="1"/>
  <c r="L1045" i="20" s="1"/>
  <c r="X1044" i="20" a="1"/>
  <c r="X1044" i="20" s="1"/>
  <c r="T1044" i="20" a="1"/>
  <c r="T1044" i="20" s="1"/>
  <c r="P1044" i="20" a="1"/>
  <c r="P1044" i="20" s="1"/>
  <c r="L1044" i="20" a="1"/>
  <c r="L1044" i="20" s="1"/>
  <c r="X1043" i="20" a="1"/>
  <c r="X1043" i="20" s="1"/>
  <c r="T1043" i="20" a="1"/>
  <c r="T1043" i="20" s="1"/>
  <c r="P1043" i="20" a="1"/>
  <c r="P1043" i="20" s="1"/>
  <c r="L1043" i="20" a="1"/>
  <c r="L1043" i="20" s="1"/>
  <c r="X1042" i="20" a="1"/>
  <c r="X1042" i="20" s="1"/>
  <c r="T1042" i="20" a="1"/>
  <c r="T1042" i="20" s="1"/>
  <c r="P1042" i="20" a="1"/>
  <c r="P1042" i="20" s="1"/>
  <c r="X1041" i="20" a="1"/>
  <c r="X1041" i="20" s="1"/>
  <c r="T1041" i="20" a="1"/>
  <c r="T1041" i="20" s="1"/>
  <c r="P1041" i="20" a="1"/>
  <c r="P1041" i="20" s="1"/>
  <c r="L1041" i="20" a="1"/>
  <c r="L1041" i="20" s="1"/>
  <c r="X1040" i="20" a="1"/>
  <c r="X1040" i="20" s="1"/>
  <c r="X1055" i="20" s="1" a="1"/>
  <c r="T1040" i="20" a="1"/>
  <c r="T1040" i="20" s="1"/>
  <c r="T1055" i="20" s="1" a="1"/>
  <c r="P1040" i="20" a="1"/>
  <c r="P1040" i="20" s="1"/>
  <c r="L1040" i="20" a="1"/>
  <c r="L1040" i="20" s="1"/>
  <c r="X1021" i="20" a="1"/>
  <c r="X1021" i="20" s="1"/>
  <c r="T1021" i="20" a="1"/>
  <c r="T1021" i="20" s="1"/>
  <c r="P1021" i="20" a="1"/>
  <c r="P1021" i="20" s="1"/>
  <c r="L1021" i="20" a="1"/>
  <c r="L1021" i="20" s="1"/>
  <c r="H1021" i="20" a="1"/>
  <c r="H1021" i="20" s="1"/>
  <c r="X1020" i="20" a="1"/>
  <c r="X1020" i="20" s="1"/>
  <c r="T1020" i="20" a="1"/>
  <c r="T1020" i="20" s="1"/>
  <c r="P1020" i="20" a="1"/>
  <c r="P1020" i="20" s="1"/>
  <c r="L1020" i="20" a="1"/>
  <c r="L1020" i="20" s="1"/>
  <c r="H1020" i="20" a="1"/>
  <c r="H1020" i="20" s="1"/>
  <c r="X1019" i="20" a="1"/>
  <c r="X1019" i="20" s="1"/>
  <c r="T1019" i="20" a="1"/>
  <c r="T1019" i="20" s="1"/>
  <c r="P1019" i="20" a="1"/>
  <c r="P1019" i="20" s="1"/>
  <c r="L1019" i="20" a="1"/>
  <c r="L1019" i="20" s="1"/>
  <c r="H1019" i="20" a="1"/>
  <c r="H1019" i="20" s="1"/>
  <c r="X1018" i="20" a="1"/>
  <c r="X1018" i="20" s="1"/>
  <c r="T1018" i="20" a="1"/>
  <c r="T1018" i="20" s="1"/>
  <c r="P1018" i="20" a="1"/>
  <c r="P1018" i="20" s="1"/>
  <c r="L1018" i="20" a="1"/>
  <c r="L1018" i="20" s="1"/>
  <c r="H1018" i="20" a="1"/>
  <c r="H1018" i="20" s="1"/>
  <c r="X1017" i="20" a="1"/>
  <c r="X1017" i="20" s="1"/>
  <c r="T1017" i="20" a="1"/>
  <c r="T1017" i="20" s="1"/>
  <c r="P1017" i="20" a="1"/>
  <c r="P1017" i="20" s="1"/>
  <c r="X1016" i="20" a="1"/>
  <c r="X1016" i="20" s="1"/>
  <c r="T1016" i="20" a="1"/>
  <c r="T1016" i="20" s="1"/>
  <c r="P1016" i="20" a="1"/>
  <c r="P1016" i="20" s="1"/>
  <c r="X1015" i="20" a="1"/>
  <c r="X1015" i="20" s="1"/>
  <c r="T1015" i="20" a="1"/>
  <c r="T1015" i="20" s="1"/>
  <c r="P1015" i="20" a="1"/>
  <c r="P1015" i="20" s="1"/>
  <c r="L1015" i="20" a="1"/>
  <c r="L1015" i="20" s="1"/>
  <c r="X1014" i="20" a="1"/>
  <c r="X1014" i="20" s="1"/>
  <c r="T1014" i="20" a="1"/>
  <c r="T1014" i="20" s="1"/>
  <c r="P1014" i="20" a="1"/>
  <c r="P1014" i="20" s="1"/>
  <c r="L1014" i="20" a="1"/>
  <c r="L1014" i="20" s="1"/>
  <c r="X1013" i="20" a="1"/>
  <c r="X1013" i="20" s="1"/>
  <c r="T1013" i="20" a="1"/>
  <c r="T1013" i="20" s="1"/>
  <c r="P1013" i="20" a="1"/>
  <c r="P1013" i="20" s="1"/>
  <c r="X1012" i="20" a="1"/>
  <c r="X1012" i="20" s="1"/>
  <c r="T1012" i="20" a="1"/>
  <c r="T1012" i="20" s="1"/>
  <c r="P1012" i="20" a="1"/>
  <c r="P1012" i="20" s="1"/>
  <c r="X993" i="20" a="1"/>
  <c r="X993" i="20" s="1"/>
  <c r="T993" i="20" a="1"/>
  <c r="T993" i="20" s="1"/>
  <c r="P993" i="20" a="1"/>
  <c r="P993" i="20" s="1"/>
  <c r="L993" i="20" a="1"/>
  <c r="L993" i="20" s="1"/>
  <c r="X992" i="20" a="1"/>
  <c r="X992" i="20" s="1"/>
  <c r="T992" i="20" a="1"/>
  <c r="T992" i="20" s="1"/>
  <c r="P992" i="20" a="1"/>
  <c r="P992" i="20" s="1"/>
  <c r="L992" i="20" a="1"/>
  <c r="L992" i="20" s="1"/>
  <c r="X991" i="20" a="1"/>
  <c r="X991" i="20" s="1"/>
  <c r="T991" i="20" a="1"/>
  <c r="T991" i="20" s="1"/>
  <c r="P991" i="20" a="1"/>
  <c r="P991" i="20" s="1"/>
  <c r="L991" i="20" a="1"/>
  <c r="L991" i="20" s="1"/>
  <c r="X990" i="20" a="1"/>
  <c r="X990" i="20" s="1"/>
  <c r="T990" i="20" a="1"/>
  <c r="T990" i="20" s="1"/>
  <c r="P990" i="20" a="1"/>
  <c r="P990" i="20" s="1"/>
  <c r="L990" i="20" a="1"/>
  <c r="L990" i="20" s="1"/>
  <c r="X989" i="20" a="1"/>
  <c r="X989" i="20" s="1"/>
  <c r="T989" i="20" a="1"/>
  <c r="T989" i="20" s="1"/>
  <c r="P989" i="20" a="1"/>
  <c r="P989" i="20" s="1"/>
  <c r="L989" i="20" a="1"/>
  <c r="L989" i="20" s="1"/>
  <c r="X988" i="20" a="1"/>
  <c r="X988" i="20" s="1"/>
  <c r="T988" i="20" a="1"/>
  <c r="T988" i="20" s="1"/>
  <c r="P988" i="20" a="1"/>
  <c r="P988" i="20" s="1"/>
  <c r="L988" i="20" a="1"/>
  <c r="L988" i="20" s="1"/>
  <c r="X987" i="20" a="1"/>
  <c r="X987" i="20" s="1"/>
  <c r="T987" i="20" a="1"/>
  <c r="T987" i="20" s="1"/>
  <c r="P987" i="20" a="1"/>
  <c r="P987" i="20" s="1"/>
  <c r="L987" i="20" a="1"/>
  <c r="L987" i="20" s="1"/>
  <c r="X986" i="20" a="1"/>
  <c r="X986" i="20" s="1"/>
  <c r="T986" i="20" a="1"/>
  <c r="T986" i="20" s="1"/>
  <c r="P986" i="20" a="1"/>
  <c r="P986" i="20" s="1"/>
  <c r="X985" i="20" a="1"/>
  <c r="X985" i="20" s="1"/>
  <c r="T985" i="20" a="1"/>
  <c r="T985" i="20" s="1"/>
  <c r="P985" i="20" a="1"/>
  <c r="P985" i="20" s="1"/>
  <c r="L985" i="20" a="1"/>
  <c r="L985" i="20" s="1"/>
  <c r="X984" i="20" a="1"/>
  <c r="X984" i="20" s="1"/>
  <c r="T984" i="20" a="1"/>
  <c r="T984" i="20" s="1"/>
  <c r="P984" i="20" a="1"/>
  <c r="P984" i="20" s="1"/>
  <c r="P999" i="20" s="1" a="1"/>
  <c r="L984" i="20" a="1"/>
  <c r="L984" i="20" s="1"/>
  <c r="X965" i="20" a="1"/>
  <c r="X965" i="20" s="1"/>
  <c r="T965" i="20" a="1"/>
  <c r="T965" i="20" s="1"/>
  <c r="P965" i="20" a="1"/>
  <c r="P965" i="20" s="1"/>
  <c r="L965" i="20" a="1"/>
  <c r="L965" i="20" s="1"/>
  <c r="H965" i="20" a="1"/>
  <c r="H965" i="20" s="1"/>
  <c r="X964" i="20" a="1"/>
  <c r="X964" i="20" s="1"/>
  <c r="T964" i="20" a="1"/>
  <c r="T964" i="20" s="1"/>
  <c r="P964" i="20" a="1"/>
  <c r="P964" i="20" s="1"/>
  <c r="L964" i="20" a="1"/>
  <c r="L964" i="20" s="1"/>
  <c r="H964" i="20" a="1"/>
  <c r="H964" i="20" s="1"/>
  <c r="X963" i="20" a="1"/>
  <c r="X963" i="20" s="1"/>
  <c r="T963" i="20" a="1"/>
  <c r="T963" i="20" s="1"/>
  <c r="P963" i="20" a="1"/>
  <c r="P963" i="20" s="1"/>
  <c r="L963" i="20" a="1"/>
  <c r="L963" i="20" s="1"/>
  <c r="H963" i="20" a="1"/>
  <c r="H963" i="20" s="1"/>
  <c r="X962" i="20" a="1"/>
  <c r="X962" i="20" s="1"/>
  <c r="T962" i="20" a="1"/>
  <c r="T962" i="20" s="1"/>
  <c r="P962" i="20" a="1"/>
  <c r="P962" i="20" s="1"/>
  <c r="L962" i="20" a="1"/>
  <c r="L962" i="20" s="1"/>
  <c r="H962" i="20" a="1"/>
  <c r="H962" i="20" s="1"/>
  <c r="X961" i="20" a="1"/>
  <c r="X961" i="20" s="1"/>
  <c r="T961" i="20" a="1"/>
  <c r="T961" i="20" s="1"/>
  <c r="P961" i="20" a="1"/>
  <c r="P961" i="20" s="1"/>
  <c r="X960" i="20" a="1"/>
  <c r="X960" i="20" s="1"/>
  <c r="T960" i="20" a="1"/>
  <c r="T960" i="20" s="1"/>
  <c r="P960" i="20" a="1"/>
  <c r="P960" i="20" s="1"/>
  <c r="X959" i="20" a="1"/>
  <c r="X959" i="20" s="1"/>
  <c r="T959" i="20" a="1"/>
  <c r="T959" i="20" s="1"/>
  <c r="P959" i="20" a="1"/>
  <c r="P959" i="20" s="1"/>
  <c r="X958" i="20" a="1"/>
  <c r="X958" i="20" s="1"/>
  <c r="T958" i="20" a="1"/>
  <c r="T958" i="20" s="1"/>
  <c r="P958" i="20" a="1"/>
  <c r="P958" i="20" s="1"/>
  <c r="X957" i="20" a="1"/>
  <c r="X957" i="20" s="1"/>
  <c r="T957" i="20" a="1"/>
  <c r="T957" i="20" s="1"/>
  <c r="P957" i="20" a="1"/>
  <c r="P957" i="20" s="1"/>
  <c r="X956" i="20" a="1"/>
  <c r="X956" i="20" s="1"/>
  <c r="T956" i="20" a="1"/>
  <c r="T956" i="20" s="1"/>
  <c r="P956" i="20" a="1"/>
  <c r="P956" i="20" s="1"/>
  <c r="P971" i="20" s="1" a="1"/>
  <c r="X937" i="20" a="1"/>
  <c r="X937" i="20" s="1"/>
  <c r="T937" i="20" a="1"/>
  <c r="T937" i="20" s="1"/>
  <c r="P937" i="20" a="1"/>
  <c r="P937" i="20" s="1"/>
  <c r="L937" i="20" a="1"/>
  <c r="L937" i="20" s="1"/>
  <c r="X936" i="20" a="1"/>
  <c r="X936" i="20" s="1"/>
  <c r="T936" i="20" a="1"/>
  <c r="T936" i="20" s="1"/>
  <c r="P936" i="20" a="1"/>
  <c r="P936" i="20" s="1"/>
  <c r="L936" i="20" a="1"/>
  <c r="L936" i="20" s="1"/>
  <c r="X935" i="20" a="1"/>
  <c r="X935" i="20" s="1"/>
  <c r="T935" i="20" a="1"/>
  <c r="T935" i="20" s="1"/>
  <c r="P935" i="20" a="1"/>
  <c r="P935" i="20" s="1"/>
  <c r="L935" i="20" a="1"/>
  <c r="L935" i="20" s="1"/>
  <c r="X934" i="20" a="1"/>
  <c r="X934" i="20" s="1"/>
  <c r="T934" i="20" a="1"/>
  <c r="T934" i="20" s="1"/>
  <c r="P934" i="20" a="1"/>
  <c r="P934" i="20" s="1"/>
  <c r="L934" i="20" a="1"/>
  <c r="L934" i="20" s="1"/>
  <c r="X933" i="20" a="1"/>
  <c r="X933" i="20" s="1"/>
  <c r="T933" i="20" a="1"/>
  <c r="T933" i="20" s="1"/>
  <c r="P933" i="20" a="1"/>
  <c r="P933" i="20" s="1"/>
  <c r="X932" i="20" a="1"/>
  <c r="X932" i="20" s="1"/>
  <c r="T932" i="20" a="1"/>
  <c r="T932" i="20" s="1"/>
  <c r="P932" i="20" a="1"/>
  <c r="P932" i="20" s="1"/>
  <c r="X931" i="20" a="1"/>
  <c r="X931" i="20" s="1"/>
  <c r="T931" i="20" a="1"/>
  <c r="T931" i="20" s="1"/>
  <c r="P931" i="20" a="1"/>
  <c r="P931" i="20" s="1"/>
  <c r="X930" i="20" a="1"/>
  <c r="X930" i="20" s="1"/>
  <c r="T930" i="20" a="1"/>
  <c r="T930" i="20" s="1"/>
  <c r="P930" i="20" a="1"/>
  <c r="P930" i="20" s="1"/>
  <c r="X929" i="20" a="1"/>
  <c r="X929" i="20" s="1"/>
  <c r="T929" i="20" a="1"/>
  <c r="T929" i="20" s="1"/>
  <c r="P929" i="20" a="1"/>
  <c r="P929" i="20" s="1"/>
  <c r="X928" i="20" a="1"/>
  <c r="X928" i="20" s="1"/>
  <c r="X943" i="20" s="1" a="1"/>
  <c r="H906" i="20" a="1"/>
  <c r="H906" i="20" s="1"/>
  <c r="J906" i="20" a="1"/>
  <c r="J906" i="20" s="1"/>
  <c r="L906" i="20" a="1"/>
  <c r="L906" i="20" s="1"/>
  <c r="N906" i="20" a="1"/>
  <c r="N906" i="20" s="1"/>
  <c r="P906" i="20" a="1"/>
  <c r="P906" i="20" s="1"/>
  <c r="R906" i="20" a="1"/>
  <c r="R906" i="20" s="1"/>
  <c r="T906" i="20" a="1"/>
  <c r="T906" i="20" s="1"/>
  <c r="V906" i="20" a="1"/>
  <c r="V906" i="20" s="1"/>
  <c r="X906" i="20" a="1"/>
  <c r="X906" i="20" s="1"/>
  <c r="G906" i="20" a="1"/>
  <c r="G906" i="20" s="1"/>
  <c r="I906" i="20" a="1"/>
  <c r="I906" i="20" s="1"/>
  <c r="K906" i="20" a="1"/>
  <c r="K906" i="20" s="1"/>
  <c r="M906" i="20" a="1"/>
  <c r="M906" i="20" s="1"/>
  <c r="O906" i="20" a="1"/>
  <c r="O906" i="20" s="1"/>
  <c r="Q906" i="20" a="1"/>
  <c r="Q906" i="20" s="1"/>
  <c r="S906" i="20" a="1"/>
  <c r="S906" i="20" s="1"/>
  <c r="U906" i="20" a="1"/>
  <c r="U906" i="20" s="1"/>
  <c r="W906" i="20" a="1"/>
  <c r="W906" i="20" s="1"/>
  <c r="Y906" i="20" a="1"/>
  <c r="Y906" i="20" s="1"/>
  <c r="G900" i="20" a="1"/>
  <c r="G900" i="20" s="1"/>
  <c r="G915" i="20" s="1" a="1"/>
  <c r="K900" i="20"/>
  <c r="L900" i="20" a="1"/>
  <c r="L900" i="20" s="1"/>
  <c r="N900" i="20" a="1"/>
  <c r="N900" i="20" s="1"/>
  <c r="P900" i="20" a="1"/>
  <c r="P900" i="20" s="1"/>
  <c r="R900" i="20" a="1"/>
  <c r="R900" i="20" s="1"/>
  <c r="T900" i="20" a="1"/>
  <c r="T900" i="20" s="1"/>
  <c r="V900" i="20" a="1"/>
  <c r="V900" i="20" s="1"/>
  <c r="X900" i="20" a="1"/>
  <c r="X900" i="20" s="1"/>
  <c r="H900" i="20" a="1"/>
  <c r="H900" i="20" s="1"/>
  <c r="J900" i="20" a="1"/>
  <c r="J900" i="20" s="1"/>
  <c r="M900" i="20" a="1"/>
  <c r="M900" i="20" s="1"/>
  <c r="O900" i="20" a="1"/>
  <c r="O900" i="20" s="1"/>
  <c r="Q900" i="20" a="1"/>
  <c r="Q900" i="20" s="1"/>
  <c r="S900" i="20" a="1"/>
  <c r="S900" i="20" s="1"/>
  <c r="U900" i="20" a="1"/>
  <c r="U900" i="20" s="1"/>
  <c r="W900" i="20" a="1"/>
  <c r="W900" i="20" s="1"/>
  <c r="Y900" i="20" a="1"/>
  <c r="Y900" i="20" s="1"/>
  <c r="H1130" i="20" a="1"/>
  <c r="H1130" i="20" s="1"/>
  <c r="J1130" i="20" a="1"/>
  <c r="J1130" i="20" s="1"/>
  <c r="L1130" i="20" a="1"/>
  <c r="L1130" i="20" s="1"/>
  <c r="N1130" i="20" a="1"/>
  <c r="N1130" i="20" s="1"/>
  <c r="P1130" i="20" a="1"/>
  <c r="P1130" i="20" s="1"/>
  <c r="R1130" i="20" a="1"/>
  <c r="R1130" i="20" s="1"/>
  <c r="T1130" i="20" a="1"/>
  <c r="T1130" i="20" s="1"/>
  <c r="V1130" i="20" a="1"/>
  <c r="V1130" i="20" s="1"/>
  <c r="X1130" i="20" a="1"/>
  <c r="X1130" i="20" s="1"/>
  <c r="L1129" i="20" a="1"/>
  <c r="L1129" i="20" s="1"/>
  <c r="N1129" i="20" a="1"/>
  <c r="N1129" i="20" s="1"/>
  <c r="P1129" i="20" a="1"/>
  <c r="P1129" i="20" s="1"/>
  <c r="R1129" i="20" a="1"/>
  <c r="R1129" i="20" s="1"/>
  <c r="T1129" i="20" a="1"/>
  <c r="T1129" i="20" s="1"/>
  <c r="V1129" i="20" a="1"/>
  <c r="V1129" i="20" s="1"/>
  <c r="X1129" i="20" a="1"/>
  <c r="X1129" i="20" s="1"/>
  <c r="G1129" i="20" a="1"/>
  <c r="G1129" i="20" s="1"/>
  <c r="I1129" i="20" a="1"/>
  <c r="I1129" i="20" s="1"/>
  <c r="K1129" i="20"/>
  <c r="L1128" i="20" a="1"/>
  <c r="L1128" i="20" s="1"/>
  <c r="N1128" i="20" a="1"/>
  <c r="N1128" i="20" s="1"/>
  <c r="P1128" i="20" a="1"/>
  <c r="P1128" i="20" s="1"/>
  <c r="R1128" i="20" a="1"/>
  <c r="R1128" i="20" s="1"/>
  <c r="T1128" i="20" a="1"/>
  <c r="T1128" i="20" s="1"/>
  <c r="V1128" i="20" a="1"/>
  <c r="V1128" i="20" s="1"/>
  <c r="X1128" i="20" a="1"/>
  <c r="X1128" i="20" s="1"/>
  <c r="G1128" i="20" a="1"/>
  <c r="G1128" i="20" s="1"/>
  <c r="I1128" i="20" a="1"/>
  <c r="I1128" i="20" s="1"/>
  <c r="K1128" i="20"/>
  <c r="L1127" i="20" a="1"/>
  <c r="L1127" i="20" s="1"/>
  <c r="N1127" i="20" a="1"/>
  <c r="N1127" i="20" s="1"/>
  <c r="P1127" i="20" a="1"/>
  <c r="P1127" i="20" s="1"/>
  <c r="R1127" i="20" a="1"/>
  <c r="R1127" i="20" s="1"/>
  <c r="T1127" i="20" a="1"/>
  <c r="T1127" i="20" s="1"/>
  <c r="V1127" i="20" a="1"/>
  <c r="V1127" i="20" s="1"/>
  <c r="X1127" i="20" a="1"/>
  <c r="X1127" i="20" s="1"/>
  <c r="G1127" i="20" a="1"/>
  <c r="G1127" i="20" s="1"/>
  <c r="I1127" i="20" a="1"/>
  <c r="I1127" i="20" s="1"/>
  <c r="K1127" i="20"/>
  <c r="L1126" i="20" a="1"/>
  <c r="L1126" i="20" s="1"/>
  <c r="N1126" i="20" a="1"/>
  <c r="N1126" i="20" s="1"/>
  <c r="P1126" i="20" a="1"/>
  <c r="P1126" i="20" s="1"/>
  <c r="R1126" i="20" a="1"/>
  <c r="R1126" i="20" s="1"/>
  <c r="T1126" i="20" a="1"/>
  <c r="T1126" i="20" s="1"/>
  <c r="V1126" i="20" a="1"/>
  <c r="V1126" i="20" s="1"/>
  <c r="X1126" i="20" a="1"/>
  <c r="X1126" i="20" s="1"/>
  <c r="G1126" i="20" a="1"/>
  <c r="G1126" i="20" s="1"/>
  <c r="I1126" i="20" a="1"/>
  <c r="I1126" i="20" s="1"/>
  <c r="K1126" i="20"/>
  <c r="L1125" i="20" a="1"/>
  <c r="L1125" i="20" s="1"/>
  <c r="N1125" i="20" a="1"/>
  <c r="N1125" i="20" s="1"/>
  <c r="P1125" i="20" a="1"/>
  <c r="P1125" i="20" s="1"/>
  <c r="R1125" i="20" a="1"/>
  <c r="R1125" i="20" s="1"/>
  <c r="T1125" i="20" a="1"/>
  <c r="T1125" i="20" s="1"/>
  <c r="V1125" i="20" a="1"/>
  <c r="V1125" i="20" s="1"/>
  <c r="X1125" i="20" a="1"/>
  <c r="X1125" i="20" s="1"/>
  <c r="G1125" i="20" a="1"/>
  <c r="G1125" i="20" s="1"/>
  <c r="K1125" i="20"/>
  <c r="L1124" i="20" a="1"/>
  <c r="L1124" i="20" s="1"/>
  <c r="N1124" i="20" a="1"/>
  <c r="N1124" i="20" s="1"/>
  <c r="P1124" i="20" a="1"/>
  <c r="P1124" i="20" s="1"/>
  <c r="P1139" i="20" s="1" a="1"/>
  <c r="R1124" i="20" a="1"/>
  <c r="R1124" i="20" s="1"/>
  <c r="T1124" i="20" a="1"/>
  <c r="T1124" i="20" s="1"/>
  <c r="V1124" i="20" a="1"/>
  <c r="V1124" i="20" s="1"/>
  <c r="X1124" i="20" a="1"/>
  <c r="X1124" i="20" s="1"/>
  <c r="X1139" i="20" s="1" a="1"/>
  <c r="G1124" i="20" a="1"/>
  <c r="G1124" i="20" s="1"/>
  <c r="G1139" i="20" s="1" a="1"/>
  <c r="K1124" i="20"/>
  <c r="G1105" i="20" a="1"/>
  <c r="G1105" i="20" s="1"/>
  <c r="I1105" i="20" a="1"/>
  <c r="I1105" i="20" s="1"/>
  <c r="K1105" i="20" a="1"/>
  <c r="K1105" i="20" s="1"/>
  <c r="M1105" i="20" a="1"/>
  <c r="M1105" i="20" s="1"/>
  <c r="O1105" i="20" a="1"/>
  <c r="O1105" i="20" s="1"/>
  <c r="Q1105" i="20" a="1"/>
  <c r="Q1105" i="20" s="1"/>
  <c r="S1105" i="20" a="1"/>
  <c r="S1105" i="20" s="1"/>
  <c r="U1105" i="20" a="1"/>
  <c r="U1105" i="20" s="1"/>
  <c r="W1105" i="20" a="1"/>
  <c r="W1105" i="20" s="1"/>
  <c r="Y1105" i="20" a="1"/>
  <c r="Y1105" i="20" s="1"/>
  <c r="G1104" i="20" a="1"/>
  <c r="G1104" i="20" s="1"/>
  <c r="I1104" i="20" a="1"/>
  <c r="I1104" i="20" s="1"/>
  <c r="K1104" i="20" a="1"/>
  <c r="K1104" i="20" s="1"/>
  <c r="M1104" i="20" a="1"/>
  <c r="M1104" i="20" s="1"/>
  <c r="O1104" i="20" a="1"/>
  <c r="O1104" i="20" s="1"/>
  <c r="Q1104" i="20" a="1"/>
  <c r="Q1104" i="20" s="1"/>
  <c r="S1104" i="20" a="1"/>
  <c r="S1104" i="20" s="1"/>
  <c r="U1104" i="20" a="1"/>
  <c r="U1104" i="20" s="1"/>
  <c r="W1104" i="20" a="1"/>
  <c r="W1104" i="20" s="1"/>
  <c r="Y1104" i="20" a="1"/>
  <c r="Y1104" i="20" s="1"/>
  <c r="G1103" i="20" a="1"/>
  <c r="G1103" i="20" s="1"/>
  <c r="I1103" i="20" a="1"/>
  <c r="I1103" i="20" s="1"/>
  <c r="K1103" i="20" a="1"/>
  <c r="K1103" i="20" s="1"/>
  <c r="M1103" i="20" a="1"/>
  <c r="M1103" i="20" s="1"/>
  <c r="O1103" i="20" a="1"/>
  <c r="O1103" i="20" s="1"/>
  <c r="Q1103" i="20" a="1"/>
  <c r="Q1103" i="20" s="1"/>
  <c r="S1103" i="20" a="1"/>
  <c r="S1103" i="20" s="1"/>
  <c r="U1103" i="20" a="1"/>
  <c r="U1103" i="20" s="1"/>
  <c r="W1103" i="20" a="1"/>
  <c r="W1103" i="20" s="1"/>
  <c r="Y1103" i="20" a="1"/>
  <c r="Y1103" i="20" s="1"/>
  <c r="G1102" i="20" a="1"/>
  <c r="G1102" i="20" s="1"/>
  <c r="I1102" i="20" a="1"/>
  <c r="I1102" i="20" s="1"/>
  <c r="K1102" i="20" a="1"/>
  <c r="K1102" i="20" s="1"/>
  <c r="M1102" i="20" a="1"/>
  <c r="M1102" i="20" s="1"/>
  <c r="O1102" i="20" a="1"/>
  <c r="O1102" i="20" s="1"/>
  <c r="Q1102" i="20" a="1"/>
  <c r="Q1102" i="20" s="1"/>
  <c r="S1102" i="20" a="1"/>
  <c r="S1102" i="20" s="1"/>
  <c r="U1102" i="20" a="1"/>
  <c r="U1102" i="20" s="1"/>
  <c r="W1102" i="20" a="1"/>
  <c r="W1102" i="20" s="1"/>
  <c r="Y1102" i="20" a="1"/>
  <c r="Y1102" i="20" s="1"/>
  <c r="J1101" i="20" a="1"/>
  <c r="J1101" i="20" s="1"/>
  <c r="G1098" i="20" a="1"/>
  <c r="G1098" i="20" s="1"/>
  <c r="I1098" i="20" a="1"/>
  <c r="I1098" i="20" s="1"/>
  <c r="K1098" i="20"/>
  <c r="M1098" i="20" a="1"/>
  <c r="M1098" i="20" s="1"/>
  <c r="O1098" i="20" a="1"/>
  <c r="O1098" i="20" s="1"/>
  <c r="Q1098" i="20" a="1"/>
  <c r="Q1098" i="20" s="1"/>
  <c r="S1098" i="20" a="1"/>
  <c r="S1098" i="20" s="1"/>
  <c r="U1098" i="20" a="1"/>
  <c r="U1098" i="20" s="1"/>
  <c r="W1098" i="20" a="1"/>
  <c r="W1098" i="20" s="1"/>
  <c r="Y1098" i="20" a="1"/>
  <c r="Y1098" i="20" s="1"/>
  <c r="J1097" i="20" a="1"/>
  <c r="J1097" i="20" s="1"/>
  <c r="G1072" i="20" a="1"/>
  <c r="G1072" i="20" s="1"/>
  <c r="I1072" i="20" a="1"/>
  <c r="I1072" i="20" s="1"/>
  <c r="K1072" i="20"/>
  <c r="M1072" i="20" a="1"/>
  <c r="M1072" i="20" s="1"/>
  <c r="O1072" i="20" a="1"/>
  <c r="O1072" i="20" s="1"/>
  <c r="Q1072" i="20" a="1"/>
  <c r="Q1072" i="20" s="1"/>
  <c r="S1072" i="20" a="1"/>
  <c r="S1072" i="20" s="1"/>
  <c r="U1072" i="20" a="1"/>
  <c r="U1072" i="20" s="1"/>
  <c r="W1072" i="20" a="1"/>
  <c r="W1072" i="20" s="1"/>
  <c r="Y1072" i="20" a="1"/>
  <c r="Y1072" i="20" s="1"/>
  <c r="J1071" i="20" a="1"/>
  <c r="J1071" i="20" s="1"/>
  <c r="G1068" i="20" a="1"/>
  <c r="G1068" i="20" s="1"/>
  <c r="K1068" i="20"/>
  <c r="M1068" i="20" a="1"/>
  <c r="M1068" i="20" s="1"/>
  <c r="O1068" i="20" a="1"/>
  <c r="O1068" i="20" s="1"/>
  <c r="Q1068" i="20" a="1"/>
  <c r="Q1068" i="20" s="1"/>
  <c r="S1068" i="20" a="1"/>
  <c r="S1068" i="20" s="1"/>
  <c r="U1068" i="20" a="1"/>
  <c r="U1068" i="20" s="1"/>
  <c r="W1068" i="20" a="1"/>
  <c r="W1068" i="20" s="1"/>
  <c r="Y1068" i="20" a="1"/>
  <c r="Y1068" i="20" s="1"/>
  <c r="G1049" i="20" a="1"/>
  <c r="G1049" i="20" s="1"/>
  <c r="I1049" i="20" a="1"/>
  <c r="I1049" i="20" s="1"/>
  <c r="K1049" i="20" a="1"/>
  <c r="K1049" i="20" s="1"/>
  <c r="M1049" i="20" a="1"/>
  <c r="M1049" i="20" s="1"/>
  <c r="O1049" i="20" a="1"/>
  <c r="O1049" i="20" s="1"/>
  <c r="Q1049" i="20" a="1"/>
  <c r="Q1049" i="20" s="1"/>
  <c r="S1049" i="20" a="1"/>
  <c r="S1049" i="20" s="1"/>
  <c r="U1049" i="20" a="1"/>
  <c r="U1049" i="20" s="1"/>
  <c r="W1049" i="20" a="1"/>
  <c r="W1049" i="20" s="1"/>
  <c r="Y1049" i="20" a="1"/>
  <c r="Y1049" i="20" s="1"/>
  <c r="G1048" i="20" a="1"/>
  <c r="G1048" i="20" s="1"/>
  <c r="I1048" i="20" a="1"/>
  <c r="I1048" i="20" s="1"/>
  <c r="K1048" i="20" a="1"/>
  <c r="K1048" i="20" s="1"/>
  <c r="M1048" i="20" a="1"/>
  <c r="M1048" i="20" s="1"/>
  <c r="O1048" i="20" a="1"/>
  <c r="O1048" i="20" s="1"/>
  <c r="Q1048" i="20" a="1"/>
  <c r="Q1048" i="20" s="1"/>
  <c r="S1048" i="20" a="1"/>
  <c r="S1048" i="20" s="1"/>
  <c r="U1048" i="20" a="1"/>
  <c r="U1048" i="20" s="1"/>
  <c r="W1048" i="20" a="1"/>
  <c r="W1048" i="20" s="1"/>
  <c r="Y1048" i="20" a="1"/>
  <c r="Y1048" i="20" s="1"/>
  <c r="G1047" i="20" a="1"/>
  <c r="G1047" i="20" s="1"/>
  <c r="I1047" i="20" a="1"/>
  <c r="I1047" i="20" s="1"/>
  <c r="K1047" i="20" a="1"/>
  <c r="K1047" i="20" s="1"/>
  <c r="M1047" i="20" a="1"/>
  <c r="M1047" i="20" s="1"/>
  <c r="O1047" i="20" a="1"/>
  <c r="O1047" i="20" s="1"/>
  <c r="Q1047" i="20" a="1"/>
  <c r="Q1047" i="20" s="1"/>
  <c r="S1047" i="20" a="1"/>
  <c r="S1047" i="20" s="1"/>
  <c r="U1047" i="20" a="1"/>
  <c r="U1047" i="20" s="1"/>
  <c r="W1047" i="20" a="1"/>
  <c r="W1047" i="20" s="1"/>
  <c r="Y1047" i="20" a="1"/>
  <c r="Y1047" i="20" s="1"/>
  <c r="G1046" i="20" a="1"/>
  <c r="G1046" i="20" s="1"/>
  <c r="I1046" i="20" a="1"/>
  <c r="I1046" i="20" s="1"/>
  <c r="K1046" i="20" a="1"/>
  <c r="K1046" i="20" s="1"/>
  <c r="M1046" i="20" a="1"/>
  <c r="M1046" i="20" s="1"/>
  <c r="O1046" i="20" a="1"/>
  <c r="O1046" i="20" s="1"/>
  <c r="Q1046" i="20" a="1"/>
  <c r="Q1046" i="20" s="1"/>
  <c r="S1046" i="20" a="1"/>
  <c r="S1046" i="20" s="1"/>
  <c r="U1046" i="20" a="1"/>
  <c r="U1046" i="20" s="1"/>
  <c r="W1046" i="20" a="1"/>
  <c r="W1046" i="20" s="1"/>
  <c r="Y1046" i="20" a="1"/>
  <c r="Y1046" i="20" s="1"/>
  <c r="J1045" i="20" a="1"/>
  <c r="J1045" i="20" s="1"/>
  <c r="G1042" i="20" a="1"/>
  <c r="G1042" i="20" s="1"/>
  <c r="I1042" i="20" a="1"/>
  <c r="I1042" i="20" s="1"/>
  <c r="K1042" i="20"/>
  <c r="M1042" i="20" a="1"/>
  <c r="M1042" i="20" s="1"/>
  <c r="O1042" i="20" a="1"/>
  <c r="O1042" i="20" s="1"/>
  <c r="Q1042" i="20" a="1"/>
  <c r="Q1042" i="20" s="1"/>
  <c r="S1042" i="20" a="1"/>
  <c r="S1042" i="20" s="1"/>
  <c r="U1042" i="20" a="1"/>
  <c r="U1042" i="20" s="1"/>
  <c r="W1042" i="20" a="1"/>
  <c r="W1042" i="20" s="1"/>
  <c r="Y1042" i="20" a="1"/>
  <c r="Y1042" i="20" s="1"/>
  <c r="J1041" i="20" a="1"/>
  <c r="J1041" i="20" s="1"/>
  <c r="G1016" i="20" a="1"/>
  <c r="G1016" i="20" s="1"/>
  <c r="I1016" i="20" a="1"/>
  <c r="I1016" i="20" s="1"/>
  <c r="K1016" i="20"/>
  <c r="M1016" i="20" a="1"/>
  <c r="M1016" i="20" s="1"/>
  <c r="O1016" i="20" a="1"/>
  <c r="O1016" i="20" s="1"/>
  <c r="Q1016" i="20" a="1"/>
  <c r="Q1016" i="20" s="1"/>
  <c r="S1016" i="20" a="1"/>
  <c r="S1016" i="20" s="1"/>
  <c r="U1016" i="20" a="1"/>
  <c r="U1016" i="20" s="1"/>
  <c r="W1016" i="20" a="1"/>
  <c r="W1016" i="20" s="1"/>
  <c r="Y1016" i="20" a="1"/>
  <c r="Y1016" i="20" s="1"/>
  <c r="J1015" i="20" a="1"/>
  <c r="J1015" i="20" s="1"/>
  <c r="G1012" i="20" a="1"/>
  <c r="G1012" i="20" s="1"/>
  <c r="K1012" i="20"/>
  <c r="M1012" i="20" a="1"/>
  <c r="M1012" i="20" s="1"/>
  <c r="O1012" i="20" a="1"/>
  <c r="O1012" i="20" s="1"/>
  <c r="Q1012" i="20" a="1"/>
  <c r="Q1012" i="20" s="1"/>
  <c r="S1012" i="20" a="1"/>
  <c r="S1012" i="20" s="1"/>
  <c r="U1012" i="20" a="1"/>
  <c r="U1012" i="20" s="1"/>
  <c r="W1012" i="20" a="1"/>
  <c r="W1012" i="20" s="1"/>
  <c r="Y1012" i="20" a="1"/>
  <c r="Y1012" i="20" s="1"/>
  <c r="G993" i="20" a="1"/>
  <c r="G993" i="20" s="1"/>
  <c r="I993" i="20" a="1"/>
  <c r="I993" i="20" s="1"/>
  <c r="K993" i="20" a="1"/>
  <c r="K993" i="20" s="1"/>
  <c r="M993" i="20" a="1"/>
  <c r="M993" i="20" s="1"/>
  <c r="O993" i="20" a="1"/>
  <c r="O993" i="20" s="1"/>
  <c r="Q993" i="20" a="1"/>
  <c r="Q993" i="20" s="1"/>
  <c r="S993" i="20" a="1"/>
  <c r="S993" i="20" s="1"/>
  <c r="U993" i="20" a="1"/>
  <c r="U993" i="20" s="1"/>
  <c r="W993" i="20" a="1"/>
  <c r="W993" i="20" s="1"/>
  <c r="Y993" i="20" a="1"/>
  <c r="Y993" i="20" s="1"/>
  <c r="G992" i="20" a="1"/>
  <c r="G992" i="20" s="1"/>
  <c r="I992" i="20" a="1"/>
  <c r="I992" i="20" s="1"/>
  <c r="K992" i="20" a="1"/>
  <c r="K992" i="20" s="1"/>
  <c r="M992" i="20" a="1"/>
  <c r="M992" i="20" s="1"/>
  <c r="O992" i="20" a="1"/>
  <c r="O992" i="20" s="1"/>
  <c r="Q992" i="20" a="1"/>
  <c r="Q992" i="20" s="1"/>
  <c r="S992" i="20" a="1"/>
  <c r="S992" i="20" s="1"/>
  <c r="U992" i="20" a="1"/>
  <c r="U992" i="20" s="1"/>
  <c r="W992" i="20" a="1"/>
  <c r="W992" i="20" s="1"/>
  <c r="Y992" i="20" a="1"/>
  <c r="Y992" i="20" s="1"/>
  <c r="G991" i="20" a="1"/>
  <c r="G991" i="20" s="1"/>
  <c r="I991" i="20" a="1"/>
  <c r="I991" i="20" s="1"/>
  <c r="K991" i="20" a="1"/>
  <c r="K991" i="20" s="1"/>
  <c r="M991" i="20" a="1"/>
  <c r="M991" i="20" s="1"/>
  <c r="O991" i="20" a="1"/>
  <c r="O991" i="20" s="1"/>
  <c r="Q991" i="20" a="1"/>
  <c r="Q991" i="20" s="1"/>
  <c r="S991" i="20" a="1"/>
  <c r="S991" i="20" s="1"/>
  <c r="U991" i="20" a="1"/>
  <c r="U991" i="20" s="1"/>
  <c r="W991" i="20" a="1"/>
  <c r="W991" i="20" s="1"/>
  <c r="Y991" i="20" a="1"/>
  <c r="Y991" i="20" s="1"/>
  <c r="G990" i="20" a="1"/>
  <c r="G990" i="20" s="1"/>
  <c r="I990" i="20" a="1"/>
  <c r="I990" i="20" s="1"/>
  <c r="K990" i="20" a="1"/>
  <c r="K990" i="20" s="1"/>
  <c r="M990" i="20" a="1"/>
  <c r="M990" i="20" s="1"/>
  <c r="O990" i="20" a="1"/>
  <c r="O990" i="20" s="1"/>
  <c r="Q990" i="20" a="1"/>
  <c r="Q990" i="20" s="1"/>
  <c r="S990" i="20" a="1"/>
  <c r="S990" i="20" s="1"/>
  <c r="U990" i="20" a="1"/>
  <c r="U990" i="20" s="1"/>
  <c r="W990" i="20" a="1"/>
  <c r="W990" i="20" s="1"/>
  <c r="Y990" i="20" a="1"/>
  <c r="Y990" i="20" s="1"/>
  <c r="J989" i="20" a="1"/>
  <c r="J989" i="20" s="1"/>
  <c r="G986" i="20" a="1"/>
  <c r="G986" i="20" s="1"/>
  <c r="I986" i="20" a="1"/>
  <c r="I986" i="20" s="1"/>
  <c r="K986" i="20"/>
  <c r="M986" i="20" a="1"/>
  <c r="M986" i="20" s="1"/>
  <c r="O986" i="20" a="1"/>
  <c r="O986" i="20" s="1"/>
  <c r="Q986" i="20" a="1"/>
  <c r="Q986" i="20" s="1"/>
  <c r="S986" i="20" a="1"/>
  <c r="S986" i="20" s="1"/>
  <c r="U986" i="20" a="1"/>
  <c r="U986" i="20" s="1"/>
  <c r="W986" i="20" a="1"/>
  <c r="W986" i="20" s="1"/>
  <c r="Y986" i="20" a="1"/>
  <c r="Y986" i="20" s="1"/>
  <c r="J985" i="20" a="1"/>
  <c r="J985" i="20" s="1"/>
  <c r="G961" i="20" a="1"/>
  <c r="G961" i="20" s="1"/>
  <c r="I961" i="20" a="1"/>
  <c r="I961" i="20" s="1"/>
  <c r="K961" i="20"/>
  <c r="M961" i="20" a="1"/>
  <c r="M961" i="20" s="1"/>
  <c r="O961" i="20" a="1"/>
  <c r="O961" i="20" s="1"/>
  <c r="Q961" i="20" a="1"/>
  <c r="Q961" i="20" s="1"/>
  <c r="S961" i="20" a="1"/>
  <c r="S961" i="20" s="1"/>
  <c r="U961" i="20" a="1"/>
  <c r="U961" i="20" s="1"/>
  <c r="W961" i="20" a="1"/>
  <c r="W961" i="20" s="1"/>
  <c r="Y961" i="20" a="1"/>
  <c r="Y961" i="20" s="1"/>
  <c r="G960" i="20" a="1"/>
  <c r="G960" i="20" s="1"/>
  <c r="I960" i="20" a="1"/>
  <c r="I960" i="20" s="1"/>
  <c r="K960" i="20"/>
  <c r="M960" i="20" a="1"/>
  <c r="M960" i="20" s="1"/>
  <c r="O960" i="20" a="1"/>
  <c r="O960" i="20" s="1"/>
  <c r="Q960" i="20" a="1"/>
  <c r="Q960" i="20" s="1"/>
  <c r="S960" i="20" a="1"/>
  <c r="S960" i="20" s="1"/>
  <c r="U960" i="20" a="1"/>
  <c r="U960" i="20" s="1"/>
  <c r="W960" i="20" a="1"/>
  <c r="W960" i="20" s="1"/>
  <c r="Y960" i="20" a="1"/>
  <c r="Y960" i="20" s="1"/>
  <c r="G959" i="20" a="1"/>
  <c r="G959" i="20" s="1"/>
  <c r="I959" i="20" a="1"/>
  <c r="I959" i="20" s="1"/>
  <c r="K959" i="20"/>
  <c r="M959" i="20" a="1"/>
  <c r="M959" i="20" s="1"/>
  <c r="O959" i="20" a="1"/>
  <c r="O959" i="20" s="1"/>
  <c r="Q959" i="20" a="1"/>
  <c r="Q959" i="20" s="1"/>
  <c r="S959" i="20" a="1"/>
  <c r="S959" i="20" s="1"/>
  <c r="U959" i="20" a="1"/>
  <c r="U959" i="20" s="1"/>
  <c r="W959" i="20" a="1"/>
  <c r="W959" i="20" s="1"/>
  <c r="Y959" i="20" a="1"/>
  <c r="Y959" i="20" s="1"/>
  <c r="G958" i="20" a="1"/>
  <c r="G958" i="20" s="1"/>
  <c r="I958" i="20" a="1"/>
  <c r="I958" i="20" s="1"/>
  <c r="K958" i="20"/>
  <c r="M958" i="20" a="1"/>
  <c r="M958" i="20" s="1"/>
  <c r="O958" i="20" a="1"/>
  <c r="O958" i="20" s="1"/>
  <c r="Q958" i="20" a="1"/>
  <c r="Q958" i="20" s="1"/>
  <c r="S958" i="20" a="1"/>
  <c r="S958" i="20" s="1"/>
  <c r="U958" i="20" a="1"/>
  <c r="U958" i="20" s="1"/>
  <c r="W958" i="20" a="1"/>
  <c r="W958" i="20" s="1"/>
  <c r="Y958" i="20" a="1"/>
  <c r="Y958" i="20" s="1"/>
  <c r="G957" i="20" a="1"/>
  <c r="G957" i="20" s="1"/>
  <c r="K957" i="20"/>
  <c r="M957" i="20" a="1"/>
  <c r="M957" i="20" s="1"/>
  <c r="O957" i="20" a="1"/>
  <c r="O957" i="20" s="1"/>
  <c r="Q957" i="20" a="1"/>
  <c r="Q957" i="20" s="1"/>
  <c r="S957" i="20" a="1"/>
  <c r="S957" i="20" s="1"/>
  <c r="U957" i="20" a="1"/>
  <c r="U957" i="20" s="1"/>
  <c r="W957" i="20" a="1"/>
  <c r="W957" i="20" s="1"/>
  <c r="Y957" i="20" a="1"/>
  <c r="Y957" i="20" s="1"/>
  <c r="G956" i="20" a="1"/>
  <c r="G956" i="20" s="1"/>
  <c r="G971" i="20" s="1" a="1"/>
  <c r="K956" i="20"/>
  <c r="M956" i="20" a="1"/>
  <c r="M956" i="20" s="1"/>
  <c r="O956" i="20" a="1"/>
  <c r="O956" i="20" s="1"/>
  <c r="O971" i="20" s="1" a="1"/>
  <c r="Q956" i="20" a="1"/>
  <c r="Q956" i="20" s="1"/>
  <c r="Q971" i="20" s="1" a="1"/>
  <c r="S956" i="20" a="1"/>
  <c r="S956" i="20" s="1"/>
  <c r="U956" i="20" a="1"/>
  <c r="U956" i="20" s="1"/>
  <c r="W956" i="20" a="1"/>
  <c r="W956" i="20" s="1"/>
  <c r="W971" i="20" s="1" a="1"/>
  <c r="Y956" i="20" a="1"/>
  <c r="Y956" i="20" s="1"/>
  <c r="Y971" i="20" s="1" a="1"/>
  <c r="G937" i="20" a="1"/>
  <c r="G937" i="20" s="1"/>
  <c r="I937" i="20" a="1"/>
  <c r="I937" i="20" s="1"/>
  <c r="K937" i="20" a="1"/>
  <c r="K937" i="20" s="1"/>
  <c r="M937" i="20" a="1"/>
  <c r="M937" i="20" s="1"/>
  <c r="O937" i="20" a="1"/>
  <c r="O937" i="20" s="1"/>
  <c r="Q937" i="20" a="1"/>
  <c r="Q937" i="20" s="1"/>
  <c r="S937" i="20" a="1"/>
  <c r="S937" i="20" s="1"/>
  <c r="U937" i="20" a="1"/>
  <c r="U937" i="20" s="1"/>
  <c r="W937" i="20" a="1"/>
  <c r="W937" i="20" s="1"/>
  <c r="Y937" i="20" a="1"/>
  <c r="Y937" i="20" s="1"/>
  <c r="G936" i="20" a="1"/>
  <c r="G936" i="20" s="1"/>
  <c r="I936" i="20" a="1"/>
  <c r="I936" i="20" s="1"/>
  <c r="K936" i="20" a="1"/>
  <c r="K936" i="20" s="1"/>
  <c r="M936" i="20" a="1"/>
  <c r="M936" i="20" s="1"/>
  <c r="O936" i="20" a="1"/>
  <c r="O936" i="20" s="1"/>
  <c r="Q936" i="20" a="1"/>
  <c r="Q936" i="20" s="1"/>
  <c r="S936" i="20" a="1"/>
  <c r="S936" i="20" s="1"/>
  <c r="U936" i="20" a="1"/>
  <c r="U936" i="20" s="1"/>
  <c r="W936" i="20" a="1"/>
  <c r="W936" i="20" s="1"/>
  <c r="Y936" i="20" a="1"/>
  <c r="Y936" i="20" s="1"/>
  <c r="G935" i="20" a="1"/>
  <c r="G935" i="20" s="1"/>
  <c r="I935" i="20" a="1"/>
  <c r="I935" i="20" s="1"/>
  <c r="K935" i="20" a="1"/>
  <c r="K935" i="20" s="1"/>
  <c r="M935" i="20" a="1"/>
  <c r="M935" i="20" s="1"/>
  <c r="O935" i="20" a="1"/>
  <c r="O935" i="20" s="1"/>
  <c r="Q935" i="20" a="1"/>
  <c r="Q935" i="20" s="1"/>
  <c r="S935" i="20" a="1"/>
  <c r="S935" i="20" s="1"/>
  <c r="U935" i="20" a="1"/>
  <c r="U935" i="20" s="1"/>
  <c r="W935" i="20" a="1"/>
  <c r="W935" i="20" s="1"/>
  <c r="Y935" i="20" a="1"/>
  <c r="Y935" i="20" s="1"/>
  <c r="G934" i="20" a="1"/>
  <c r="G934" i="20" s="1"/>
  <c r="I934" i="20" a="1"/>
  <c r="I934" i="20" s="1"/>
  <c r="K934" i="20" a="1"/>
  <c r="K934" i="20" s="1"/>
  <c r="M934" i="20" a="1"/>
  <c r="M934" i="20" s="1"/>
  <c r="O934" i="20" a="1"/>
  <c r="O934" i="20" s="1"/>
  <c r="Q934" i="20" a="1"/>
  <c r="Q934" i="20" s="1"/>
  <c r="S934" i="20" a="1"/>
  <c r="S934" i="20" s="1"/>
  <c r="U934" i="20" a="1"/>
  <c r="U934" i="20" s="1"/>
  <c r="W934" i="20" a="1"/>
  <c r="W934" i="20" s="1"/>
  <c r="Y934" i="20" a="1"/>
  <c r="Y934" i="20" s="1"/>
  <c r="G933" i="20" a="1"/>
  <c r="G933" i="20" s="1"/>
  <c r="I933" i="20" a="1"/>
  <c r="I933" i="20" s="1"/>
  <c r="K933" i="20"/>
  <c r="M933" i="20" a="1"/>
  <c r="M933" i="20" s="1"/>
  <c r="O933" i="20" a="1"/>
  <c r="O933" i="20" s="1"/>
  <c r="Q933" i="20" a="1"/>
  <c r="Q933" i="20" s="1"/>
  <c r="S933" i="20" a="1"/>
  <c r="S933" i="20" s="1"/>
  <c r="U933" i="20" a="1"/>
  <c r="U933" i="20" s="1"/>
  <c r="W933" i="20" a="1"/>
  <c r="W933" i="20" s="1"/>
  <c r="Y933" i="20" a="1"/>
  <c r="Y933" i="20" s="1"/>
  <c r="G932" i="20" a="1"/>
  <c r="G932" i="20" s="1"/>
  <c r="I932" i="20" a="1"/>
  <c r="I932" i="20" s="1"/>
  <c r="K932" i="20"/>
  <c r="M932" i="20" a="1"/>
  <c r="M932" i="20" s="1"/>
  <c r="O932" i="20" a="1"/>
  <c r="O932" i="20" s="1"/>
  <c r="Q932" i="20" a="1"/>
  <c r="Q932" i="20" s="1"/>
  <c r="S932" i="20" a="1"/>
  <c r="S932" i="20" s="1"/>
  <c r="U932" i="20" a="1"/>
  <c r="U932" i="20" s="1"/>
  <c r="W932" i="20" a="1"/>
  <c r="W932" i="20" s="1"/>
  <c r="Y932" i="20" a="1"/>
  <c r="Y932" i="20" s="1"/>
  <c r="G931" i="20" a="1"/>
  <c r="G931" i="20" s="1"/>
  <c r="I931" i="20" a="1"/>
  <c r="I931" i="20" s="1"/>
  <c r="K931" i="20"/>
  <c r="M931" i="20" a="1"/>
  <c r="M931" i="20" s="1"/>
  <c r="O931" i="20" a="1"/>
  <c r="O931" i="20" s="1"/>
  <c r="Q931" i="20" a="1"/>
  <c r="Q931" i="20" s="1"/>
  <c r="S931" i="20" a="1"/>
  <c r="S931" i="20" s="1"/>
  <c r="U931" i="20" a="1"/>
  <c r="U931" i="20" s="1"/>
  <c r="W931" i="20" a="1"/>
  <c r="W931" i="20" s="1"/>
  <c r="Y931" i="20" a="1"/>
  <c r="Y931" i="20" s="1"/>
  <c r="G930" i="20" a="1"/>
  <c r="G930" i="20" s="1"/>
  <c r="I930" i="20" a="1"/>
  <c r="I930" i="20" s="1"/>
  <c r="K930" i="20"/>
  <c r="M930" i="20" a="1"/>
  <c r="M930" i="20" s="1"/>
  <c r="O930" i="20" a="1"/>
  <c r="O930" i="20" s="1"/>
  <c r="Q930" i="20" a="1"/>
  <c r="Q930" i="20" s="1"/>
  <c r="S930" i="20" a="1"/>
  <c r="S930" i="20" s="1"/>
  <c r="U930" i="20" a="1"/>
  <c r="U930" i="20" s="1"/>
  <c r="W930" i="20" a="1"/>
  <c r="W930" i="20" s="1"/>
  <c r="Y930" i="20" a="1"/>
  <c r="Y930" i="20" s="1"/>
  <c r="G929" i="20" a="1"/>
  <c r="G929" i="20" s="1"/>
  <c r="K929" i="20"/>
  <c r="M929" i="20" a="1"/>
  <c r="M929" i="20" s="1"/>
  <c r="O929" i="20" a="1"/>
  <c r="O929" i="20" s="1"/>
  <c r="Q929" i="20" a="1"/>
  <c r="Q929" i="20" s="1"/>
  <c r="S929" i="20" a="1"/>
  <c r="S929" i="20" s="1"/>
  <c r="U929" i="20" a="1"/>
  <c r="U929" i="20" s="1"/>
  <c r="W929" i="20" a="1"/>
  <c r="W929" i="20" s="1"/>
  <c r="Y929" i="20" a="1"/>
  <c r="Y929" i="20" s="1"/>
  <c r="H907" i="20" a="1"/>
  <c r="H907" i="20" s="1"/>
  <c r="J907" i="20" a="1"/>
  <c r="J907" i="20" s="1"/>
  <c r="L907" i="20" a="1"/>
  <c r="L907" i="20" s="1"/>
  <c r="N907" i="20" a="1"/>
  <c r="N907" i="20" s="1"/>
  <c r="P907" i="20" a="1"/>
  <c r="P907" i="20" s="1"/>
  <c r="R907" i="20" a="1"/>
  <c r="R907" i="20" s="1"/>
  <c r="T907" i="20" a="1"/>
  <c r="T907" i="20" s="1"/>
  <c r="V907" i="20" a="1"/>
  <c r="V907" i="20" s="1"/>
  <c r="X907" i="20" a="1"/>
  <c r="X907" i="20" s="1"/>
  <c r="G907" i="20" a="1"/>
  <c r="G907" i="20" s="1"/>
  <c r="I907" i="20" a="1"/>
  <c r="I907" i="20" s="1"/>
  <c r="K907" i="20" a="1"/>
  <c r="K907" i="20" s="1"/>
  <c r="M907" i="20" a="1"/>
  <c r="M907" i="20" s="1"/>
  <c r="O907" i="20" a="1"/>
  <c r="O907" i="20" s="1"/>
  <c r="Q907" i="20" a="1"/>
  <c r="Q907" i="20" s="1"/>
  <c r="S907" i="20" a="1"/>
  <c r="S907" i="20" s="1"/>
  <c r="U907" i="20" a="1"/>
  <c r="U907" i="20" s="1"/>
  <c r="W907" i="20" a="1"/>
  <c r="W907" i="20" s="1"/>
  <c r="Y907" i="20" a="1"/>
  <c r="Y907" i="20" s="1"/>
  <c r="G904" i="20" a="1"/>
  <c r="G904" i="20" s="1"/>
  <c r="I904" i="20" a="1"/>
  <c r="I904" i="20" s="1"/>
  <c r="K904" i="20"/>
  <c r="L904" i="20" a="1"/>
  <c r="L904" i="20" s="1"/>
  <c r="N904" i="20" a="1"/>
  <c r="N904" i="20" s="1"/>
  <c r="P904" i="20" a="1"/>
  <c r="P904" i="20" s="1"/>
  <c r="R904" i="20" a="1"/>
  <c r="R904" i="20" s="1"/>
  <c r="T904" i="20" a="1"/>
  <c r="T904" i="20" s="1"/>
  <c r="V904" i="20" a="1"/>
  <c r="V904" i="20" s="1"/>
  <c r="X904" i="20" a="1"/>
  <c r="X904" i="20" s="1"/>
  <c r="M904" i="20" a="1"/>
  <c r="M904" i="20" s="1"/>
  <c r="O904" i="20" a="1"/>
  <c r="O904" i="20" s="1"/>
  <c r="Q904" i="20" a="1"/>
  <c r="Q904" i="20" s="1"/>
  <c r="S904" i="20" a="1"/>
  <c r="S904" i="20" s="1"/>
  <c r="U904" i="20" a="1"/>
  <c r="U904" i="20" s="1"/>
  <c r="W904" i="20" a="1"/>
  <c r="W904" i="20" s="1"/>
  <c r="Y904" i="20" a="1"/>
  <c r="Y904" i="20" s="1"/>
  <c r="J903" i="20" a="1"/>
  <c r="J903" i="20" s="1"/>
  <c r="G902" i="20" a="1"/>
  <c r="G902" i="20" s="1"/>
  <c r="I902" i="20" a="1"/>
  <c r="I902" i="20" s="1"/>
  <c r="K902" i="20"/>
  <c r="L902" i="20" a="1"/>
  <c r="L902" i="20" s="1"/>
  <c r="N902" i="20" a="1"/>
  <c r="N902" i="20" s="1"/>
  <c r="P902" i="20" a="1"/>
  <c r="P902" i="20" s="1"/>
  <c r="R902" i="20" a="1"/>
  <c r="R902" i="20" s="1"/>
  <c r="T902" i="20" a="1"/>
  <c r="T902" i="20" s="1"/>
  <c r="V902" i="20" a="1"/>
  <c r="V902" i="20" s="1"/>
  <c r="X902" i="20" a="1"/>
  <c r="X902" i="20" s="1"/>
  <c r="M902" i="20" a="1"/>
  <c r="M902" i="20" s="1"/>
  <c r="O902" i="20" a="1"/>
  <c r="O902" i="20" s="1"/>
  <c r="Q902" i="20" a="1"/>
  <c r="Q902" i="20" s="1"/>
  <c r="S902" i="20" a="1"/>
  <c r="S902" i="20" s="1"/>
  <c r="U902" i="20" a="1"/>
  <c r="U902" i="20" s="1"/>
  <c r="W902" i="20" a="1"/>
  <c r="W902" i="20" s="1"/>
  <c r="Y902" i="20" a="1"/>
  <c r="Y902" i="20" s="1"/>
  <c r="G880" i="20" a="1"/>
  <c r="G880" i="20" s="1"/>
  <c r="I880" i="20" a="1"/>
  <c r="I880" i="20" s="1"/>
  <c r="K880" i="20" a="1"/>
  <c r="K880" i="20" s="1"/>
  <c r="M880" i="20" a="1"/>
  <c r="M880" i="20" s="1"/>
  <c r="O880" i="20" a="1"/>
  <c r="O880" i="20" s="1"/>
  <c r="Q880" i="20" a="1"/>
  <c r="Q880" i="20" s="1"/>
  <c r="S880" i="20" a="1"/>
  <c r="S880" i="20" s="1"/>
  <c r="U880" i="20" a="1"/>
  <c r="U880" i="20" s="1"/>
  <c r="W880" i="20" a="1"/>
  <c r="W880" i="20" s="1"/>
  <c r="Y880" i="20" a="1"/>
  <c r="Y880" i="20" s="1"/>
  <c r="L880" i="20" a="1"/>
  <c r="L880" i="20" s="1"/>
  <c r="T880" i="20" a="1"/>
  <c r="T880" i="20" s="1"/>
  <c r="J880" i="20" a="1"/>
  <c r="J880" i="20" s="1"/>
  <c r="R880" i="20" a="1"/>
  <c r="R880" i="20" s="1"/>
  <c r="H880" i="20" a="1"/>
  <c r="H880" i="20" s="1"/>
  <c r="P880" i="20" a="1"/>
  <c r="P880" i="20" s="1"/>
  <c r="X880" i="20" a="1"/>
  <c r="X880" i="20" s="1"/>
  <c r="N880" i="20" a="1"/>
  <c r="N880" i="20" s="1"/>
  <c r="V880" i="20" a="1"/>
  <c r="V880" i="20" s="1"/>
  <c r="G1099" i="20" a="1"/>
  <c r="G1099" i="20" s="1"/>
  <c r="I1099" i="20" a="1"/>
  <c r="I1099" i="20" s="1"/>
  <c r="K1099" i="20"/>
  <c r="M1099" i="20" a="1"/>
  <c r="M1099" i="20" s="1"/>
  <c r="O1099" i="20" a="1"/>
  <c r="O1099" i="20" s="1"/>
  <c r="Q1099" i="20" a="1"/>
  <c r="Q1099" i="20" s="1"/>
  <c r="S1099" i="20" a="1"/>
  <c r="S1099" i="20" s="1"/>
  <c r="U1099" i="20" a="1"/>
  <c r="U1099" i="20" s="1"/>
  <c r="W1099" i="20" a="1"/>
  <c r="W1099" i="20" s="1"/>
  <c r="Y1099" i="20" a="1"/>
  <c r="Y1099" i="20" s="1"/>
  <c r="J1098" i="20" a="1"/>
  <c r="J1098" i="20" s="1"/>
  <c r="G1073" i="20" a="1"/>
  <c r="G1073" i="20" s="1"/>
  <c r="I1073" i="20" a="1"/>
  <c r="I1073" i="20" s="1"/>
  <c r="K1073" i="20"/>
  <c r="M1073" i="20" a="1"/>
  <c r="M1073" i="20" s="1"/>
  <c r="O1073" i="20" a="1"/>
  <c r="O1073" i="20" s="1"/>
  <c r="Q1073" i="20" a="1"/>
  <c r="Q1073" i="20" s="1"/>
  <c r="S1073" i="20" a="1"/>
  <c r="S1073" i="20" s="1"/>
  <c r="U1073" i="20" a="1"/>
  <c r="U1073" i="20" s="1"/>
  <c r="W1073" i="20" a="1"/>
  <c r="W1073" i="20" s="1"/>
  <c r="Y1073" i="20" a="1"/>
  <c r="Y1073" i="20" s="1"/>
  <c r="J1072" i="20" a="1"/>
  <c r="J1072" i="20" s="1"/>
  <c r="G1069" i="20" a="1"/>
  <c r="G1069" i="20" s="1"/>
  <c r="K1069" i="20"/>
  <c r="M1069" i="20" a="1"/>
  <c r="M1069" i="20" s="1"/>
  <c r="O1069" i="20" a="1"/>
  <c r="O1069" i="20" s="1"/>
  <c r="Q1069" i="20" a="1"/>
  <c r="Q1069" i="20" s="1"/>
  <c r="S1069" i="20" a="1"/>
  <c r="S1069" i="20" s="1"/>
  <c r="U1069" i="20" a="1"/>
  <c r="U1069" i="20" s="1"/>
  <c r="W1069" i="20" a="1"/>
  <c r="W1069" i="20" s="1"/>
  <c r="Y1069" i="20" a="1"/>
  <c r="Y1069" i="20" s="1"/>
  <c r="J1068" i="20" a="1"/>
  <c r="J1068" i="20" s="1"/>
  <c r="G1043" i="20" a="1"/>
  <c r="G1043" i="20" s="1"/>
  <c r="I1043" i="20" a="1"/>
  <c r="I1043" i="20" s="1"/>
  <c r="K1043" i="20"/>
  <c r="M1043" i="20" a="1"/>
  <c r="M1043" i="20" s="1"/>
  <c r="O1043" i="20" a="1"/>
  <c r="O1043" i="20" s="1"/>
  <c r="Q1043" i="20" a="1"/>
  <c r="Q1043" i="20" s="1"/>
  <c r="S1043" i="20" a="1"/>
  <c r="S1043" i="20" s="1"/>
  <c r="U1043" i="20" a="1"/>
  <c r="U1043" i="20" s="1"/>
  <c r="W1043" i="20" a="1"/>
  <c r="W1043" i="20" s="1"/>
  <c r="Y1043" i="20" a="1"/>
  <c r="Y1043" i="20" s="1"/>
  <c r="J1042" i="20" a="1"/>
  <c r="J1042" i="20" s="1"/>
  <c r="G1017" i="20" a="1"/>
  <c r="G1017" i="20" s="1"/>
  <c r="I1017" i="20" a="1"/>
  <c r="I1017" i="20" s="1"/>
  <c r="K1017" i="20"/>
  <c r="M1017" i="20" a="1"/>
  <c r="M1017" i="20" s="1"/>
  <c r="O1017" i="20" a="1"/>
  <c r="O1017" i="20" s="1"/>
  <c r="Q1017" i="20" a="1"/>
  <c r="Q1017" i="20" s="1"/>
  <c r="S1017" i="20" a="1"/>
  <c r="S1017" i="20" s="1"/>
  <c r="U1017" i="20" a="1"/>
  <c r="U1017" i="20" s="1"/>
  <c r="W1017" i="20" a="1"/>
  <c r="W1017" i="20" s="1"/>
  <c r="Y1017" i="20" a="1"/>
  <c r="Y1017" i="20" s="1"/>
  <c r="J1016" i="20" a="1"/>
  <c r="J1016" i="20" s="1"/>
  <c r="G1013" i="20" a="1"/>
  <c r="G1013" i="20" s="1"/>
  <c r="K1013" i="20"/>
  <c r="M1013" i="20" a="1"/>
  <c r="M1013" i="20" s="1"/>
  <c r="O1013" i="20" a="1"/>
  <c r="O1013" i="20" s="1"/>
  <c r="Q1013" i="20" a="1"/>
  <c r="Q1013" i="20" s="1"/>
  <c r="S1013" i="20" a="1"/>
  <c r="S1013" i="20" s="1"/>
  <c r="U1013" i="20" a="1"/>
  <c r="U1013" i="20" s="1"/>
  <c r="W1013" i="20" a="1"/>
  <c r="W1013" i="20" s="1"/>
  <c r="Y1013" i="20" a="1"/>
  <c r="Y1013" i="20" s="1"/>
  <c r="J1012" i="20" a="1"/>
  <c r="J1012" i="20" s="1"/>
  <c r="G987" i="20" a="1"/>
  <c r="G987" i="20" s="1"/>
  <c r="I987" i="20" a="1"/>
  <c r="I987" i="20" s="1"/>
  <c r="K987" i="20"/>
  <c r="M987" i="20" a="1"/>
  <c r="M987" i="20" s="1"/>
  <c r="O987" i="20" a="1"/>
  <c r="O987" i="20" s="1"/>
  <c r="Q987" i="20" a="1"/>
  <c r="Q987" i="20" s="1"/>
  <c r="S987" i="20" a="1"/>
  <c r="S987" i="20" s="1"/>
  <c r="U987" i="20" a="1"/>
  <c r="U987" i="20" s="1"/>
  <c r="W987" i="20" a="1"/>
  <c r="W987" i="20" s="1"/>
  <c r="Y987" i="20" a="1"/>
  <c r="Y987" i="20" s="1"/>
  <c r="J986" i="20" a="1"/>
  <c r="J986" i="20" s="1"/>
  <c r="J1128" i="20" a="1"/>
  <c r="J1128" i="20" s="1"/>
  <c r="J1125" i="20" a="1"/>
  <c r="J1125" i="20" s="1"/>
  <c r="V1104" i="20" a="1"/>
  <c r="V1104" i="20" s="1"/>
  <c r="R1104" i="20" a="1"/>
  <c r="R1104" i="20" s="1"/>
  <c r="N1104" i="20" a="1"/>
  <c r="N1104" i="20" s="1"/>
  <c r="J1104" i="20" a="1"/>
  <c r="J1104" i="20" s="1"/>
  <c r="V1101" i="20" a="1"/>
  <c r="V1101" i="20" s="1"/>
  <c r="R1101" i="20" a="1"/>
  <c r="R1101" i="20" s="1"/>
  <c r="N1101" i="20" a="1"/>
  <c r="N1101" i="20" s="1"/>
  <c r="V1100" i="20" a="1"/>
  <c r="V1100" i="20" s="1"/>
  <c r="R1100" i="20" a="1"/>
  <c r="R1100" i="20" s="1"/>
  <c r="N1100" i="20" a="1"/>
  <c r="N1100" i="20" s="1"/>
  <c r="V1099" i="20" a="1"/>
  <c r="V1099" i="20" s="1"/>
  <c r="R1099" i="20" a="1"/>
  <c r="R1099" i="20" s="1"/>
  <c r="N1099" i="20" a="1"/>
  <c r="N1099" i="20" s="1"/>
  <c r="V1098" i="20" a="1"/>
  <c r="V1098" i="20" s="1"/>
  <c r="R1098" i="20" a="1"/>
  <c r="R1098" i="20" s="1"/>
  <c r="N1098" i="20" a="1"/>
  <c r="N1098" i="20" s="1"/>
  <c r="V1097" i="20" a="1"/>
  <c r="V1097" i="20" s="1"/>
  <c r="R1097" i="20" a="1"/>
  <c r="R1097" i="20" s="1"/>
  <c r="N1097" i="20" a="1"/>
  <c r="N1097" i="20" s="1"/>
  <c r="V1096" i="20" a="1"/>
  <c r="V1096" i="20" s="1"/>
  <c r="R1096" i="20" a="1"/>
  <c r="R1096" i="20" s="1"/>
  <c r="R1111" i="20" s="1" a="1"/>
  <c r="N1096" i="20" a="1"/>
  <c r="N1096" i="20" s="1"/>
  <c r="V1077" i="20" a="1"/>
  <c r="V1077" i="20" s="1"/>
  <c r="R1077" i="20" a="1"/>
  <c r="R1077" i="20" s="1"/>
  <c r="N1077" i="20" a="1"/>
  <c r="N1077" i="20" s="1"/>
  <c r="J1077" i="20" a="1"/>
  <c r="J1077" i="20" s="1"/>
  <c r="V1074" i="20" a="1"/>
  <c r="V1074" i="20" s="1"/>
  <c r="R1074" i="20" a="1"/>
  <c r="R1074" i="20" s="1"/>
  <c r="N1074" i="20" a="1"/>
  <c r="N1074" i="20" s="1"/>
  <c r="J1074" i="20" a="1"/>
  <c r="J1074" i="20" s="1"/>
  <c r="V1047" i="20" a="1"/>
  <c r="V1047" i="20" s="1"/>
  <c r="R1047" i="20" a="1"/>
  <c r="R1047" i="20" s="1"/>
  <c r="N1047" i="20" a="1"/>
  <c r="N1047" i="20" s="1"/>
  <c r="J1047" i="20" a="1"/>
  <c r="J1047" i="20" s="1"/>
  <c r="V1020" i="20" a="1"/>
  <c r="V1020" i="20" s="1"/>
  <c r="R1020" i="20" a="1"/>
  <c r="R1020" i="20" s="1"/>
  <c r="N1020" i="20" a="1"/>
  <c r="N1020" i="20" s="1"/>
  <c r="J1020" i="20" a="1"/>
  <c r="J1020" i="20" s="1"/>
  <c r="V1017" i="20" a="1"/>
  <c r="V1017" i="20" s="1"/>
  <c r="R1017" i="20" a="1"/>
  <c r="R1017" i="20" s="1"/>
  <c r="N1017" i="20" a="1"/>
  <c r="N1017" i="20" s="1"/>
  <c r="V1016" i="20" a="1"/>
  <c r="V1016" i="20" s="1"/>
  <c r="R1016" i="20" a="1"/>
  <c r="R1016" i="20" s="1"/>
  <c r="N1016" i="20" a="1"/>
  <c r="N1016" i="20" s="1"/>
  <c r="V1015" i="20" a="1"/>
  <c r="V1015" i="20" s="1"/>
  <c r="R1015" i="20" a="1"/>
  <c r="R1015" i="20" s="1"/>
  <c r="N1015" i="20" a="1"/>
  <c r="N1015" i="20" s="1"/>
  <c r="V1014" i="20" a="1"/>
  <c r="V1014" i="20" s="1"/>
  <c r="R1014" i="20" a="1"/>
  <c r="R1014" i="20" s="1"/>
  <c r="N1014" i="20" a="1"/>
  <c r="N1014" i="20" s="1"/>
  <c r="V1013" i="20" a="1"/>
  <c r="V1013" i="20" s="1"/>
  <c r="R1013" i="20" a="1"/>
  <c r="R1013" i="20" s="1"/>
  <c r="N1013" i="20" a="1"/>
  <c r="N1013" i="20" s="1"/>
  <c r="V1012" i="20" a="1"/>
  <c r="V1012" i="20" s="1"/>
  <c r="R1012" i="20" a="1"/>
  <c r="R1012" i="20" s="1"/>
  <c r="N1012" i="20" a="1"/>
  <c r="N1012" i="20" s="1"/>
  <c r="V993" i="20" a="1"/>
  <c r="V993" i="20" s="1"/>
  <c r="R993" i="20" a="1"/>
  <c r="R993" i="20" s="1"/>
  <c r="N993" i="20" a="1"/>
  <c r="N993" i="20" s="1"/>
  <c r="J993" i="20" a="1"/>
  <c r="J993" i="20" s="1"/>
  <c r="V990" i="20" a="1"/>
  <c r="V990" i="20" s="1"/>
  <c r="R990" i="20" a="1"/>
  <c r="R990" i="20" s="1"/>
  <c r="N990" i="20" a="1"/>
  <c r="N990" i="20" s="1"/>
  <c r="J990" i="20" a="1"/>
  <c r="J990" i="20" s="1"/>
  <c r="V963" i="20" a="1"/>
  <c r="V963" i="20" s="1"/>
  <c r="R963" i="20" a="1"/>
  <c r="R963" i="20" s="1"/>
  <c r="N963" i="20" a="1"/>
  <c r="N963" i="20" s="1"/>
  <c r="J963" i="20" a="1"/>
  <c r="J963" i="20" s="1"/>
  <c r="V936" i="20" a="1"/>
  <c r="V936" i="20" s="1"/>
  <c r="R936" i="20" a="1"/>
  <c r="R936" i="20" s="1"/>
  <c r="N936" i="20" a="1"/>
  <c r="N936" i="20" s="1"/>
  <c r="J936" i="20" a="1"/>
  <c r="J936" i="20" s="1"/>
  <c r="V935" i="20" a="1"/>
  <c r="V935" i="20" s="1"/>
  <c r="R935" i="20" a="1"/>
  <c r="R935" i="20" s="1"/>
  <c r="N935" i="20" a="1"/>
  <c r="N935" i="20" s="1"/>
  <c r="J935" i="20" a="1"/>
  <c r="J935" i="20" s="1"/>
  <c r="G928" i="20" a="1"/>
  <c r="G928" i="20" s="1"/>
  <c r="G943" i="20" s="1" a="1"/>
  <c r="K928" i="20"/>
  <c r="L928" i="20" a="1"/>
  <c r="L928" i="20" s="1"/>
  <c r="N928" i="20" a="1"/>
  <c r="N928" i="20" s="1"/>
  <c r="N943" i="20" s="1" a="1"/>
  <c r="P928" i="20" a="1"/>
  <c r="P928" i="20" s="1"/>
  <c r="P943" i="20" s="1" a="1"/>
  <c r="R928" i="20" a="1"/>
  <c r="R928" i="20" s="1"/>
  <c r="T928" i="20" a="1"/>
  <c r="T928" i="20" s="1"/>
  <c r="M928" i="20" a="1"/>
  <c r="M928" i="20" s="1"/>
  <c r="M943" i="20" s="1" a="1"/>
  <c r="O928" i="20" a="1"/>
  <c r="O928" i="20" s="1"/>
  <c r="Q928" i="20" a="1"/>
  <c r="Q928" i="20" s="1"/>
  <c r="S928" i="20" a="1"/>
  <c r="S928" i="20" s="1"/>
  <c r="U928" i="20" a="1"/>
  <c r="U928" i="20" s="1"/>
  <c r="U943" i="20" s="1" a="1"/>
  <c r="W928" i="20" a="1"/>
  <c r="W928" i="20" s="1"/>
  <c r="Y928" i="20" a="1"/>
  <c r="Y928" i="20" s="1"/>
  <c r="G908" i="20" a="1"/>
  <c r="G908" i="20" s="1"/>
  <c r="I908" i="20" a="1"/>
  <c r="I908" i="20" s="1"/>
  <c r="K908" i="20" a="1"/>
  <c r="K908" i="20" s="1"/>
  <c r="M908" i="20" a="1"/>
  <c r="M908" i="20" s="1"/>
  <c r="O908" i="20" a="1"/>
  <c r="O908" i="20" s="1"/>
  <c r="Q908" i="20" a="1"/>
  <c r="Q908" i="20" s="1"/>
  <c r="S908" i="20" a="1"/>
  <c r="S908" i="20" s="1"/>
  <c r="U908" i="20" a="1"/>
  <c r="U908" i="20" s="1"/>
  <c r="W908" i="20" a="1"/>
  <c r="W908" i="20" s="1"/>
  <c r="Y908" i="20" a="1"/>
  <c r="Y908" i="20" s="1"/>
  <c r="H908" i="20" a="1"/>
  <c r="H908" i="20" s="1"/>
  <c r="J908" i="20" a="1"/>
  <c r="J908" i="20" s="1"/>
  <c r="L908" i="20" a="1"/>
  <c r="L908" i="20" s="1"/>
  <c r="N908" i="20" a="1"/>
  <c r="N908" i="20" s="1"/>
  <c r="P908" i="20" a="1"/>
  <c r="P908" i="20" s="1"/>
  <c r="R908" i="20" a="1"/>
  <c r="R908" i="20" s="1"/>
  <c r="T908" i="20" a="1"/>
  <c r="T908" i="20" s="1"/>
  <c r="V908" i="20" a="1"/>
  <c r="V908" i="20" s="1"/>
  <c r="X908" i="20" a="1"/>
  <c r="X908" i="20" s="1"/>
  <c r="H905" i="20" a="1"/>
  <c r="H905" i="20" s="1"/>
  <c r="H903" i="20" a="1"/>
  <c r="H903" i="20" s="1"/>
  <c r="Y881" i="20" a="1"/>
  <c r="Y881" i="20" s="1"/>
  <c r="W881" i="20" a="1"/>
  <c r="W881" i="20" s="1"/>
  <c r="R881" i="20" a="1"/>
  <c r="R881" i="20" s="1"/>
  <c r="R879" i="20" a="1"/>
  <c r="R879" i="20" s="1"/>
  <c r="V878" i="20" a="1"/>
  <c r="V878" i="20" s="1"/>
  <c r="N878" i="20" a="1"/>
  <c r="N878" i="20" s="1"/>
  <c r="R877" i="20" a="1"/>
  <c r="R877" i="20" s="1"/>
  <c r="V876" i="20" a="1"/>
  <c r="V876" i="20" s="1"/>
  <c r="N876" i="20" a="1"/>
  <c r="N876" i="20" s="1"/>
  <c r="K876" i="20"/>
  <c r="H876" i="20" a="1"/>
  <c r="H876" i="20" s="1"/>
  <c r="R875" i="20" a="1"/>
  <c r="R875" i="20" s="1"/>
  <c r="V874" i="20" a="1"/>
  <c r="V874" i="20" s="1"/>
  <c r="N874" i="20" a="1"/>
  <c r="N874" i="20" s="1"/>
  <c r="K874" i="20"/>
  <c r="R873" i="20" a="1"/>
  <c r="R873" i="20" s="1"/>
  <c r="X853" i="20" a="1"/>
  <c r="X853" i="20" s="1"/>
  <c r="P853" i="20" a="1"/>
  <c r="P853" i="20" s="1"/>
  <c r="H853" i="20" a="1"/>
  <c r="H853" i="20" s="1"/>
  <c r="G852" i="20" a="1"/>
  <c r="G852" i="20" s="1"/>
  <c r="I852" i="20" a="1"/>
  <c r="I852" i="20" s="1"/>
  <c r="K852" i="20" a="1"/>
  <c r="K852" i="20" s="1"/>
  <c r="M852" i="20" a="1"/>
  <c r="M852" i="20" s="1"/>
  <c r="O852" i="20" a="1"/>
  <c r="O852" i="20" s="1"/>
  <c r="Q852" i="20" a="1"/>
  <c r="Q852" i="20" s="1"/>
  <c r="S852" i="20" a="1"/>
  <c r="S852" i="20" s="1"/>
  <c r="U852" i="20" a="1"/>
  <c r="U852" i="20" s="1"/>
  <c r="W852" i="20" a="1"/>
  <c r="W852" i="20" s="1"/>
  <c r="Y852" i="20" a="1"/>
  <c r="Y852" i="20" s="1"/>
  <c r="X851" i="20" a="1"/>
  <c r="X851" i="20" s="1"/>
  <c r="P851" i="20" a="1"/>
  <c r="P851" i="20" s="1"/>
  <c r="H851" i="20" a="1"/>
  <c r="H851" i="20" s="1"/>
  <c r="G850" i="20" a="1"/>
  <c r="G850" i="20" s="1"/>
  <c r="I850" i="20" a="1"/>
  <c r="I850" i="20" s="1"/>
  <c r="K850" i="20" a="1"/>
  <c r="K850" i="20" s="1"/>
  <c r="M850" i="20" a="1"/>
  <c r="M850" i="20" s="1"/>
  <c r="O850" i="20" a="1"/>
  <c r="O850" i="20" s="1"/>
  <c r="Q850" i="20" a="1"/>
  <c r="Q850" i="20" s="1"/>
  <c r="S850" i="20" a="1"/>
  <c r="S850" i="20" s="1"/>
  <c r="U850" i="20" a="1"/>
  <c r="U850" i="20" s="1"/>
  <c r="W850" i="20" a="1"/>
  <c r="W850" i="20" s="1"/>
  <c r="Y850" i="20" a="1"/>
  <c r="Y850" i="20" s="1"/>
  <c r="X849" i="20" a="1"/>
  <c r="X849" i="20" s="1"/>
  <c r="P849" i="20" a="1"/>
  <c r="P849" i="20" s="1"/>
  <c r="J849" i="20" a="1"/>
  <c r="J849" i="20" s="1"/>
  <c r="M848" i="20" a="1"/>
  <c r="M848" i="20" s="1"/>
  <c r="O848" i="20" a="1"/>
  <c r="O848" i="20" s="1"/>
  <c r="Q848" i="20" a="1"/>
  <c r="Q848" i="20" s="1"/>
  <c r="S848" i="20" a="1"/>
  <c r="S848" i="20" s="1"/>
  <c r="U848" i="20" a="1"/>
  <c r="U848" i="20" s="1"/>
  <c r="W848" i="20" a="1"/>
  <c r="W848" i="20" s="1"/>
  <c r="Y848" i="20" a="1"/>
  <c r="Y848" i="20" s="1"/>
  <c r="X847" i="20" a="1"/>
  <c r="X847" i="20" s="1"/>
  <c r="P847" i="20" a="1"/>
  <c r="P847" i="20" s="1"/>
  <c r="J847" i="20" a="1"/>
  <c r="J847" i="20" s="1"/>
  <c r="M846" i="20" a="1"/>
  <c r="M846" i="20" s="1"/>
  <c r="O846" i="20" a="1"/>
  <c r="O846" i="20" s="1"/>
  <c r="Q846" i="20" a="1"/>
  <c r="Q846" i="20" s="1"/>
  <c r="S846" i="20" a="1"/>
  <c r="S846" i="20" s="1"/>
  <c r="U846" i="20" a="1"/>
  <c r="U846" i="20" s="1"/>
  <c r="W846" i="20" a="1"/>
  <c r="W846" i="20" s="1"/>
  <c r="Y846" i="20" a="1"/>
  <c r="Y846" i="20" s="1"/>
  <c r="X845" i="20" a="1"/>
  <c r="X845" i="20" s="1"/>
  <c r="P845" i="20" a="1"/>
  <c r="P845" i="20" s="1"/>
  <c r="J845" i="20" a="1"/>
  <c r="J845" i="20" s="1"/>
  <c r="M844" i="20" a="1"/>
  <c r="M844" i="20" s="1"/>
  <c r="O844" i="20" a="1"/>
  <c r="O844" i="20" s="1"/>
  <c r="Q844" i="20" a="1"/>
  <c r="Q844" i="20" s="1"/>
  <c r="S844" i="20" a="1"/>
  <c r="S844" i="20" s="1"/>
  <c r="U844" i="20" a="1"/>
  <c r="U844" i="20" s="1"/>
  <c r="W844" i="20" a="1"/>
  <c r="W844" i="20" s="1"/>
  <c r="Y844" i="20" a="1"/>
  <c r="Y844" i="20" s="1"/>
  <c r="V825" i="20" a="1"/>
  <c r="V825" i="20" s="1"/>
  <c r="R824" i="20" a="1"/>
  <c r="R824" i="20" s="1"/>
  <c r="V823" i="20" a="1"/>
  <c r="V823" i="20" s="1"/>
  <c r="N823" i="20" a="1"/>
  <c r="N823" i="20" s="1"/>
  <c r="R822" i="20" a="1"/>
  <c r="R822" i="20" s="1"/>
  <c r="V821" i="20" a="1"/>
  <c r="V821" i="20" s="1"/>
  <c r="N821" i="20" a="1"/>
  <c r="N821" i="20" s="1"/>
  <c r="K821" i="20"/>
  <c r="H821" i="20" a="1"/>
  <c r="H821" i="20" s="1"/>
  <c r="R820" i="20" a="1"/>
  <c r="R820" i="20" s="1"/>
  <c r="V819" i="20" a="1"/>
  <c r="V819" i="20" s="1"/>
  <c r="N819" i="20" a="1"/>
  <c r="N819" i="20" s="1"/>
  <c r="K819" i="20"/>
  <c r="H819" i="20" a="1"/>
  <c r="H819" i="20" s="1"/>
  <c r="R818" i="20" a="1"/>
  <c r="R818" i="20" s="1"/>
  <c r="V817" i="20" a="1"/>
  <c r="V817" i="20" s="1"/>
  <c r="N817" i="20" a="1"/>
  <c r="N817" i="20" s="1"/>
  <c r="K817" i="20"/>
  <c r="S816" i="20" a="1"/>
  <c r="S816" i="20" s="1"/>
  <c r="O816" i="20" a="1"/>
  <c r="O816" i="20" s="1"/>
  <c r="L816" i="20" a="1"/>
  <c r="L816" i="20" s="1"/>
  <c r="Y797" i="20" a="1"/>
  <c r="Y797" i="20" s="1"/>
  <c r="T797" i="20" a="1"/>
  <c r="T797" i="20" s="1"/>
  <c r="Y796" i="20" a="1"/>
  <c r="Y796" i="20" s="1"/>
  <c r="T796" i="20" a="1"/>
  <c r="T796" i="20" s="1"/>
  <c r="Y795" i="20" a="1"/>
  <c r="Y795" i="20" s="1"/>
  <c r="T795" i="20" a="1"/>
  <c r="T795" i="20" s="1"/>
  <c r="Y794" i="20" a="1"/>
  <c r="Y794" i="20" s="1"/>
  <c r="T794" i="20" a="1"/>
  <c r="T794" i="20" s="1"/>
  <c r="Y793" i="20" a="1"/>
  <c r="Y793" i="20" s="1"/>
  <c r="X792" i="20" a="1"/>
  <c r="X792" i="20" s="1"/>
  <c r="G791" i="20" a="1"/>
  <c r="G791" i="20" s="1"/>
  <c r="I791" i="20" a="1"/>
  <c r="I791" i="20" s="1"/>
  <c r="K791" i="20"/>
  <c r="H791" i="20" a="1"/>
  <c r="H791" i="20" s="1"/>
  <c r="N791" i="20" a="1"/>
  <c r="N791" i="20" s="1"/>
  <c r="S791" i="20" a="1"/>
  <c r="S791" i="20" s="1"/>
  <c r="V791" i="20" a="1"/>
  <c r="V791" i="20" s="1"/>
  <c r="O791" i="20" a="1"/>
  <c r="O791" i="20" s="1"/>
  <c r="R791" i="20" a="1"/>
  <c r="R791" i="20" s="1"/>
  <c r="W791" i="20" a="1"/>
  <c r="W791" i="20" s="1"/>
  <c r="G790" i="20" a="1"/>
  <c r="G790" i="20" s="1"/>
  <c r="I790" i="20" a="1"/>
  <c r="I790" i="20" s="1"/>
  <c r="K790" i="20"/>
  <c r="O790" i="20" a="1"/>
  <c r="O790" i="20" s="1"/>
  <c r="R790" i="20" a="1"/>
  <c r="R790" i="20" s="1"/>
  <c r="W790" i="20" a="1"/>
  <c r="W790" i="20" s="1"/>
  <c r="J790" i="20" a="1"/>
  <c r="J790" i="20" s="1"/>
  <c r="M790" i="20" a="1"/>
  <c r="M790" i="20" s="1"/>
  <c r="P790" i="20" a="1"/>
  <c r="P790" i="20" s="1"/>
  <c r="U790" i="20" a="1"/>
  <c r="U790" i="20" s="1"/>
  <c r="X790" i="20" a="1"/>
  <c r="X790" i="20" s="1"/>
  <c r="H790" i="20" a="1"/>
  <c r="H790" i="20" s="1"/>
  <c r="N790" i="20" a="1"/>
  <c r="N790" i="20" s="1"/>
  <c r="S790" i="20" a="1"/>
  <c r="S790" i="20" s="1"/>
  <c r="V790" i="20" a="1"/>
  <c r="V790" i="20" s="1"/>
  <c r="H768" i="20" a="1"/>
  <c r="H768" i="20" s="1"/>
  <c r="M768" i="20" a="1"/>
  <c r="M768" i="20" s="1"/>
  <c r="P768" i="20" a="1"/>
  <c r="P768" i="20" s="1"/>
  <c r="U768" i="20" a="1"/>
  <c r="U768" i="20" s="1"/>
  <c r="X768" i="20" a="1"/>
  <c r="X768" i="20" s="1"/>
  <c r="K768" i="20" a="1"/>
  <c r="K768" i="20" s="1"/>
  <c r="N768" i="20" a="1"/>
  <c r="N768" i="20" s="1"/>
  <c r="S768" i="20" a="1"/>
  <c r="S768" i="20" s="1"/>
  <c r="V768" i="20" a="1"/>
  <c r="V768" i="20" s="1"/>
  <c r="I768" i="20" a="1"/>
  <c r="I768" i="20" s="1"/>
  <c r="L768" i="20" a="1"/>
  <c r="L768" i="20" s="1"/>
  <c r="Q768" i="20" a="1"/>
  <c r="Q768" i="20" s="1"/>
  <c r="T768" i="20" a="1"/>
  <c r="T768" i="20" s="1"/>
  <c r="Y768" i="20" a="1"/>
  <c r="Y768" i="20" s="1"/>
  <c r="G768" i="20" a="1"/>
  <c r="G768" i="20" s="1"/>
  <c r="J768" i="20" a="1"/>
  <c r="J768" i="20" s="1"/>
  <c r="O768" i="20" a="1"/>
  <c r="O768" i="20" s="1"/>
  <c r="R768" i="20" a="1"/>
  <c r="R768" i="20" s="1"/>
  <c r="W768" i="20" a="1"/>
  <c r="W768" i="20" s="1"/>
  <c r="H766" i="20" a="1"/>
  <c r="H766" i="20" s="1"/>
  <c r="M766" i="20" a="1"/>
  <c r="M766" i="20" s="1"/>
  <c r="P766" i="20" a="1"/>
  <c r="P766" i="20" s="1"/>
  <c r="U766" i="20" a="1"/>
  <c r="U766" i="20" s="1"/>
  <c r="X766" i="20" a="1"/>
  <c r="X766" i="20" s="1"/>
  <c r="K766" i="20" a="1"/>
  <c r="K766" i="20" s="1"/>
  <c r="N766" i="20" a="1"/>
  <c r="N766" i="20" s="1"/>
  <c r="S766" i="20" a="1"/>
  <c r="S766" i="20" s="1"/>
  <c r="V766" i="20" a="1"/>
  <c r="V766" i="20" s="1"/>
  <c r="I766" i="20" a="1"/>
  <c r="I766" i="20" s="1"/>
  <c r="L766" i="20" a="1"/>
  <c r="L766" i="20" s="1"/>
  <c r="Q766" i="20" a="1"/>
  <c r="Q766" i="20" s="1"/>
  <c r="T766" i="20" a="1"/>
  <c r="T766" i="20" s="1"/>
  <c r="Y766" i="20" a="1"/>
  <c r="Y766" i="20" s="1"/>
  <c r="G766" i="20" a="1"/>
  <c r="G766" i="20" s="1"/>
  <c r="J766" i="20" a="1"/>
  <c r="J766" i="20" s="1"/>
  <c r="O766" i="20" a="1"/>
  <c r="O766" i="20" s="1"/>
  <c r="R766" i="20" a="1"/>
  <c r="R766" i="20" s="1"/>
  <c r="W766" i="20" a="1"/>
  <c r="W766" i="20" s="1"/>
  <c r="G734" i="20" a="1"/>
  <c r="G734" i="20" s="1"/>
  <c r="I734" i="20" a="1"/>
  <c r="I734" i="20" s="1"/>
  <c r="K734" i="20"/>
  <c r="H734" i="20" a="1"/>
  <c r="H734" i="20" s="1"/>
  <c r="N734" i="20" a="1"/>
  <c r="N734" i="20" s="1"/>
  <c r="S734" i="20" a="1"/>
  <c r="S734" i="20" s="1"/>
  <c r="V734" i="20" a="1"/>
  <c r="V734" i="20" s="1"/>
  <c r="L734" i="20" a="1"/>
  <c r="L734" i="20" s="1"/>
  <c r="Q734" i="20" a="1"/>
  <c r="Q734" i="20" s="1"/>
  <c r="T734" i="20" a="1"/>
  <c r="T734" i="20" s="1"/>
  <c r="Y734" i="20" a="1"/>
  <c r="Y734" i="20" s="1"/>
  <c r="O734" i="20" a="1"/>
  <c r="O734" i="20" s="1"/>
  <c r="R734" i="20" a="1"/>
  <c r="R734" i="20" s="1"/>
  <c r="W734" i="20" a="1"/>
  <c r="W734" i="20" s="1"/>
  <c r="J734" i="20" a="1"/>
  <c r="J734" i="20" s="1"/>
  <c r="M734" i="20" a="1"/>
  <c r="M734" i="20" s="1"/>
  <c r="P734" i="20" a="1"/>
  <c r="P734" i="20" s="1"/>
  <c r="U734" i="20" a="1"/>
  <c r="U734" i="20" s="1"/>
  <c r="X734" i="20" a="1"/>
  <c r="X734" i="20" s="1"/>
  <c r="I712" i="20" a="1"/>
  <c r="I712" i="20" s="1"/>
  <c r="L712" i="20" a="1"/>
  <c r="L712" i="20" s="1"/>
  <c r="Q712" i="20" a="1"/>
  <c r="Q712" i="20" s="1"/>
  <c r="T712" i="20" a="1"/>
  <c r="T712" i="20" s="1"/>
  <c r="Y712" i="20" a="1"/>
  <c r="Y712" i="20" s="1"/>
  <c r="G712" i="20" a="1"/>
  <c r="G712" i="20" s="1"/>
  <c r="J712" i="20" a="1"/>
  <c r="J712" i="20" s="1"/>
  <c r="O712" i="20" a="1"/>
  <c r="O712" i="20" s="1"/>
  <c r="R712" i="20" a="1"/>
  <c r="R712" i="20" s="1"/>
  <c r="W712" i="20" a="1"/>
  <c r="W712" i="20" s="1"/>
  <c r="H712" i="20" a="1"/>
  <c r="H712" i="20" s="1"/>
  <c r="M712" i="20" a="1"/>
  <c r="M712" i="20" s="1"/>
  <c r="P712" i="20" a="1"/>
  <c r="P712" i="20" s="1"/>
  <c r="U712" i="20" a="1"/>
  <c r="U712" i="20" s="1"/>
  <c r="X712" i="20" a="1"/>
  <c r="X712" i="20" s="1"/>
  <c r="K712" i="20" a="1"/>
  <c r="K712" i="20" s="1"/>
  <c r="N712" i="20" a="1"/>
  <c r="N712" i="20" s="1"/>
  <c r="S712" i="20" a="1"/>
  <c r="S712" i="20" s="1"/>
  <c r="V712" i="20" a="1"/>
  <c r="V712" i="20" s="1"/>
  <c r="G881" i="20" a="1"/>
  <c r="G881" i="20" s="1"/>
  <c r="I881" i="20" a="1"/>
  <c r="I881" i="20" s="1"/>
  <c r="K881" i="20" a="1"/>
  <c r="K881" i="20" s="1"/>
  <c r="M881" i="20" a="1"/>
  <c r="M881" i="20" s="1"/>
  <c r="O881" i="20" a="1"/>
  <c r="O881" i="20" s="1"/>
  <c r="Q881" i="20" a="1"/>
  <c r="Q881" i="20" s="1"/>
  <c r="S881" i="20" a="1"/>
  <c r="S881" i="20" s="1"/>
  <c r="U881" i="20" a="1"/>
  <c r="U881" i="20" s="1"/>
  <c r="G879" i="20" a="1"/>
  <c r="G879" i="20" s="1"/>
  <c r="I879" i="20" a="1"/>
  <c r="I879" i="20" s="1"/>
  <c r="K879" i="20" a="1"/>
  <c r="K879" i="20" s="1"/>
  <c r="M879" i="20" a="1"/>
  <c r="M879" i="20" s="1"/>
  <c r="O879" i="20" a="1"/>
  <c r="O879" i="20" s="1"/>
  <c r="Q879" i="20" a="1"/>
  <c r="Q879" i="20" s="1"/>
  <c r="S879" i="20" a="1"/>
  <c r="S879" i="20" s="1"/>
  <c r="U879" i="20" a="1"/>
  <c r="U879" i="20" s="1"/>
  <c r="W879" i="20" a="1"/>
  <c r="W879" i="20" s="1"/>
  <c r="Y879" i="20" a="1"/>
  <c r="Y879" i="20" s="1"/>
  <c r="M877" i="20" a="1"/>
  <c r="M877" i="20" s="1"/>
  <c r="O877" i="20" a="1"/>
  <c r="O877" i="20" s="1"/>
  <c r="Q877" i="20" a="1"/>
  <c r="Q877" i="20" s="1"/>
  <c r="S877" i="20" a="1"/>
  <c r="S877" i="20" s="1"/>
  <c r="U877" i="20" a="1"/>
  <c r="U877" i="20" s="1"/>
  <c r="W877" i="20" a="1"/>
  <c r="W877" i="20" s="1"/>
  <c r="Y877" i="20" a="1"/>
  <c r="Y877" i="20" s="1"/>
  <c r="M875" i="20" a="1"/>
  <c r="M875" i="20" s="1"/>
  <c r="O875" i="20" a="1"/>
  <c r="O875" i="20" s="1"/>
  <c r="Q875" i="20" a="1"/>
  <c r="Q875" i="20" s="1"/>
  <c r="S875" i="20" a="1"/>
  <c r="S875" i="20" s="1"/>
  <c r="U875" i="20" a="1"/>
  <c r="U875" i="20" s="1"/>
  <c r="W875" i="20" a="1"/>
  <c r="W875" i="20" s="1"/>
  <c r="Y875" i="20" a="1"/>
  <c r="Y875" i="20" s="1"/>
  <c r="M873" i="20" a="1"/>
  <c r="M873" i="20" s="1"/>
  <c r="O873" i="20" a="1"/>
  <c r="O873" i="20" s="1"/>
  <c r="Q873" i="20" a="1"/>
  <c r="Q873" i="20" s="1"/>
  <c r="S873" i="20" a="1"/>
  <c r="S873" i="20" s="1"/>
  <c r="U873" i="20" a="1"/>
  <c r="U873" i="20" s="1"/>
  <c r="W873" i="20" a="1"/>
  <c r="W873" i="20" s="1"/>
  <c r="Y873" i="20" a="1"/>
  <c r="Y873" i="20" s="1"/>
  <c r="R853" i="20" a="1"/>
  <c r="R853" i="20" s="1"/>
  <c r="V852" i="20" a="1"/>
  <c r="V852" i="20" s="1"/>
  <c r="N852" i="20" a="1"/>
  <c r="N852" i="20" s="1"/>
  <c r="R851" i="20" a="1"/>
  <c r="R851" i="20" s="1"/>
  <c r="V850" i="20" a="1"/>
  <c r="V850" i="20" s="1"/>
  <c r="N850" i="20" a="1"/>
  <c r="N850" i="20" s="1"/>
  <c r="R849" i="20" a="1"/>
  <c r="R849" i="20" s="1"/>
  <c r="V848" i="20" a="1"/>
  <c r="V848" i="20" s="1"/>
  <c r="N848" i="20" a="1"/>
  <c r="N848" i="20" s="1"/>
  <c r="K848" i="20"/>
  <c r="H848" i="20" a="1"/>
  <c r="H848" i="20" s="1"/>
  <c r="R847" i="20" a="1"/>
  <c r="R847" i="20" s="1"/>
  <c r="V846" i="20" a="1"/>
  <c r="V846" i="20" s="1"/>
  <c r="N846" i="20" a="1"/>
  <c r="N846" i="20" s="1"/>
  <c r="K846" i="20"/>
  <c r="H846" i="20" a="1"/>
  <c r="H846" i="20" s="1"/>
  <c r="R845" i="20" a="1"/>
  <c r="R845" i="20" s="1"/>
  <c r="V844" i="20" a="1"/>
  <c r="V844" i="20" s="1"/>
  <c r="N844" i="20" a="1"/>
  <c r="N844" i="20" s="1"/>
  <c r="K844" i="20"/>
  <c r="H844" i="20" a="1"/>
  <c r="H844" i="20" s="1"/>
  <c r="G824" i="20" a="1"/>
  <c r="G824" i="20" s="1"/>
  <c r="I824" i="20" a="1"/>
  <c r="I824" i="20" s="1"/>
  <c r="K824" i="20" a="1"/>
  <c r="K824" i="20" s="1"/>
  <c r="M824" i="20" a="1"/>
  <c r="M824" i="20" s="1"/>
  <c r="O824" i="20" a="1"/>
  <c r="O824" i="20" s="1"/>
  <c r="Q824" i="20" a="1"/>
  <c r="Q824" i="20" s="1"/>
  <c r="S824" i="20" a="1"/>
  <c r="S824" i="20" s="1"/>
  <c r="U824" i="20" a="1"/>
  <c r="U824" i="20" s="1"/>
  <c r="W824" i="20" a="1"/>
  <c r="W824" i="20" s="1"/>
  <c r="Y824" i="20" a="1"/>
  <c r="Y824" i="20" s="1"/>
  <c r="G822" i="20" a="1"/>
  <c r="G822" i="20" s="1"/>
  <c r="I822" i="20" a="1"/>
  <c r="I822" i="20" s="1"/>
  <c r="K822" i="20" a="1"/>
  <c r="K822" i="20" s="1"/>
  <c r="M822" i="20" a="1"/>
  <c r="M822" i="20" s="1"/>
  <c r="O822" i="20" a="1"/>
  <c r="O822" i="20" s="1"/>
  <c r="Q822" i="20" a="1"/>
  <c r="Q822" i="20" s="1"/>
  <c r="S822" i="20" a="1"/>
  <c r="S822" i="20" s="1"/>
  <c r="U822" i="20" a="1"/>
  <c r="U822" i="20" s="1"/>
  <c r="W822" i="20" a="1"/>
  <c r="W822" i="20" s="1"/>
  <c r="Y822" i="20" a="1"/>
  <c r="Y822" i="20" s="1"/>
  <c r="M820" i="20" a="1"/>
  <c r="M820" i="20" s="1"/>
  <c r="O820" i="20" a="1"/>
  <c r="O820" i="20" s="1"/>
  <c r="Q820" i="20" a="1"/>
  <c r="Q820" i="20" s="1"/>
  <c r="S820" i="20" a="1"/>
  <c r="S820" i="20" s="1"/>
  <c r="U820" i="20" a="1"/>
  <c r="U820" i="20" s="1"/>
  <c r="W820" i="20" a="1"/>
  <c r="W820" i="20" s="1"/>
  <c r="Y820" i="20" a="1"/>
  <c r="Y820" i="20" s="1"/>
  <c r="M818" i="20" a="1"/>
  <c r="M818" i="20" s="1"/>
  <c r="O818" i="20" a="1"/>
  <c r="O818" i="20" s="1"/>
  <c r="Q818" i="20" a="1"/>
  <c r="Q818" i="20" s="1"/>
  <c r="S818" i="20" a="1"/>
  <c r="S818" i="20" s="1"/>
  <c r="U818" i="20" a="1"/>
  <c r="U818" i="20" s="1"/>
  <c r="W818" i="20" a="1"/>
  <c r="W818" i="20" s="1"/>
  <c r="Y818" i="20" a="1"/>
  <c r="Y818" i="20" s="1"/>
  <c r="G816" i="20" a="1"/>
  <c r="G816" i="20" s="1"/>
  <c r="I816" i="20" a="1"/>
  <c r="I816" i="20" s="1"/>
  <c r="K816" i="20"/>
  <c r="J816" i="20" a="1"/>
  <c r="J816" i="20" s="1"/>
  <c r="M816" i="20" a="1"/>
  <c r="M816" i="20" s="1"/>
  <c r="P816" i="20" a="1"/>
  <c r="P816" i="20" s="1"/>
  <c r="U816" i="20" a="1"/>
  <c r="U816" i="20" s="1"/>
  <c r="X816" i="20" a="1"/>
  <c r="X816" i="20" s="1"/>
  <c r="G792" i="20" a="1"/>
  <c r="G792" i="20" s="1"/>
  <c r="I792" i="20" a="1"/>
  <c r="I792" i="20" s="1"/>
  <c r="K792" i="20"/>
  <c r="O792" i="20" a="1"/>
  <c r="O792" i="20" s="1"/>
  <c r="R792" i="20" a="1"/>
  <c r="R792" i="20" s="1"/>
  <c r="W792" i="20" a="1"/>
  <c r="W792" i="20" s="1"/>
  <c r="H792" i="20" a="1"/>
  <c r="H792" i="20" s="1"/>
  <c r="N792" i="20" a="1"/>
  <c r="N792" i="20" s="1"/>
  <c r="S792" i="20" a="1"/>
  <c r="S792" i="20" s="1"/>
  <c r="V792" i="20" a="1"/>
  <c r="V792" i="20" s="1"/>
  <c r="G789" i="20" a="1"/>
  <c r="G789" i="20" s="1"/>
  <c r="K789" i="20"/>
  <c r="H789" i="20" a="1"/>
  <c r="H789" i="20" s="1"/>
  <c r="N789" i="20" a="1"/>
  <c r="N789" i="20" s="1"/>
  <c r="S789" i="20" a="1"/>
  <c r="S789" i="20" s="1"/>
  <c r="V789" i="20" a="1"/>
  <c r="V789" i="20" s="1"/>
  <c r="L789" i="20" a="1"/>
  <c r="L789" i="20" s="1"/>
  <c r="Q789" i="20" a="1"/>
  <c r="Q789" i="20" s="1"/>
  <c r="T789" i="20" a="1"/>
  <c r="T789" i="20" s="1"/>
  <c r="Y789" i="20" a="1"/>
  <c r="Y789" i="20" s="1"/>
  <c r="O789" i="20" a="1"/>
  <c r="O789" i="20" s="1"/>
  <c r="R789" i="20" a="1"/>
  <c r="R789" i="20" s="1"/>
  <c r="W789" i="20" a="1"/>
  <c r="W789" i="20" s="1"/>
  <c r="J789" i="20" a="1"/>
  <c r="J789" i="20" s="1"/>
  <c r="M789" i="20" a="1"/>
  <c r="M789" i="20" s="1"/>
  <c r="P789" i="20" a="1"/>
  <c r="P789" i="20" s="1"/>
  <c r="U789" i="20" a="1"/>
  <c r="U789" i="20" s="1"/>
  <c r="X789" i="20" a="1"/>
  <c r="X789" i="20" s="1"/>
  <c r="G765" i="20" a="1"/>
  <c r="G765" i="20" s="1"/>
  <c r="I765" i="20" a="1"/>
  <c r="I765" i="20" s="1"/>
  <c r="K765" i="20"/>
  <c r="L765" i="20" a="1"/>
  <c r="L765" i="20" s="1"/>
  <c r="Q765" i="20" a="1"/>
  <c r="Q765" i="20" s="1"/>
  <c r="T765" i="20" a="1"/>
  <c r="T765" i="20" s="1"/>
  <c r="Y765" i="20" a="1"/>
  <c r="Y765" i="20" s="1"/>
  <c r="O765" i="20" a="1"/>
  <c r="O765" i="20" s="1"/>
  <c r="R765" i="20" a="1"/>
  <c r="R765" i="20" s="1"/>
  <c r="W765" i="20" a="1"/>
  <c r="W765" i="20" s="1"/>
  <c r="J765" i="20" a="1"/>
  <c r="J765" i="20" s="1"/>
  <c r="M765" i="20" a="1"/>
  <c r="M765" i="20" s="1"/>
  <c r="P765" i="20" a="1"/>
  <c r="P765" i="20" s="1"/>
  <c r="U765" i="20" a="1"/>
  <c r="U765" i="20" s="1"/>
  <c r="X765" i="20" a="1"/>
  <c r="X765" i="20" s="1"/>
  <c r="H765" i="20" a="1"/>
  <c r="H765" i="20" s="1"/>
  <c r="N765" i="20" a="1"/>
  <c r="N765" i="20" s="1"/>
  <c r="S765" i="20" a="1"/>
  <c r="S765" i="20" s="1"/>
  <c r="V765" i="20" a="1"/>
  <c r="V765" i="20" s="1"/>
  <c r="G737" i="20" a="1"/>
  <c r="G737" i="20" s="1"/>
  <c r="I737" i="20" a="1"/>
  <c r="I737" i="20" s="1"/>
  <c r="K737" i="20"/>
  <c r="O737" i="20" a="1"/>
  <c r="O737" i="20" s="1"/>
  <c r="R737" i="20" a="1"/>
  <c r="R737" i="20" s="1"/>
  <c r="W737" i="20" a="1"/>
  <c r="W737" i="20" s="1"/>
  <c r="J737" i="20" a="1"/>
  <c r="J737" i="20" s="1"/>
  <c r="M737" i="20" a="1"/>
  <c r="M737" i="20" s="1"/>
  <c r="P737" i="20" a="1"/>
  <c r="P737" i="20" s="1"/>
  <c r="U737" i="20" a="1"/>
  <c r="U737" i="20" s="1"/>
  <c r="X737" i="20" a="1"/>
  <c r="X737" i="20" s="1"/>
  <c r="H737" i="20" a="1"/>
  <c r="H737" i="20" s="1"/>
  <c r="N737" i="20" a="1"/>
  <c r="N737" i="20" s="1"/>
  <c r="S737" i="20" a="1"/>
  <c r="S737" i="20" s="1"/>
  <c r="V737" i="20" a="1"/>
  <c r="V737" i="20" s="1"/>
  <c r="L737" i="20" a="1"/>
  <c r="L737" i="20" s="1"/>
  <c r="Q737" i="20" a="1"/>
  <c r="Q737" i="20" s="1"/>
  <c r="T737" i="20" a="1"/>
  <c r="T737" i="20" s="1"/>
  <c r="Y737" i="20" a="1"/>
  <c r="Y737" i="20" s="1"/>
  <c r="G733" i="20" a="1"/>
  <c r="G733" i="20" s="1"/>
  <c r="K733" i="20"/>
  <c r="O733" i="20" a="1"/>
  <c r="O733" i="20" s="1"/>
  <c r="R733" i="20" a="1"/>
  <c r="R733" i="20" s="1"/>
  <c r="W733" i="20" a="1"/>
  <c r="W733" i="20" s="1"/>
  <c r="J733" i="20" a="1"/>
  <c r="J733" i="20" s="1"/>
  <c r="M733" i="20" a="1"/>
  <c r="M733" i="20" s="1"/>
  <c r="P733" i="20" a="1"/>
  <c r="P733" i="20" s="1"/>
  <c r="U733" i="20" a="1"/>
  <c r="U733" i="20" s="1"/>
  <c r="X733" i="20" a="1"/>
  <c r="X733" i="20" s="1"/>
  <c r="H733" i="20" a="1"/>
  <c r="H733" i="20" s="1"/>
  <c r="N733" i="20" a="1"/>
  <c r="N733" i="20" s="1"/>
  <c r="S733" i="20" a="1"/>
  <c r="S733" i="20" s="1"/>
  <c r="V733" i="20" a="1"/>
  <c r="V733" i="20" s="1"/>
  <c r="L733" i="20" a="1"/>
  <c r="L733" i="20" s="1"/>
  <c r="Q733" i="20" a="1"/>
  <c r="Q733" i="20" s="1"/>
  <c r="T733" i="20" a="1"/>
  <c r="T733" i="20" s="1"/>
  <c r="Y733" i="20" a="1"/>
  <c r="Y733" i="20" s="1"/>
  <c r="H711" i="20" a="1"/>
  <c r="H711" i="20" s="1"/>
  <c r="M711" i="20" a="1"/>
  <c r="M711" i="20" s="1"/>
  <c r="P711" i="20" a="1"/>
  <c r="P711" i="20" s="1"/>
  <c r="U711" i="20" a="1"/>
  <c r="U711" i="20" s="1"/>
  <c r="X711" i="20" a="1"/>
  <c r="X711" i="20" s="1"/>
  <c r="K711" i="20" a="1"/>
  <c r="K711" i="20" s="1"/>
  <c r="N711" i="20" a="1"/>
  <c r="N711" i="20" s="1"/>
  <c r="S711" i="20" a="1"/>
  <c r="S711" i="20" s="1"/>
  <c r="V711" i="20" a="1"/>
  <c r="V711" i="20" s="1"/>
  <c r="I711" i="20" a="1"/>
  <c r="I711" i="20" s="1"/>
  <c r="L711" i="20" a="1"/>
  <c r="L711" i="20" s="1"/>
  <c r="Q711" i="20" a="1"/>
  <c r="Q711" i="20" s="1"/>
  <c r="T711" i="20" a="1"/>
  <c r="T711" i="20" s="1"/>
  <c r="Y711" i="20" a="1"/>
  <c r="Y711" i="20" s="1"/>
  <c r="G711" i="20" a="1"/>
  <c r="G711" i="20" s="1"/>
  <c r="J711" i="20" a="1"/>
  <c r="J711" i="20" s="1"/>
  <c r="O711" i="20" a="1"/>
  <c r="O711" i="20" s="1"/>
  <c r="R711" i="20" a="1"/>
  <c r="R711" i="20" s="1"/>
  <c r="W711" i="20" a="1"/>
  <c r="W711" i="20" s="1"/>
  <c r="X881" i="20" a="1"/>
  <c r="X881" i="20" s="1"/>
  <c r="V881" i="20" a="1"/>
  <c r="V881" i="20" s="1"/>
  <c r="N881" i="20" a="1"/>
  <c r="N881" i="20" s="1"/>
  <c r="V879" i="20" a="1"/>
  <c r="V879" i="20" s="1"/>
  <c r="N879" i="20" a="1"/>
  <c r="N879" i="20" s="1"/>
  <c r="R878" i="20" a="1"/>
  <c r="R878" i="20" s="1"/>
  <c r="V877" i="20" a="1"/>
  <c r="V877" i="20" s="1"/>
  <c r="N877" i="20" a="1"/>
  <c r="N877" i="20" s="1"/>
  <c r="K877" i="20"/>
  <c r="H877" i="20" a="1"/>
  <c r="H877" i="20" s="1"/>
  <c r="R876" i="20" a="1"/>
  <c r="R876" i="20" s="1"/>
  <c r="V875" i="20" a="1"/>
  <c r="V875" i="20" s="1"/>
  <c r="N875" i="20" a="1"/>
  <c r="N875" i="20" s="1"/>
  <c r="K875" i="20"/>
  <c r="H875" i="20" a="1"/>
  <c r="H875" i="20" s="1"/>
  <c r="V873" i="20" a="1"/>
  <c r="V873" i="20" s="1"/>
  <c r="N873" i="20" a="1"/>
  <c r="N873" i="20" s="1"/>
  <c r="K873" i="20"/>
  <c r="H873" i="20" a="1"/>
  <c r="H873" i="20" s="1"/>
  <c r="G853" i="20" a="1"/>
  <c r="G853" i="20" s="1"/>
  <c r="I853" i="20" a="1"/>
  <c r="I853" i="20" s="1"/>
  <c r="K853" i="20" a="1"/>
  <c r="K853" i="20" s="1"/>
  <c r="M853" i="20" a="1"/>
  <c r="M853" i="20" s="1"/>
  <c r="O853" i="20" a="1"/>
  <c r="O853" i="20" s="1"/>
  <c r="Q853" i="20" a="1"/>
  <c r="Q853" i="20" s="1"/>
  <c r="S853" i="20" a="1"/>
  <c r="S853" i="20" s="1"/>
  <c r="U853" i="20" a="1"/>
  <c r="U853" i="20" s="1"/>
  <c r="W853" i="20" a="1"/>
  <c r="W853" i="20" s="1"/>
  <c r="Y853" i="20" a="1"/>
  <c r="Y853" i="20" s="1"/>
  <c r="G851" i="20" a="1"/>
  <c r="G851" i="20" s="1"/>
  <c r="I851" i="20" a="1"/>
  <c r="I851" i="20" s="1"/>
  <c r="K851" i="20" a="1"/>
  <c r="K851" i="20" s="1"/>
  <c r="M851" i="20" a="1"/>
  <c r="M851" i="20" s="1"/>
  <c r="O851" i="20" a="1"/>
  <c r="O851" i="20" s="1"/>
  <c r="Q851" i="20" a="1"/>
  <c r="Q851" i="20" s="1"/>
  <c r="S851" i="20" a="1"/>
  <c r="S851" i="20" s="1"/>
  <c r="U851" i="20" a="1"/>
  <c r="U851" i="20" s="1"/>
  <c r="W851" i="20" a="1"/>
  <c r="W851" i="20" s="1"/>
  <c r="Y851" i="20" a="1"/>
  <c r="Y851" i="20" s="1"/>
  <c r="M849" i="20" a="1"/>
  <c r="M849" i="20" s="1"/>
  <c r="O849" i="20" a="1"/>
  <c r="O849" i="20" s="1"/>
  <c r="Q849" i="20" a="1"/>
  <c r="Q849" i="20" s="1"/>
  <c r="S849" i="20" a="1"/>
  <c r="S849" i="20" s="1"/>
  <c r="U849" i="20" a="1"/>
  <c r="U849" i="20" s="1"/>
  <c r="W849" i="20" a="1"/>
  <c r="W849" i="20" s="1"/>
  <c r="Y849" i="20" a="1"/>
  <c r="Y849" i="20" s="1"/>
  <c r="X848" i="20" a="1"/>
  <c r="X848" i="20" s="1"/>
  <c r="P848" i="20" a="1"/>
  <c r="P848" i="20" s="1"/>
  <c r="J848" i="20" a="1"/>
  <c r="J848" i="20" s="1"/>
  <c r="M847" i="20" a="1"/>
  <c r="M847" i="20" s="1"/>
  <c r="O847" i="20" a="1"/>
  <c r="O847" i="20" s="1"/>
  <c r="Q847" i="20" a="1"/>
  <c r="Q847" i="20" s="1"/>
  <c r="S847" i="20" a="1"/>
  <c r="S847" i="20" s="1"/>
  <c r="U847" i="20" a="1"/>
  <c r="U847" i="20" s="1"/>
  <c r="W847" i="20" a="1"/>
  <c r="W847" i="20" s="1"/>
  <c r="Y847" i="20" a="1"/>
  <c r="Y847" i="20" s="1"/>
  <c r="X846" i="20" a="1"/>
  <c r="X846" i="20" s="1"/>
  <c r="P846" i="20" a="1"/>
  <c r="P846" i="20" s="1"/>
  <c r="J846" i="20" a="1"/>
  <c r="J846" i="20" s="1"/>
  <c r="M845" i="20" a="1"/>
  <c r="M845" i="20" s="1"/>
  <c r="O845" i="20" a="1"/>
  <c r="O845" i="20" s="1"/>
  <c r="Q845" i="20" a="1"/>
  <c r="Q845" i="20" s="1"/>
  <c r="S845" i="20" a="1"/>
  <c r="S845" i="20" s="1"/>
  <c r="U845" i="20" a="1"/>
  <c r="U845" i="20" s="1"/>
  <c r="W845" i="20" a="1"/>
  <c r="W845" i="20" s="1"/>
  <c r="Y845" i="20" a="1"/>
  <c r="Y845" i="20" s="1"/>
  <c r="X844" i="20" a="1"/>
  <c r="X844" i="20" s="1"/>
  <c r="P844" i="20" a="1"/>
  <c r="P844" i="20" s="1"/>
  <c r="J844" i="20" a="1"/>
  <c r="J844" i="20" s="1"/>
  <c r="V824" i="20" a="1"/>
  <c r="V824" i="20" s="1"/>
  <c r="N824" i="20" a="1"/>
  <c r="N824" i="20" s="1"/>
  <c r="R823" i="20" a="1"/>
  <c r="R823" i="20" s="1"/>
  <c r="V822" i="20" a="1"/>
  <c r="V822" i="20" s="1"/>
  <c r="N822" i="20" a="1"/>
  <c r="N822" i="20" s="1"/>
  <c r="R821" i="20" a="1"/>
  <c r="R821" i="20" s="1"/>
  <c r="V820" i="20" a="1"/>
  <c r="V820" i="20" s="1"/>
  <c r="N820" i="20" a="1"/>
  <c r="N820" i="20" s="1"/>
  <c r="K820" i="20"/>
  <c r="H820" i="20" a="1"/>
  <c r="H820" i="20" s="1"/>
  <c r="R819" i="20" a="1"/>
  <c r="R819" i="20" s="1"/>
  <c r="V818" i="20" a="1"/>
  <c r="V818" i="20" s="1"/>
  <c r="N818" i="20" a="1"/>
  <c r="N818" i="20" s="1"/>
  <c r="K818" i="20"/>
  <c r="H818" i="20" a="1"/>
  <c r="H818" i="20" s="1"/>
  <c r="G817" i="20" a="1"/>
  <c r="G817" i="20" s="1"/>
  <c r="M817" i="20" a="1"/>
  <c r="M817" i="20" s="1"/>
  <c r="O817" i="20" a="1"/>
  <c r="O817" i="20" s="1"/>
  <c r="Q817" i="20" a="1"/>
  <c r="Q817" i="20" s="1"/>
  <c r="S817" i="20" a="1"/>
  <c r="S817" i="20" s="1"/>
  <c r="U817" i="20" a="1"/>
  <c r="U817" i="20" s="1"/>
  <c r="W817" i="20" a="1"/>
  <c r="W817" i="20" s="1"/>
  <c r="Y817" i="20" a="1"/>
  <c r="Y817" i="20" s="1"/>
  <c r="Q816" i="20" a="1"/>
  <c r="Q816" i="20" s="1"/>
  <c r="N816" i="20" a="1"/>
  <c r="N816" i="20" s="1"/>
  <c r="N831" i="20" s="1" a="1"/>
  <c r="K797" i="20" a="1"/>
  <c r="K797" i="20" s="1"/>
  <c r="N797" i="20" a="1"/>
  <c r="N797" i="20" s="1"/>
  <c r="S797" i="20" a="1"/>
  <c r="S797" i="20" s="1"/>
  <c r="V797" i="20" a="1"/>
  <c r="V797" i="20" s="1"/>
  <c r="G797" i="20" a="1"/>
  <c r="G797" i="20" s="1"/>
  <c r="J797" i="20" a="1"/>
  <c r="J797" i="20" s="1"/>
  <c r="O797" i="20" a="1"/>
  <c r="O797" i="20" s="1"/>
  <c r="R797" i="20" a="1"/>
  <c r="R797" i="20" s="1"/>
  <c r="W797" i="20" a="1"/>
  <c r="W797" i="20" s="1"/>
  <c r="G796" i="20" a="1"/>
  <c r="G796" i="20" s="1"/>
  <c r="J796" i="20" a="1"/>
  <c r="J796" i="20" s="1"/>
  <c r="O796" i="20" a="1"/>
  <c r="O796" i="20" s="1"/>
  <c r="R796" i="20" a="1"/>
  <c r="R796" i="20" s="1"/>
  <c r="W796" i="20" a="1"/>
  <c r="W796" i="20" s="1"/>
  <c r="K796" i="20" a="1"/>
  <c r="K796" i="20" s="1"/>
  <c r="N796" i="20" a="1"/>
  <c r="N796" i="20" s="1"/>
  <c r="S796" i="20" a="1"/>
  <c r="S796" i="20" s="1"/>
  <c r="V796" i="20" a="1"/>
  <c r="V796" i="20" s="1"/>
  <c r="K795" i="20" a="1"/>
  <c r="K795" i="20" s="1"/>
  <c r="N795" i="20" a="1"/>
  <c r="N795" i="20" s="1"/>
  <c r="S795" i="20" a="1"/>
  <c r="S795" i="20" s="1"/>
  <c r="V795" i="20" a="1"/>
  <c r="V795" i="20" s="1"/>
  <c r="G795" i="20" a="1"/>
  <c r="G795" i="20" s="1"/>
  <c r="J795" i="20" a="1"/>
  <c r="J795" i="20" s="1"/>
  <c r="O795" i="20" a="1"/>
  <c r="O795" i="20" s="1"/>
  <c r="R795" i="20" a="1"/>
  <c r="R795" i="20" s="1"/>
  <c r="W795" i="20" a="1"/>
  <c r="W795" i="20" s="1"/>
  <c r="G794" i="20" a="1"/>
  <c r="G794" i="20" s="1"/>
  <c r="J794" i="20" a="1"/>
  <c r="J794" i="20" s="1"/>
  <c r="O794" i="20" a="1"/>
  <c r="O794" i="20" s="1"/>
  <c r="R794" i="20" a="1"/>
  <c r="R794" i="20" s="1"/>
  <c r="W794" i="20" a="1"/>
  <c r="W794" i="20" s="1"/>
  <c r="K794" i="20" a="1"/>
  <c r="K794" i="20" s="1"/>
  <c r="N794" i="20" a="1"/>
  <c r="N794" i="20" s="1"/>
  <c r="S794" i="20" a="1"/>
  <c r="S794" i="20" s="1"/>
  <c r="V794" i="20" a="1"/>
  <c r="V794" i="20" s="1"/>
  <c r="G793" i="20" a="1"/>
  <c r="G793" i="20" s="1"/>
  <c r="I793" i="20" a="1"/>
  <c r="I793" i="20" s="1"/>
  <c r="K793" i="20"/>
  <c r="H793" i="20" a="1"/>
  <c r="H793" i="20" s="1"/>
  <c r="N793" i="20" a="1"/>
  <c r="N793" i="20" s="1"/>
  <c r="S793" i="20" a="1"/>
  <c r="S793" i="20" s="1"/>
  <c r="V793" i="20" a="1"/>
  <c r="V793" i="20" s="1"/>
  <c r="O793" i="20" a="1"/>
  <c r="O793" i="20" s="1"/>
  <c r="R793" i="20" a="1"/>
  <c r="R793" i="20" s="1"/>
  <c r="W793" i="20" a="1"/>
  <c r="W793" i="20" s="1"/>
  <c r="U792" i="20" a="1"/>
  <c r="U792" i="20" s="1"/>
  <c r="P792" i="20" a="1"/>
  <c r="P792" i="20" s="1"/>
  <c r="J792" i="20" a="1"/>
  <c r="J792" i="20" s="1"/>
  <c r="L790" i="20" a="1"/>
  <c r="L790" i="20" s="1"/>
  <c r="G788" i="20" a="1"/>
  <c r="G788" i="20" s="1"/>
  <c r="K788" i="20"/>
  <c r="O788" i="20" a="1"/>
  <c r="O788" i="20" s="1"/>
  <c r="R788" i="20" a="1"/>
  <c r="R788" i="20" s="1"/>
  <c r="W788" i="20" a="1"/>
  <c r="W788" i="20" s="1"/>
  <c r="W803" i="20" s="1" a="1"/>
  <c r="J788" i="20" a="1"/>
  <c r="J788" i="20" s="1"/>
  <c r="M788" i="20" a="1"/>
  <c r="M788" i="20" s="1"/>
  <c r="P788" i="20" a="1"/>
  <c r="P788" i="20" s="1"/>
  <c r="U788" i="20" a="1"/>
  <c r="U788" i="20" s="1"/>
  <c r="U803" i="20" s="1" a="1"/>
  <c r="X788" i="20" a="1"/>
  <c r="X788" i="20" s="1"/>
  <c r="X803" i="20" s="1" a="1"/>
  <c r="H788" i="20" a="1"/>
  <c r="H788" i="20" s="1"/>
  <c r="N788" i="20" a="1"/>
  <c r="N788" i="20" s="1"/>
  <c r="S788" i="20" a="1"/>
  <c r="S788" i="20" s="1"/>
  <c r="S803" i="20" s="1" a="1"/>
  <c r="V788" i="20" a="1"/>
  <c r="V788" i="20" s="1"/>
  <c r="L788" i="20" a="1"/>
  <c r="L788" i="20" s="1"/>
  <c r="Q788" i="20" a="1"/>
  <c r="Q788" i="20" s="1"/>
  <c r="T788" i="20" a="1"/>
  <c r="T788" i="20" s="1"/>
  <c r="Y788" i="20" a="1"/>
  <c r="Y788" i="20" s="1"/>
  <c r="G764" i="20" a="1"/>
  <c r="G764" i="20" s="1"/>
  <c r="I764" i="20" a="1"/>
  <c r="I764" i="20" s="1"/>
  <c r="K764" i="20"/>
  <c r="J764" i="20" a="1"/>
  <c r="J764" i="20" s="1"/>
  <c r="M764" i="20" a="1"/>
  <c r="M764" i="20" s="1"/>
  <c r="P764" i="20" a="1"/>
  <c r="P764" i="20" s="1"/>
  <c r="U764" i="20" a="1"/>
  <c r="U764" i="20" s="1"/>
  <c r="X764" i="20" a="1"/>
  <c r="X764" i="20" s="1"/>
  <c r="H764" i="20" a="1"/>
  <c r="H764" i="20" s="1"/>
  <c r="N764" i="20" a="1"/>
  <c r="N764" i="20" s="1"/>
  <c r="S764" i="20" a="1"/>
  <c r="S764" i="20" s="1"/>
  <c r="V764" i="20" a="1"/>
  <c r="V764" i="20" s="1"/>
  <c r="L764" i="20" a="1"/>
  <c r="L764" i="20" s="1"/>
  <c r="Q764" i="20" a="1"/>
  <c r="Q764" i="20" s="1"/>
  <c r="T764" i="20" a="1"/>
  <c r="T764" i="20" s="1"/>
  <c r="Y764" i="20" a="1"/>
  <c r="Y764" i="20" s="1"/>
  <c r="O764" i="20" a="1"/>
  <c r="O764" i="20" s="1"/>
  <c r="R764" i="20" a="1"/>
  <c r="R764" i="20" s="1"/>
  <c r="W764" i="20" a="1"/>
  <c r="W764" i="20" s="1"/>
  <c r="G736" i="20" a="1"/>
  <c r="G736" i="20" s="1"/>
  <c r="I736" i="20" a="1"/>
  <c r="I736" i="20" s="1"/>
  <c r="K736" i="20"/>
  <c r="H736" i="20" a="1"/>
  <c r="H736" i="20" s="1"/>
  <c r="N736" i="20" a="1"/>
  <c r="N736" i="20" s="1"/>
  <c r="S736" i="20" a="1"/>
  <c r="S736" i="20" s="1"/>
  <c r="V736" i="20" a="1"/>
  <c r="V736" i="20" s="1"/>
  <c r="L736" i="20" a="1"/>
  <c r="L736" i="20" s="1"/>
  <c r="Q736" i="20" a="1"/>
  <c r="Q736" i="20" s="1"/>
  <c r="T736" i="20" a="1"/>
  <c r="T736" i="20" s="1"/>
  <c r="Y736" i="20" a="1"/>
  <c r="Y736" i="20" s="1"/>
  <c r="O736" i="20" a="1"/>
  <c r="O736" i="20" s="1"/>
  <c r="R736" i="20" a="1"/>
  <c r="R736" i="20" s="1"/>
  <c r="W736" i="20" a="1"/>
  <c r="W736" i="20" s="1"/>
  <c r="J736" i="20" a="1"/>
  <c r="J736" i="20" s="1"/>
  <c r="M736" i="20" a="1"/>
  <c r="M736" i="20" s="1"/>
  <c r="P736" i="20" a="1"/>
  <c r="P736" i="20" s="1"/>
  <c r="U736" i="20" a="1"/>
  <c r="U736" i="20" s="1"/>
  <c r="X736" i="20" a="1"/>
  <c r="X736" i="20" s="1"/>
  <c r="G732" i="20" a="1"/>
  <c r="G732" i="20" s="1"/>
  <c r="K732" i="20"/>
  <c r="H732" i="20" a="1"/>
  <c r="H732" i="20" s="1"/>
  <c r="N732" i="20" a="1"/>
  <c r="N732" i="20" s="1"/>
  <c r="N747" i="20" s="1" a="1"/>
  <c r="S732" i="20" a="1"/>
  <c r="S732" i="20" s="1"/>
  <c r="V732" i="20" a="1"/>
  <c r="V732" i="20" s="1"/>
  <c r="L732" i="20" a="1"/>
  <c r="L732" i="20" s="1"/>
  <c r="Q732" i="20" a="1"/>
  <c r="Q732" i="20" s="1"/>
  <c r="Q747" i="20" s="1" a="1"/>
  <c r="T732" i="20" a="1"/>
  <c r="T732" i="20" s="1"/>
  <c r="Y732" i="20" a="1"/>
  <c r="Y732" i="20" s="1"/>
  <c r="O732" i="20" a="1"/>
  <c r="O732" i="20" s="1"/>
  <c r="R732" i="20" a="1"/>
  <c r="R732" i="20" s="1"/>
  <c r="W732" i="20" a="1"/>
  <c r="W732" i="20" s="1"/>
  <c r="J732" i="20" a="1"/>
  <c r="J732" i="20" s="1"/>
  <c r="M732" i="20" a="1"/>
  <c r="M732" i="20" s="1"/>
  <c r="P732" i="20" a="1"/>
  <c r="P732" i="20" s="1"/>
  <c r="U732" i="20" a="1"/>
  <c r="U732" i="20" s="1"/>
  <c r="X732" i="20" a="1"/>
  <c r="X732" i="20" s="1"/>
  <c r="P881" i="20" a="1"/>
  <c r="P881" i="20" s="1"/>
  <c r="H881" i="20" a="1"/>
  <c r="H881" i="20" s="1"/>
  <c r="X879" i="20" a="1"/>
  <c r="X879" i="20" s="1"/>
  <c r="P879" i="20" a="1"/>
  <c r="P879" i="20" s="1"/>
  <c r="H879" i="20" a="1"/>
  <c r="H879" i="20" s="1"/>
  <c r="G878" i="20" a="1"/>
  <c r="G878" i="20" s="1"/>
  <c r="I878" i="20" a="1"/>
  <c r="I878" i="20" s="1"/>
  <c r="K878" i="20" a="1"/>
  <c r="K878" i="20" s="1"/>
  <c r="M878" i="20" a="1"/>
  <c r="M878" i="20" s="1"/>
  <c r="O878" i="20" a="1"/>
  <c r="O878" i="20" s="1"/>
  <c r="Q878" i="20" a="1"/>
  <c r="Q878" i="20" s="1"/>
  <c r="S878" i="20" a="1"/>
  <c r="S878" i="20" s="1"/>
  <c r="U878" i="20" a="1"/>
  <c r="U878" i="20" s="1"/>
  <c r="W878" i="20" a="1"/>
  <c r="W878" i="20" s="1"/>
  <c r="Y878" i="20" a="1"/>
  <c r="Y878" i="20" s="1"/>
  <c r="X877" i="20" a="1"/>
  <c r="X877" i="20" s="1"/>
  <c r="P877" i="20" a="1"/>
  <c r="P877" i="20" s="1"/>
  <c r="J877" i="20" a="1"/>
  <c r="J877" i="20" s="1"/>
  <c r="M876" i="20" a="1"/>
  <c r="M876" i="20" s="1"/>
  <c r="O876" i="20" a="1"/>
  <c r="O876" i="20" s="1"/>
  <c r="Q876" i="20" a="1"/>
  <c r="Q876" i="20" s="1"/>
  <c r="S876" i="20" a="1"/>
  <c r="S876" i="20" s="1"/>
  <c r="U876" i="20" a="1"/>
  <c r="U876" i="20" s="1"/>
  <c r="W876" i="20" a="1"/>
  <c r="W876" i="20" s="1"/>
  <c r="Y876" i="20" a="1"/>
  <c r="Y876" i="20" s="1"/>
  <c r="X875" i="20" a="1"/>
  <c r="X875" i="20" s="1"/>
  <c r="P875" i="20" a="1"/>
  <c r="P875" i="20" s="1"/>
  <c r="J875" i="20" a="1"/>
  <c r="J875" i="20" s="1"/>
  <c r="M874" i="20" a="1"/>
  <c r="M874" i="20" s="1"/>
  <c r="O874" i="20" a="1"/>
  <c r="O874" i="20" s="1"/>
  <c r="Q874" i="20" a="1"/>
  <c r="Q874" i="20" s="1"/>
  <c r="S874" i="20" a="1"/>
  <c r="S874" i="20" s="1"/>
  <c r="U874" i="20" a="1"/>
  <c r="U874" i="20" s="1"/>
  <c r="W874" i="20" a="1"/>
  <c r="W874" i="20" s="1"/>
  <c r="Y874" i="20" a="1"/>
  <c r="Y874" i="20" s="1"/>
  <c r="X873" i="20" a="1"/>
  <c r="X873" i="20" s="1"/>
  <c r="P873" i="20" a="1"/>
  <c r="P873" i="20" s="1"/>
  <c r="J873" i="20" a="1"/>
  <c r="J873" i="20" s="1"/>
  <c r="M872" i="20" a="1"/>
  <c r="M872" i="20" s="1"/>
  <c r="O872" i="20" a="1"/>
  <c r="O872" i="20" s="1"/>
  <c r="Q872" i="20" a="1"/>
  <c r="Q872" i="20" s="1"/>
  <c r="S872" i="20" a="1"/>
  <c r="S872" i="20" s="1"/>
  <c r="S887" i="20" s="1" a="1"/>
  <c r="U872" i="20" a="1"/>
  <c r="U872" i="20" s="1"/>
  <c r="W872" i="20" a="1"/>
  <c r="W872" i="20" s="1"/>
  <c r="Y872" i="20" a="1"/>
  <c r="Y872" i="20" s="1"/>
  <c r="V853" i="20" a="1"/>
  <c r="V853" i="20" s="1"/>
  <c r="N853" i="20" a="1"/>
  <c r="N853" i="20" s="1"/>
  <c r="R852" i="20" a="1"/>
  <c r="R852" i="20" s="1"/>
  <c r="J852" i="20" a="1"/>
  <c r="J852" i="20" s="1"/>
  <c r="V851" i="20" a="1"/>
  <c r="V851" i="20" s="1"/>
  <c r="N851" i="20" a="1"/>
  <c r="N851" i="20" s="1"/>
  <c r="R850" i="20" a="1"/>
  <c r="R850" i="20" s="1"/>
  <c r="J850" i="20" a="1"/>
  <c r="J850" i="20" s="1"/>
  <c r="V849" i="20" a="1"/>
  <c r="V849" i="20" s="1"/>
  <c r="N849" i="20" a="1"/>
  <c r="N849" i="20" s="1"/>
  <c r="K849" i="20"/>
  <c r="H849" i="20" a="1"/>
  <c r="H849" i="20" s="1"/>
  <c r="R848" i="20" a="1"/>
  <c r="R848" i="20" s="1"/>
  <c r="G848" i="20" a="1"/>
  <c r="G848" i="20" s="1"/>
  <c r="V847" i="20" a="1"/>
  <c r="V847" i="20" s="1"/>
  <c r="N847" i="20" a="1"/>
  <c r="N847" i="20" s="1"/>
  <c r="K847" i="20"/>
  <c r="H847" i="20" a="1"/>
  <c r="H847" i="20" s="1"/>
  <c r="R846" i="20" a="1"/>
  <c r="R846" i="20" s="1"/>
  <c r="G846" i="20" a="1"/>
  <c r="G846" i="20" s="1"/>
  <c r="V845" i="20" a="1"/>
  <c r="V845" i="20" s="1"/>
  <c r="N845" i="20" a="1"/>
  <c r="N845" i="20" s="1"/>
  <c r="K845" i="20"/>
  <c r="H845" i="20" a="1"/>
  <c r="H845" i="20" s="1"/>
  <c r="R844" i="20" a="1"/>
  <c r="R844" i="20" s="1"/>
  <c r="R859" i="20" s="1" a="1"/>
  <c r="G844" i="20" a="1"/>
  <c r="G844" i="20" s="1"/>
  <c r="G825" i="20" a="1"/>
  <c r="G825" i="20" s="1"/>
  <c r="I825" i="20" a="1"/>
  <c r="I825" i="20" s="1"/>
  <c r="K825" i="20" a="1"/>
  <c r="K825" i="20" s="1"/>
  <c r="M825" i="20" a="1"/>
  <c r="M825" i="20" s="1"/>
  <c r="O825" i="20" a="1"/>
  <c r="O825" i="20" s="1"/>
  <c r="Q825" i="20" a="1"/>
  <c r="Q825" i="20" s="1"/>
  <c r="S825" i="20" a="1"/>
  <c r="S825" i="20" s="1"/>
  <c r="U825" i="20" a="1"/>
  <c r="U825" i="20" s="1"/>
  <c r="W825" i="20" a="1"/>
  <c r="W825" i="20" s="1"/>
  <c r="Y825" i="20" a="1"/>
  <c r="Y825" i="20" s="1"/>
  <c r="X824" i="20" a="1"/>
  <c r="X824" i="20" s="1"/>
  <c r="P824" i="20" a="1"/>
  <c r="P824" i="20" s="1"/>
  <c r="H824" i="20" a="1"/>
  <c r="H824" i="20" s="1"/>
  <c r="G823" i="20" a="1"/>
  <c r="G823" i="20" s="1"/>
  <c r="I823" i="20" a="1"/>
  <c r="I823" i="20" s="1"/>
  <c r="K823" i="20" a="1"/>
  <c r="K823" i="20" s="1"/>
  <c r="M823" i="20" a="1"/>
  <c r="M823" i="20" s="1"/>
  <c r="O823" i="20" a="1"/>
  <c r="O823" i="20" s="1"/>
  <c r="Q823" i="20" a="1"/>
  <c r="Q823" i="20" s="1"/>
  <c r="S823" i="20" a="1"/>
  <c r="S823" i="20" s="1"/>
  <c r="U823" i="20" a="1"/>
  <c r="U823" i="20" s="1"/>
  <c r="W823" i="20" a="1"/>
  <c r="W823" i="20" s="1"/>
  <c r="Y823" i="20" a="1"/>
  <c r="Y823" i="20" s="1"/>
  <c r="X822" i="20" a="1"/>
  <c r="X822" i="20" s="1"/>
  <c r="P822" i="20" a="1"/>
  <c r="P822" i="20" s="1"/>
  <c r="H822" i="20" a="1"/>
  <c r="H822" i="20" s="1"/>
  <c r="M821" i="20" a="1"/>
  <c r="M821" i="20" s="1"/>
  <c r="O821" i="20" a="1"/>
  <c r="O821" i="20" s="1"/>
  <c r="Q821" i="20" a="1"/>
  <c r="Q821" i="20" s="1"/>
  <c r="S821" i="20" a="1"/>
  <c r="S821" i="20" s="1"/>
  <c r="U821" i="20" a="1"/>
  <c r="U821" i="20" s="1"/>
  <c r="W821" i="20" a="1"/>
  <c r="W821" i="20" s="1"/>
  <c r="Y821" i="20" a="1"/>
  <c r="Y821" i="20" s="1"/>
  <c r="X820" i="20" a="1"/>
  <c r="X820" i="20" s="1"/>
  <c r="P820" i="20" a="1"/>
  <c r="P820" i="20" s="1"/>
  <c r="J820" i="20" a="1"/>
  <c r="J820" i="20" s="1"/>
  <c r="M819" i="20" a="1"/>
  <c r="M819" i="20" s="1"/>
  <c r="O819" i="20" a="1"/>
  <c r="O819" i="20" s="1"/>
  <c r="Q819" i="20" a="1"/>
  <c r="Q819" i="20" s="1"/>
  <c r="S819" i="20" a="1"/>
  <c r="S819" i="20" s="1"/>
  <c r="U819" i="20" a="1"/>
  <c r="U819" i="20" s="1"/>
  <c r="W819" i="20" a="1"/>
  <c r="W819" i="20" s="1"/>
  <c r="Y819" i="20" a="1"/>
  <c r="Y819" i="20" s="1"/>
  <c r="X818" i="20" a="1"/>
  <c r="X818" i="20" s="1"/>
  <c r="P818" i="20" a="1"/>
  <c r="P818" i="20" s="1"/>
  <c r="J818" i="20" a="1"/>
  <c r="J818" i="20" s="1"/>
  <c r="T817" i="20" a="1"/>
  <c r="T817" i="20" s="1"/>
  <c r="L817" i="20" a="1"/>
  <c r="L817" i="20" s="1"/>
  <c r="I817" i="20" a="1"/>
  <c r="I817" i="20" s="1"/>
  <c r="W816" i="20" a="1"/>
  <c r="W816" i="20" s="1"/>
  <c r="T816" i="20" a="1"/>
  <c r="T816" i="20" s="1"/>
  <c r="T831" i="20" s="1" a="1"/>
  <c r="U797" i="20" a="1"/>
  <c r="U797" i="20" s="1"/>
  <c r="P797" i="20" a="1"/>
  <c r="P797" i="20" s="1"/>
  <c r="U796" i="20" a="1"/>
  <c r="U796" i="20" s="1"/>
  <c r="P796" i="20" a="1"/>
  <c r="P796" i="20" s="1"/>
  <c r="U795" i="20" a="1"/>
  <c r="U795" i="20" s="1"/>
  <c r="P795" i="20" a="1"/>
  <c r="P795" i="20" s="1"/>
  <c r="U794" i="20" a="1"/>
  <c r="U794" i="20" s="1"/>
  <c r="P794" i="20" a="1"/>
  <c r="P794" i="20" s="1"/>
  <c r="U793" i="20" a="1"/>
  <c r="U793" i="20" s="1"/>
  <c r="P793" i="20" a="1"/>
  <c r="P793" i="20" s="1"/>
  <c r="J793" i="20" a="1"/>
  <c r="J793" i="20" s="1"/>
  <c r="Y792" i="20" a="1"/>
  <c r="Y792" i="20" s="1"/>
  <c r="T792" i="20" a="1"/>
  <c r="T792" i="20" s="1"/>
  <c r="X791" i="20" a="1"/>
  <c r="X791" i="20" s="1"/>
  <c r="M791" i="20" a="1"/>
  <c r="M791" i="20" s="1"/>
  <c r="T790" i="20" a="1"/>
  <c r="T790" i="20" s="1"/>
  <c r="I769" i="20" a="1"/>
  <c r="I769" i="20" s="1"/>
  <c r="L769" i="20" a="1"/>
  <c r="L769" i="20" s="1"/>
  <c r="Q769" i="20" a="1"/>
  <c r="Q769" i="20" s="1"/>
  <c r="T769" i="20" a="1"/>
  <c r="T769" i="20" s="1"/>
  <c r="Y769" i="20" a="1"/>
  <c r="Y769" i="20" s="1"/>
  <c r="G769" i="20" a="1"/>
  <c r="G769" i="20" s="1"/>
  <c r="J769" i="20" a="1"/>
  <c r="J769" i="20" s="1"/>
  <c r="O769" i="20" a="1"/>
  <c r="O769" i="20" s="1"/>
  <c r="R769" i="20" a="1"/>
  <c r="R769" i="20" s="1"/>
  <c r="W769" i="20" a="1"/>
  <c r="W769" i="20" s="1"/>
  <c r="H769" i="20" a="1"/>
  <c r="H769" i="20" s="1"/>
  <c r="M769" i="20" a="1"/>
  <c r="M769" i="20" s="1"/>
  <c r="P769" i="20" a="1"/>
  <c r="P769" i="20" s="1"/>
  <c r="U769" i="20" a="1"/>
  <c r="U769" i="20" s="1"/>
  <c r="X769" i="20" a="1"/>
  <c r="X769" i="20" s="1"/>
  <c r="K769" i="20" a="1"/>
  <c r="K769" i="20" s="1"/>
  <c r="N769" i="20" a="1"/>
  <c r="N769" i="20" s="1"/>
  <c r="S769" i="20" a="1"/>
  <c r="S769" i="20" s="1"/>
  <c r="V769" i="20" a="1"/>
  <c r="V769" i="20" s="1"/>
  <c r="G763" i="20" a="1"/>
  <c r="G763" i="20" s="1"/>
  <c r="I763" i="20" a="1"/>
  <c r="I763" i="20" s="1"/>
  <c r="K763" i="20"/>
  <c r="L763" i="20" a="1"/>
  <c r="L763" i="20" s="1"/>
  <c r="Q763" i="20" a="1"/>
  <c r="Q763" i="20" s="1"/>
  <c r="T763" i="20" a="1"/>
  <c r="T763" i="20" s="1"/>
  <c r="Y763" i="20" a="1"/>
  <c r="Y763" i="20" s="1"/>
  <c r="O763" i="20" a="1"/>
  <c r="O763" i="20" s="1"/>
  <c r="R763" i="20" a="1"/>
  <c r="R763" i="20" s="1"/>
  <c r="W763" i="20" a="1"/>
  <c r="W763" i="20" s="1"/>
  <c r="J763" i="20" a="1"/>
  <c r="J763" i="20" s="1"/>
  <c r="M763" i="20" a="1"/>
  <c r="M763" i="20" s="1"/>
  <c r="P763" i="20" a="1"/>
  <c r="P763" i="20" s="1"/>
  <c r="U763" i="20" a="1"/>
  <c r="U763" i="20" s="1"/>
  <c r="X763" i="20" a="1"/>
  <c r="X763" i="20" s="1"/>
  <c r="H763" i="20" a="1"/>
  <c r="H763" i="20" s="1"/>
  <c r="N763" i="20" a="1"/>
  <c r="N763" i="20" s="1"/>
  <c r="S763" i="20" a="1"/>
  <c r="S763" i="20" s="1"/>
  <c r="V763" i="20" a="1"/>
  <c r="V763" i="20" s="1"/>
  <c r="G735" i="20" a="1"/>
  <c r="G735" i="20" s="1"/>
  <c r="I735" i="20" a="1"/>
  <c r="I735" i="20" s="1"/>
  <c r="K735" i="20"/>
  <c r="O735" i="20" a="1"/>
  <c r="O735" i="20" s="1"/>
  <c r="R735" i="20" a="1"/>
  <c r="R735" i="20" s="1"/>
  <c r="W735" i="20" a="1"/>
  <c r="W735" i="20" s="1"/>
  <c r="J735" i="20" a="1"/>
  <c r="J735" i="20" s="1"/>
  <c r="M735" i="20" a="1"/>
  <c r="M735" i="20" s="1"/>
  <c r="P735" i="20" a="1"/>
  <c r="P735" i="20" s="1"/>
  <c r="U735" i="20" a="1"/>
  <c r="U735" i="20" s="1"/>
  <c r="X735" i="20" a="1"/>
  <c r="X735" i="20" s="1"/>
  <c r="H735" i="20" a="1"/>
  <c r="H735" i="20" s="1"/>
  <c r="N735" i="20" a="1"/>
  <c r="N735" i="20" s="1"/>
  <c r="S735" i="20" a="1"/>
  <c r="S735" i="20" s="1"/>
  <c r="V735" i="20" a="1"/>
  <c r="V735" i="20" s="1"/>
  <c r="L735" i="20" a="1"/>
  <c r="L735" i="20" s="1"/>
  <c r="Q735" i="20" a="1"/>
  <c r="Q735" i="20" s="1"/>
  <c r="T735" i="20" a="1"/>
  <c r="T735" i="20" s="1"/>
  <c r="Y735" i="20" a="1"/>
  <c r="Y735" i="20" s="1"/>
  <c r="H713" i="20" a="1"/>
  <c r="H713" i="20" s="1"/>
  <c r="M713" i="20" a="1"/>
  <c r="M713" i="20" s="1"/>
  <c r="P713" i="20" a="1"/>
  <c r="P713" i="20" s="1"/>
  <c r="U713" i="20" a="1"/>
  <c r="U713" i="20" s="1"/>
  <c r="X713" i="20" a="1"/>
  <c r="X713" i="20" s="1"/>
  <c r="K713" i="20" a="1"/>
  <c r="K713" i="20" s="1"/>
  <c r="N713" i="20" a="1"/>
  <c r="N713" i="20" s="1"/>
  <c r="S713" i="20" a="1"/>
  <c r="S713" i="20" s="1"/>
  <c r="V713" i="20" a="1"/>
  <c r="V713" i="20" s="1"/>
  <c r="I713" i="20" a="1"/>
  <c r="I713" i="20" s="1"/>
  <c r="L713" i="20" a="1"/>
  <c r="L713" i="20" s="1"/>
  <c r="Q713" i="20" a="1"/>
  <c r="Q713" i="20" s="1"/>
  <c r="T713" i="20" a="1"/>
  <c r="T713" i="20" s="1"/>
  <c r="Y713" i="20" a="1"/>
  <c r="Y713" i="20" s="1"/>
  <c r="G713" i="20" a="1"/>
  <c r="G713" i="20" s="1"/>
  <c r="J713" i="20" a="1"/>
  <c r="J713" i="20" s="1"/>
  <c r="O713" i="20" a="1"/>
  <c r="O713" i="20" s="1"/>
  <c r="R713" i="20" a="1"/>
  <c r="R713" i="20" s="1"/>
  <c r="W713" i="20" a="1"/>
  <c r="W713" i="20" s="1"/>
  <c r="G708" i="20" a="1"/>
  <c r="G708" i="20" s="1"/>
  <c r="I708" i="20" a="1"/>
  <c r="I708" i="20" s="1"/>
  <c r="K708" i="20"/>
  <c r="H708" i="20" a="1"/>
  <c r="H708" i="20" s="1"/>
  <c r="N708" i="20" a="1"/>
  <c r="N708" i="20" s="1"/>
  <c r="S708" i="20" a="1"/>
  <c r="S708" i="20" s="1"/>
  <c r="V708" i="20" a="1"/>
  <c r="V708" i="20" s="1"/>
  <c r="M708" i="20" a="1"/>
  <c r="M708" i="20" s="1"/>
  <c r="Q708" i="20" a="1"/>
  <c r="Q708" i="20" s="1"/>
  <c r="X708" i="20" a="1"/>
  <c r="X708" i="20" s="1"/>
  <c r="J708" i="20" a="1"/>
  <c r="J708" i="20" s="1"/>
  <c r="R708" i="20" a="1"/>
  <c r="R708" i="20" s="1"/>
  <c r="U708" i="20" a="1"/>
  <c r="U708" i="20" s="1"/>
  <c r="Y708" i="20" a="1"/>
  <c r="Y708" i="20" s="1"/>
  <c r="L708" i="20" a="1"/>
  <c r="L708" i="20" s="1"/>
  <c r="O708" i="20" a="1"/>
  <c r="O708" i="20" s="1"/>
  <c r="P708" i="20" a="1"/>
  <c r="P708" i="20" s="1"/>
  <c r="T708" i="20" a="1"/>
  <c r="T708" i="20" s="1"/>
  <c r="W708" i="20" a="1"/>
  <c r="W708" i="20" s="1"/>
  <c r="V767" i="20" a="1"/>
  <c r="V767" i="20" s="1"/>
  <c r="S767" i="20" a="1"/>
  <c r="S767" i="20" s="1"/>
  <c r="N767" i="20" a="1"/>
  <c r="N767" i="20" s="1"/>
  <c r="K767" i="20" a="1"/>
  <c r="K767" i="20" s="1"/>
  <c r="G762" i="20" a="1"/>
  <c r="G762" i="20" s="1"/>
  <c r="I762" i="20" a="1"/>
  <c r="I762" i="20" s="1"/>
  <c r="K762" i="20"/>
  <c r="V761" i="20" a="1"/>
  <c r="V761" i="20" s="1"/>
  <c r="S761" i="20" a="1"/>
  <c r="S761" i="20" s="1"/>
  <c r="N761" i="20" a="1"/>
  <c r="N761" i="20" s="1"/>
  <c r="H761" i="20" a="1"/>
  <c r="H761" i="20" s="1"/>
  <c r="G760" i="20" a="1"/>
  <c r="G760" i="20" s="1"/>
  <c r="K760" i="20"/>
  <c r="X740" i="20" a="1"/>
  <c r="X740" i="20" s="1"/>
  <c r="U740" i="20" a="1"/>
  <c r="U740" i="20" s="1"/>
  <c r="P740" i="20" a="1"/>
  <c r="P740" i="20" s="1"/>
  <c r="M740" i="20" a="1"/>
  <c r="M740" i="20" s="1"/>
  <c r="H740" i="20" a="1"/>
  <c r="H740" i="20" s="1"/>
  <c r="X738" i="20" a="1"/>
  <c r="X738" i="20" s="1"/>
  <c r="U738" i="20" a="1"/>
  <c r="U738" i="20" s="1"/>
  <c r="P738" i="20" a="1"/>
  <c r="P738" i="20" s="1"/>
  <c r="M738" i="20" a="1"/>
  <c r="M738" i="20" s="1"/>
  <c r="H738" i="20" a="1"/>
  <c r="H738" i="20" s="1"/>
  <c r="V710" i="20" a="1"/>
  <c r="V710" i="20" s="1"/>
  <c r="S710" i="20" a="1"/>
  <c r="S710" i="20" s="1"/>
  <c r="N710" i="20" a="1"/>
  <c r="N710" i="20" s="1"/>
  <c r="K710" i="20" a="1"/>
  <c r="K710" i="20" s="1"/>
  <c r="G709" i="20" a="1"/>
  <c r="G709" i="20" s="1"/>
  <c r="I709" i="20" a="1"/>
  <c r="I709" i="20" s="1"/>
  <c r="K709" i="20"/>
  <c r="Y707" i="20" a="1"/>
  <c r="Y707" i="20" s="1"/>
  <c r="X706" i="20" a="1"/>
  <c r="X706" i="20" s="1"/>
  <c r="Q706" i="20" a="1"/>
  <c r="Q706" i="20" s="1"/>
  <c r="M706" i="20" a="1"/>
  <c r="M706" i="20" s="1"/>
  <c r="V705" i="20" a="1"/>
  <c r="V705" i="20" s="1"/>
  <c r="O704" i="20" a="1"/>
  <c r="O704" i="20" s="1"/>
  <c r="O719" i="20" s="1" a="1"/>
  <c r="L681" i="20" a="1"/>
  <c r="L681" i="20" s="1"/>
  <c r="U680" i="20" a="1"/>
  <c r="U680" i="20" s="1"/>
  <c r="G677" i="20" a="1"/>
  <c r="G677" i="20" s="1"/>
  <c r="K677" i="20"/>
  <c r="J677" i="20" a="1"/>
  <c r="J677" i="20" s="1"/>
  <c r="M677" i="20" a="1"/>
  <c r="M677" i="20" s="1"/>
  <c r="P677" i="20" a="1"/>
  <c r="P677" i="20" s="1"/>
  <c r="U677" i="20" a="1"/>
  <c r="U677" i="20" s="1"/>
  <c r="X677" i="20" a="1"/>
  <c r="X677" i="20" s="1"/>
  <c r="H677" i="20" a="1"/>
  <c r="H677" i="20" s="1"/>
  <c r="N677" i="20" a="1"/>
  <c r="N677" i="20" s="1"/>
  <c r="S677" i="20" a="1"/>
  <c r="S677" i="20" s="1"/>
  <c r="V677" i="20" a="1"/>
  <c r="V677" i="20" s="1"/>
  <c r="L677" i="20" a="1"/>
  <c r="L677" i="20" s="1"/>
  <c r="Q677" i="20" a="1"/>
  <c r="Q677" i="20" s="1"/>
  <c r="T677" i="20" a="1"/>
  <c r="T677" i="20" s="1"/>
  <c r="Y677" i="20" a="1"/>
  <c r="Y677" i="20" s="1"/>
  <c r="O677" i="20" a="1"/>
  <c r="O677" i="20" s="1"/>
  <c r="R677" i="20" a="1"/>
  <c r="R677" i="20" s="1"/>
  <c r="W677" i="20" a="1"/>
  <c r="W677" i="20" s="1"/>
  <c r="X767" i="20" a="1"/>
  <c r="X767" i="20" s="1"/>
  <c r="U767" i="20" a="1"/>
  <c r="U767" i="20" s="1"/>
  <c r="P767" i="20" a="1"/>
  <c r="P767" i="20" s="1"/>
  <c r="M767" i="20" a="1"/>
  <c r="M767" i="20" s="1"/>
  <c r="H767" i="20" a="1"/>
  <c r="H767" i="20" s="1"/>
  <c r="Y762" i="20" a="1"/>
  <c r="Y762" i="20" s="1"/>
  <c r="T762" i="20" a="1"/>
  <c r="T762" i="20" s="1"/>
  <c r="Q762" i="20" a="1"/>
  <c r="Q762" i="20" s="1"/>
  <c r="L762" i="20" a="1"/>
  <c r="L762" i="20" s="1"/>
  <c r="X761" i="20" a="1"/>
  <c r="X761" i="20" s="1"/>
  <c r="U761" i="20" a="1"/>
  <c r="U761" i="20" s="1"/>
  <c r="P761" i="20" a="1"/>
  <c r="P761" i="20" s="1"/>
  <c r="M761" i="20" a="1"/>
  <c r="M761" i="20" s="1"/>
  <c r="Y760" i="20" a="1"/>
  <c r="Y760" i="20" s="1"/>
  <c r="T760" i="20" a="1"/>
  <c r="T760" i="20" s="1"/>
  <c r="T775" i="20" s="1" a="1"/>
  <c r="Q760" i="20" a="1"/>
  <c r="Q760" i="20" s="1"/>
  <c r="L760" i="20" a="1"/>
  <c r="L760" i="20" s="1"/>
  <c r="V741" i="20" a="1"/>
  <c r="V741" i="20" s="1"/>
  <c r="S741" i="20" a="1"/>
  <c r="S741" i="20" s="1"/>
  <c r="N741" i="20" a="1"/>
  <c r="N741" i="20" s="1"/>
  <c r="K741" i="20" a="1"/>
  <c r="K741" i="20" s="1"/>
  <c r="W740" i="20" a="1"/>
  <c r="W740" i="20" s="1"/>
  <c r="R740" i="20" a="1"/>
  <c r="R740" i="20" s="1"/>
  <c r="O740" i="20" a="1"/>
  <c r="O740" i="20" s="1"/>
  <c r="J740" i="20" a="1"/>
  <c r="J740" i="20" s="1"/>
  <c r="G740" i="20" a="1"/>
  <c r="G740" i="20" s="1"/>
  <c r="V739" i="20" a="1"/>
  <c r="V739" i="20" s="1"/>
  <c r="S739" i="20" a="1"/>
  <c r="S739" i="20" s="1"/>
  <c r="N739" i="20" a="1"/>
  <c r="N739" i="20" s="1"/>
  <c r="K739" i="20" a="1"/>
  <c r="K739" i="20" s="1"/>
  <c r="W738" i="20" a="1"/>
  <c r="W738" i="20" s="1"/>
  <c r="R738" i="20" a="1"/>
  <c r="R738" i="20" s="1"/>
  <c r="O738" i="20" a="1"/>
  <c r="O738" i="20" s="1"/>
  <c r="J738" i="20" a="1"/>
  <c r="J738" i="20" s="1"/>
  <c r="G738" i="20" a="1"/>
  <c r="G738" i="20" s="1"/>
  <c r="X710" i="20" a="1"/>
  <c r="X710" i="20" s="1"/>
  <c r="U710" i="20" a="1"/>
  <c r="U710" i="20" s="1"/>
  <c r="P710" i="20" a="1"/>
  <c r="P710" i="20" s="1"/>
  <c r="M710" i="20" a="1"/>
  <c r="M710" i="20" s="1"/>
  <c r="H710" i="20" a="1"/>
  <c r="H710" i="20" s="1"/>
  <c r="Y709" i="20" a="1"/>
  <c r="Y709" i="20" s="1"/>
  <c r="T709" i="20" a="1"/>
  <c r="T709" i="20" s="1"/>
  <c r="Q709" i="20" a="1"/>
  <c r="Q709" i="20" s="1"/>
  <c r="L709" i="20" a="1"/>
  <c r="L709" i="20" s="1"/>
  <c r="G707" i="20" a="1"/>
  <c r="G707" i="20" s="1"/>
  <c r="I707" i="20" a="1"/>
  <c r="I707" i="20" s="1"/>
  <c r="K707" i="20"/>
  <c r="O707" i="20" a="1"/>
  <c r="O707" i="20" s="1"/>
  <c r="R707" i="20" a="1"/>
  <c r="R707" i="20" s="1"/>
  <c r="W707" i="20" a="1"/>
  <c r="W707" i="20" s="1"/>
  <c r="W706" i="20" a="1"/>
  <c r="W706" i="20" s="1"/>
  <c r="T706" i="20" a="1"/>
  <c r="T706" i="20" s="1"/>
  <c r="P706" i="20" a="1"/>
  <c r="P706" i="20" s="1"/>
  <c r="Y705" i="20" a="1"/>
  <c r="Y705" i="20" s="1"/>
  <c r="T705" i="20" a="1"/>
  <c r="T705" i="20" s="1"/>
  <c r="X704" i="20" a="1"/>
  <c r="X704" i="20" s="1"/>
  <c r="G676" i="20" a="1"/>
  <c r="G676" i="20" s="1"/>
  <c r="K676" i="20"/>
  <c r="L676" i="20" a="1"/>
  <c r="L676" i="20" s="1"/>
  <c r="Q676" i="20" a="1"/>
  <c r="Q676" i="20" s="1"/>
  <c r="T676" i="20" a="1"/>
  <c r="T676" i="20" s="1"/>
  <c r="Y676" i="20" a="1"/>
  <c r="Y676" i="20" s="1"/>
  <c r="O676" i="20" a="1"/>
  <c r="O676" i="20" s="1"/>
  <c r="R676" i="20" a="1"/>
  <c r="R676" i="20" s="1"/>
  <c r="W676" i="20" a="1"/>
  <c r="W676" i="20" s="1"/>
  <c r="J676" i="20" a="1"/>
  <c r="J676" i="20" s="1"/>
  <c r="M676" i="20" a="1"/>
  <c r="M676" i="20" s="1"/>
  <c r="P676" i="20" a="1"/>
  <c r="P676" i="20" s="1"/>
  <c r="U676" i="20" a="1"/>
  <c r="U676" i="20" s="1"/>
  <c r="X676" i="20" a="1"/>
  <c r="X676" i="20" s="1"/>
  <c r="H676" i="20" a="1"/>
  <c r="H676" i="20" s="1"/>
  <c r="N676" i="20" a="1"/>
  <c r="N676" i="20" s="1"/>
  <c r="S676" i="20" a="1"/>
  <c r="S676" i="20" s="1"/>
  <c r="V676" i="20" a="1"/>
  <c r="V676" i="20" s="1"/>
  <c r="W767" i="20" a="1"/>
  <c r="W767" i="20" s="1"/>
  <c r="R767" i="20" a="1"/>
  <c r="R767" i="20" s="1"/>
  <c r="O767" i="20" a="1"/>
  <c r="O767" i="20" s="1"/>
  <c r="J767" i="20" a="1"/>
  <c r="J767" i="20" s="1"/>
  <c r="G761" i="20" a="1"/>
  <c r="G761" i="20" s="1"/>
  <c r="K761" i="20"/>
  <c r="W710" i="20" a="1"/>
  <c r="W710" i="20" s="1"/>
  <c r="R710" i="20" a="1"/>
  <c r="R710" i="20" s="1"/>
  <c r="O710" i="20" a="1"/>
  <c r="O710" i="20" s="1"/>
  <c r="J710" i="20" a="1"/>
  <c r="J710" i="20" s="1"/>
  <c r="V709" i="20" a="1"/>
  <c r="V709" i="20" s="1"/>
  <c r="S709" i="20" a="1"/>
  <c r="S709" i="20" s="1"/>
  <c r="N709" i="20" a="1"/>
  <c r="N709" i="20" s="1"/>
  <c r="H709" i="20" a="1"/>
  <c r="H709" i="20" s="1"/>
  <c r="X707" i="20" a="1"/>
  <c r="X707" i="20" s="1"/>
  <c r="T707" i="20" a="1"/>
  <c r="T707" i="20" s="1"/>
  <c r="M707" i="20" a="1"/>
  <c r="M707" i="20" s="1"/>
  <c r="O706" i="20" a="1"/>
  <c r="O706" i="20" s="1"/>
  <c r="S705" i="20" a="1"/>
  <c r="S705" i="20" s="1"/>
  <c r="N705" i="20" a="1"/>
  <c r="N705" i="20" s="1"/>
  <c r="G704" i="20" a="1"/>
  <c r="G704" i="20" s="1"/>
  <c r="I704" i="20" a="1"/>
  <c r="I704" i="20" s="1"/>
  <c r="K704" i="20"/>
  <c r="H704" i="20" a="1"/>
  <c r="H704" i="20" s="1"/>
  <c r="N704" i="20" a="1"/>
  <c r="N704" i="20" s="1"/>
  <c r="S704" i="20" a="1"/>
  <c r="S704" i="20" s="1"/>
  <c r="V704" i="20" a="1"/>
  <c r="V704" i="20" s="1"/>
  <c r="V719" i="20" s="1" a="1"/>
  <c r="L704" i="20" a="1"/>
  <c r="L704" i="20" s="1"/>
  <c r="Q704" i="20" a="1"/>
  <c r="Q704" i="20" s="1"/>
  <c r="T704" i="20" a="1"/>
  <c r="T704" i="20" s="1"/>
  <c r="Y704" i="20" a="1"/>
  <c r="Y704" i="20" s="1"/>
  <c r="Y719" i="20" s="1" a="1"/>
  <c r="G681" i="20" a="1"/>
  <c r="G681" i="20" s="1"/>
  <c r="I681" i="20" a="1"/>
  <c r="I681" i="20" s="1"/>
  <c r="K681" i="20"/>
  <c r="J681" i="20" a="1"/>
  <c r="J681" i="20" s="1"/>
  <c r="M681" i="20" a="1"/>
  <c r="M681" i="20" s="1"/>
  <c r="P681" i="20" a="1"/>
  <c r="P681" i="20" s="1"/>
  <c r="U681" i="20" a="1"/>
  <c r="U681" i="20" s="1"/>
  <c r="X681" i="20" a="1"/>
  <c r="X681" i="20" s="1"/>
  <c r="H681" i="20" a="1"/>
  <c r="H681" i="20" s="1"/>
  <c r="N681" i="20" a="1"/>
  <c r="N681" i="20" s="1"/>
  <c r="S681" i="20" a="1"/>
  <c r="S681" i="20" s="1"/>
  <c r="V681" i="20" a="1"/>
  <c r="V681" i="20" s="1"/>
  <c r="O681" i="20" a="1"/>
  <c r="O681" i="20" s="1"/>
  <c r="R681" i="20" a="1"/>
  <c r="R681" i="20" s="1"/>
  <c r="W681" i="20" a="1"/>
  <c r="W681" i="20" s="1"/>
  <c r="G680" i="20" a="1"/>
  <c r="G680" i="20" s="1"/>
  <c r="I680" i="20" a="1"/>
  <c r="I680" i="20" s="1"/>
  <c r="K680" i="20"/>
  <c r="L680" i="20" a="1"/>
  <c r="L680" i="20" s="1"/>
  <c r="Q680" i="20" a="1"/>
  <c r="Q680" i="20" s="1"/>
  <c r="T680" i="20" a="1"/>
  <c r="T680" i="20" s="1"/>
  <c r="Y680" i="20" a="1"/>
  <c r="Y680" i="20" s="1"/>
  <c r="O680" i="20" a="1"/>
  <c r="O680" i="20" s="1"/>
  <c r="R680" i="20" a="1"/>
  <c r="R680" i="20" s="1"/>
  <c r="W680" i="20" a="1"/>
  <c r="W680" i="20" s="1"/>
  <c r="H680" i="20" a="1"/>
  <c r="H680" i="20" s="1"/>
  <c r="N680" i="20" a="1"/>
  <c r="N680" i="20" s="1"/>
  <c r="S680" i="20" a="1"/>
  <c r="S680" i="20" s="1"/>
  <c r="V680" i="20" a="1"/>
  <c r="V680" i="20" s="1"/>
  <c r="G679" i="20" a="1"/>
  <c r="G679" i="20" s="1"/>
  <c r="I679" i="20" a="1"/>
  <c r="I679" i="20" s="1"/>
  <c r="K679" i="20"/>
  <c r="J679" i="20" a="1"/>
  <c r="J679" i="20" s="1"/>
  <c r="M679" i="20" a="1"/>
  <c r="M679" i="20" s="1"/>
  <c r="P679" i="20" a="1"/>
  <c r="P679" i="20" s="1"/>
  <c r="U679" i="20" a="1"/>
  <c r="U679" i="20" s="1"/>
  <c r="X679" i="20" a="1"/>
  <c r="X679" i="20" s="1"/>
  <c r="H679" i="20" a="1"/>
  <c r="H679" i="20" s="1"/>
  <c r="N679" i="20" a="1"/>
  <c r="N679" i="20" s="1"/>
  <c r="S679" i="20" a="1"/>
  <c r="S679" i="20" s="1"/>
  <c r="V679" i="20" a="1"/>
  <c r="V679" i="20" s="1"/>
  <c r="O679" i="20" a="1"/>
  <c r="O679" i="20" s="1"/>
  <c r="R679" i="20" a="1"/>
  <c r="R679" i="20" s="1"/>
  <c r="W679" i="20" a="1"/>
  <c r="W679" i="20" s="1"/>
  <c r="K657" i="20" a="1"/>
  <c r="K657" i="20" s="1"/>
  <c r="N657" i="20" a="1"/>
  <c r="N657" i="20" s="1"/>
  <c r="S657" i="20" a="1"/>
  <c r="S657" i="20" s="1"/>
  <c r="V657" i="20" a="1"/>
  <c r="V657" i="20" s="1"/>
  <c r="I657" i="20" a="1"/>
  <c r="I657" i="20" s="1"/>
  <c r="L657" i="20" a="1"/>
  <c r="L657" i="20" s="1"/>
  <c r="Q657" i="20" a="1"/>
  <c r="Q657" i="20" s="1"/>
  <c r="T657" i="20" a="1"/>
  <c r="T657" i="20" s="1"/>
  <c r="Y657" i="20" a="1"/>
  <c r="Y657" i="20" s="1"/>
  <c r="G657" i="20" a="1"/>
  <c r="G657" i="20" s="1"/>
  <c r="J657" i="20" a="1"/>
  <c r="J657" i="20" s="1"/>
  <c r="O657" i="20" a="1"/>
  <c r="O657" i="20" s="1"/>
  <c r="R657" i="20" a="1"/>
  <c r="R657" i="20" s="1"/>
  <c r="W657" i="20" a="1"/>
  <c r="W657" i="20" s="1"/>
  <c r="H657" i="20" a="1"/>
  <c r="H657" i="20" s="1"/>
  <c r="M657" i="20" a="1"/>
  <c r="M657" i="20" s="1"/>
  <c r="P657" i="20" a="1"/>
  <c r="P657" i="20" s="1"/>
  <c r="U657" i="20" a="1"/>
  <c r="U657" i="20" s="1"/>
  <c r="X657" i="20" a="1"/>
  <c r="X657" i="20" s="1"/>
  <c r="G653" i="20" a="1"/>
  <c r="G653" i="20" s="1"/>
  <c r="I653" i="20" a="1"/>
  <c r="I653" i="20" s="1"/>
  <c r="K653" i="20"/>
  <c r="H653" i="20" a="1"/>
  <c r="H653" i="20" s="1"/>
  <c r="N653" i="20" a="1"/>
  <c r="N653" i="20" s="1"/>
  <c r="S653" i="20" a="1"/>
  <c r="S653" i="20" s="1"/>
  <c r="V653" i="20" a="1"/>
  <c r="V653" i="20" s="1"/>
  <c r="L653" i="20" a="1"/>
  <c r="L653" i="20" s="1"/>
  <c r="Q653" i="20" a="1"/>
  <c r="Q653" i="20" s="1"/>
  <c r="T653" i="20" a="1"/>
  <c r="T653" i="20" s="1"/>
  <c r="Y653" i="20" a="1"/>
  <c r="Y653" i="20" s="1"/>
  <c r="O653" i="20" a="1"/>
  <c r="O653" i="20" s="1"/>
  <c r="R653" i="20" a="1"/>
  <c r="R653" i="20" s="1"/>
  <c r="W653" i="20" a="1"/>
  <c r="W653" i="20" s="1"/>
  <c r="J653" i="20" a="1"/>
  <c r="J653" i="20" s="1"/>
  <c r="M653" i="20" a="1"/>
  <c r="M653" i="20" s="1"/>
  <c r="P653" i="20" a="1"/>
  <c r="P653" i="20" s="1"/>
  <c r="U653" i="20" a="1"/>
  <c r="U653" i="20" s="1"/>
  <c r="X653" i="20" a="1"/>
  <c r="X653" i="20" s="1"/>
  <c r="X762" i="20" a="1"/>
  <c r="X762" i="20" s="1"/>
  <c r="U762" i="20" a="1"/>
  <c r="U762" i="20" s="1"/>
  <c r="P762" i="20" a="1"/>
  <c r="P762" i="20" s="1"/>
  <c r="M762" i="20" a="1"/>
  <c r="M762" i="20" s="1"/>
  <c r="J762" i="20" a="1"/>
  <c r="J762" i="20" s="1"/>
  <c r="Y761" i="20" a="1"/>
  <c r="Y761" i="20" s="1"/>
  <c r="T761" i="20" a="1"/>
  <c r="T761" i="20" s="1"/>
  <c r="Q761" i="20" a="1"/>
  <c r="Q761" i="20" s="1"/>
  <c r="L761" i="20" a="1"/>
  <c r="L761" i="20" s="1"/>
  <c r="X760" i="20" a="1"/>
  <c r="X760" i="20" s="1"/>
  <c r="X775" i="20" s="1" a="1"/>
  <c r="U760" i="20" a="1"/>
  <c r="U760" i="20" s="1"/>
  <c r="P760" i="20" a="1"/>
  <c r="P760" i="20" s="1"/>
  <c r="M760" i="20" a="1"/>
  <c r="M760" i="20" s="1"/>
  <c r="J760" i="20" a="1"/>
  <c r="J760" i="20" s="1"/>
  <c r="J775" i="20" s="1" a="1"/>
  <c r="W741" i="20" a="1"/>
  <c r="W741" i="20" s="1"/>
  <c r="R741" i="20" a="1"/>
  <c r="R741" i="20" s="1"/>
  <c r="O741" i="20" a="1"/>
  <c r="O741" i="20" s="1"/>
  <c r="J741" i="20" a="1"/>
  <c r="J741" i="20" s="1"/>
  <c r="V740" i="20" a="1"/>
  <c r="V740" i="20" s="1"/>
  <c r="S740" i="20" a="1"/>
  <c r="S740" i="20" s="1"/>
  <c r="N740" i="20" a="1"/>
  <c r="N740" i="20" s="1"/>
  <c r="W739" i="20" a="1"/>
  <c r="W739" i="20" s="1"/>
  <c r="R739" i="20" a="1"/>
  <c r="R739" i="20" s="1"/>
  <c r="O739" i="20" a="1"/>
  <c r="O739" i="20" s="1"/>
  <c r="J739" i="20" a="1"/>
  <c r="J739" i="20" s="1"/>
  <c r="V738" i="20" a="1"/>
  <c r="V738" i="20" s="1"/>
  <c r="S738" i="20" a="1"/>
  <c r="S738" i="20" s="1"/>
  <c r="N738" i="20" a="1"/>
  <c r="N738" i="20" s="1"/>
  <c r="G706" i="20" a="1"/>
  <c r="G706" i="20" s="1"/>
  <c r="K706" i="20"/>
  <c r="H706" i="20" a="1"/>
  <c r="H706" i="20" s="1"/>
  <c r="N706" i="20" a="1"/>
  <c r="N706" i="20" s="1"/>
  <c r="S706" i="20" a="1"/>
  <c r="S706" i="20" s="1"/>
  <c r="V706" i="20" a="1"/>
  <c r="V706" i="20" s="1"/>
  <c r="G705" i="20" a="1"/>
  <c r="G705" i="20" s="1"/>
  <c r="K705" i="20"/>
  <c r="O705" i="20" a="1"/>
  <c r="O705" i="20" s="1"/>
  <c r="R705" i="20" a="1"/>
  <c r="R705" i="20" s="1"/>
  <c r="W705" i="20" a="1"/>
  <c r="W705" i="20" s="1"/>
  <c r="J705" i="20" a="1"/>
  <c r="J705" i="20" s="1"/>
  <c r="M705" i="20" a="1"/>
  <c r="M705" i="20" s="1"/>
  <c r="P705" i="20" a="1"/>
  <c r="P705" i="20" s="1"/>
  <c r="U705" i="20" a="1"/>
  <c r="U705" i="20" s="1"/>
  <c r="X705" i="20" a="1"/>
  <c r="X705" i="20" s="1"/>
  <c r="U704" i="20" a="1"/>
  <c r="U704" i="20" s="1"/>
  <c r="U719" i="20" s="1" a="1"/>
  <c r="P704" i="20" a="1"/>
  <c r="P704" i="20" s="1"/>
  <c r="J704" i="20" a="1"/>
  <c r="J704" i="20" s="1"/>
  <c r="H685" i="20" a="1"/>
  <c r="H685" i="20" s="1"/>
  <c r="M685" i="20" a="1"/>
  <c r="M685" i="20" s="1"/>
  <c r="P685" i="20" a="1"/>
  <c r="P685" i="20" s="1"/>
  <c r="U685" i="20" a="1"/>
  <c r="U685" i="20" s="1"/>
  <c r="X685" i="20" a="1"/>
  <c r="X685" i="20" s="1"/>
  <c r="K685" i="20" a="1"/>
  <c r="K685" i="20" s="1"/>
  <c r="N685" i="20" a="1"/>
  <c r="N685" i="20" s="1"/>
  <c r="S685" i="20" a="1"/>
  <c r="S685" i="20" s="1"/>
  <c r="V685" i="20" a="1"/>
  <c r="V685" i="20" s="1"/>
  <c r="I684" i="20" a="1"/>
  <c r="I684" i="20" s="1"/>
  <c r="L684" i="20" a="1"/>
  <c r="L684" i="20" s="1"/>
  <c r="Q684" i="20" a="1"/>
  <c r="Q684" i="20" s="1"/>
  <c r="T684" i="20" a="1"/>
  <c r="T684" i="20" s="1"/>
  <c r="Y684" i="20" a="1"/>
  <c r="Y684" i="20" s="1"/>
  <c r="G684" i="20" a="1"/>
  <c r="G684" i="20" s="1"/>
  <c r="J684" i="20" a="1"/>
  <c r="J684" i="20" s="1"/>
  <c r="O684" i="20" a="1"/>
  <c r="O684" i="20" s="1"/>
  <c r="R684" i="20" a="1"/>
  <c r="R684" i="20" s="1"/>
  <c r="W684" i="20" a="1"/>
  <c r="W684" i="20" s="1"/>
  <c r="H683" i="20" a="1"/>
  <c r="H683" i="20" s="1"/>
  <c r="M683" i="20" a="1"/>
  <c r="M683" i="20" s="1"/>
  <c r="P683" i="20" a="1"/>
  <c r="P683" i="20" s="1"/>
  <c r="U683" i="20" a="1"/>
  <c r="U683" i="20" s="1"/>
  <c r="X683" i="20" a="1"/>
  <c r="X683" i="20" s="1"/>
  <c r="K683" i="20" a="1"/>
  <c r="K683" i="20" s="1"/>
  <c r="N683" i="20" a="1"/>
  <c r="N683" i="20" s="1"/>
  <c r="S683" i="20" a="1"/>
  <c r="S683" i="20" s="1"/>
  <c r="V683" i="20" a="1"/>
  <c r="V683" i="20" s="1"/>
  <c r="G683" i="20" a="1"/>
  <c r="G683" i="20" s="1"/>
  <c r="J683" i="20" a="1"/>
  <c r="J683" i="20" s="1"/>
  <c r="O683" i="20" a="1"/>
  <c r="O683" i="20" s="1"/>
  <c r="R683" i="20" a="1"/>
  <c r="R683" i="20" s="1"/>
  <c r="W683" i="20" a="1"/>
  <c r="W683" i="20" s="1"/>
  <c r="Y681" i="20" a="1"/>
  <c r="Y681" i="20" s="1"/>
  <c r="X680" i="20" a="1"/>
  <c r="X680" i="20" s="1"/>
  <c r="M680" i="20" a="1"/>
  <c r="M680" i="20" s="1"/>
  <c r="Y679" i="20" a="1"/>
  <c r="Y679" i="20" s="1"/>
  <c r="G678" i="20" a="1"/>
  <c r="G678" i="20" s="1"/>
  <c r="I678" i="20" a="1"/>
  <c r="I678" i="20" s="1"/>
  <c r="K678" i="20"/>
  <c r="L678" i="20" a="1"/>
  <c r="L678" i="20" s="1"/>
  <c r="Q678" i="20" a="1"/>
  <c r="Q678" i="20" s="1"/>
  <c r="T678" i="20" a="1"/>
  <c r="T678" i="20" s="1"/>
  <c r="Y678" i="20" a="1"/>
  <c r="Y678" i="20" s="1"/>
  <c r="O678" i="20" a="1"/>
  <c r="O678" i="20" s="1"/>
  <c r="R678" i="20" a="1"/>
  <c r="R678" i="20" s="1"/>
  <c r="W678" i="20" a="1"/>
  <c r="W678" i="20" s="1"/>
  <c r="J678" i="20" a="1"/>
  <c r="J678" i="20" s="1"/>
  <c r="M678" i="20" a="1"/>
  <c r="M678" i="20" s="1"/>
  <c r="P678" i="20" a="1"/>
  <c r="P678" i="20" s="1"/>
  <c r="U678" i="20" a="1"/>
  <c r="U678" i="20" s="1"/>
  <c r="X678" i="20" a="1"/>
  <c r="X678" i="20" s="1"/>
  <c r="H678" i="20" a="1"/>
  <c r="H678" i="20" s="1"/>
  <c r="N678" i="20" a="1"/>
  <c r="N678" i="20" s="1"/>
  <c r="S678" i="20" a="1"/>
  <c r="S678" i="20" s="1"/>
  <c r="V678" i="20" a="1"/>
  <c r="V678" i="20" s="1"/>
  <c r="G652" i="20" a="1"/>
  <c r="G652" i="20" s="1"/>
  <c r="I652" i="20" a="1"/>
  <c r="I652" i="20" s="1"/>
  <c r="K652" i="20"/>
  <c r="O652" i="20" a="1"/>
  <c r="O652" i="20" s="1"/>
  <c r="R652" i="20" a="1"/>
  <c r="R652" i="20" s="1"/>
  <c r="W652" i="20" a="1"/>
  <c r="W652" i="20" s="1"/>
  <c r="J652" i="20" a="1"/>
  <c r="J652" i="20" s="1"/>
  <c r="M652" i="20" a="1"/>
  <c r="M652" i="20" s="1"/>
  <c r="P652" i="20" a="1"/>
  <c r="P652" i="20" s="1"/>
  <c r="U652" i="20" a="1"/>
  <c r="U652" i="20" s="1"/>
  <c r="X652" i="20" a="1"/>
  <c r="X652" i="20" s="1"/>
  <c r="H652" i="20" a="1"/>
  <c r="H652" i="20" s="1"/>
  <c r="N652" i="20" a="1"/>
  <c r="N652" i="20" s="1"/>
  <c r="S652" i="20" a="1"/>
  <c r="S652" i="20" s="1"/>
  <c r="V652" i="20" a="1"/>
  <c r="V652" i="20" s="1"/>
  <c r="L652" i="20" a="1"/>
  <c r="L652" i="20" s="1"/>
  <c r="Q652" i="20" a="1"/>
  <c r="Q652" i="20" s="1"/>
  <c r="T652" i="20" a="1"/>
  <c r="T652" i="20" s="1"/>
  <c r="Y652" i="20" a="1"/>
  <c r="Y652" i="20" s="1"/>
  <c r="G650" i="20" a="1"/>
  <c r="G650" i="20" s="1"/>
  <c r="I650" i="20" a="1"/>
  <c r="I650" i="20" s="1"/>
  <c r="K650" i="20"/>
  <c r="O650" i="20" a="1"/>
  <c r="O650" i="20" s="1"/>
  <c r="R650" i="20" a="1"/>
  <c r="R650" i="20" s="1"/>
  <c r="W650" i="20" a="1"/>
  <c r="W650" i="20" s="1"/>
  <c r="J650" i="20" a="1"/>
  <c r="J650" i="20" s="1"/>
  <c r="M650" i="20" a="1"/>
  <c r="M650" i="20" s="1"/>
  <c r="P650" i="20" a="1"/>
  <c r="P650" i="20" s="1"/>
  <c r="U650" i="20" a="1"/>
  <c r="U650" i="20" s="1"/>
  <c r="X650" i="20" a="1"/>
  <c r="X650" i="20" s="1"/>
  <c r="H650" i="20" a="1"/>
  <c r="H650" i="20" s="1"/>
  <c r="N650" i="20" a="1"/>
  <c r="N650" i="20" s="1"/>
  <c r="S650" i="20" a="1"/>
  <c r="S650" i="20" s="1"/>
  <c r="V650" i="20" a="1"/>
  <c r="V650" i="20" s="1"/>
  <c r="L650" i="20" a="1"/>
  <c r="L650" i="20" s="1"/>
  <c r="Q650" i="20" a="1"/>
  <c r="Q650" i="20" s="1"/>
  <c r="T650" i="20" a="1"/>
  <c r="T650" i="20" s="1"/>
  <c r="Y650" i="20" a="1"/>
  <c r="Y650" i="20" s="1"/>
  <c r="V682" i="20" a="1"/>
  <c r="V682" i="20" s="1"/>
  <c r="S682" i="20" a="1"/>
  <c r="S682" i="20" s="1"/>
  <c r="N682" i="20" a="1"/>
  <c r="N682" i="20" s="1"/>
  <c r="K682" i="20" a="1"/>
  <c r="K682" i="20" s="1"/>
  <c r="G648" i="20" a="1"/>
  <c r="G648" i="20" s="1"/>
  <c r="K648" i="20"/>
  <c r="J648" i="20" a="1"/>
  <c r="J648" i="20" s="1"/>
  <c r="J663" i="20" s="1" a="1"/>
  <c r="M648" i="20" a="1"/>
  <c r="M648" i="20" s="1"/>
  <c r="P648" i="20" a="1"/>
  <c r="P648" i="20" s="1"/>
  <c r="U648" i="20" a="1"/>
  <c r="U648" i="20" s="1"/>
  <c r="X648" i="20" a="1"/>
  <c r="X648" i="20" s="1"/>
  <c r="X663" i="20" s="1" a="1"/>
  <c r="G624" i="20" a="1"/>
  <c r="G624" i="20" s="1"/>
  <c r="I624" i="20" a="1"/>
  <c r="I624" i="20" s="1"/>
  <c r="K624" i="20"/>
  <c r="H624" i="20" a="1"/>
  <c r="H624" i="20" s="1"/>
  <c r="N624" i="20" a="1"/>
  <c r="N624" i="20" s="1"/>
  <c r="S624" i="20" a="1"/>
  <c r="S624" i="20" s="1"/>
  <c r="V624" i="20" a="1"/>
  <c r="V624" i="20" s="1"/>
  <c r="O624" i="20" a="1"/>
  <c r="O624" i="20" s="1"/>
  <c r="R624" i="20" a="1"/>
  <c r="R624" i="20" s="1"/>
  <c r="W624" i="20" a="1"/>
  <c r="W624" i="20" s="1"/>
  <c r="G623" i="20" a="1"/>
  <c r="G623" i="20" s="1"/>
  <c r="I623" i="20" a="1"/>
  <c r="I623" i="20" s="1"/>
  <c r="K623" i="20"/>
  <c r="O623" i="20" a="1"/>
  <c r="O623" i="20" s="1"/>
  <c r="R623" i="20" a="1"/>
  <c r="R623" i="20" s="1"/>
  <c r="W623" i="20" a="1"/>
  <c r="W623" i="20" s="1"/>
  <c r="J623" i="20" a="1"/>
  <c r="J623" i="20" s="1"/>
  <c r="M623" i="20" a="1"/>
  <c r="M623" i="20" s="1"/>
  <c r="P623" i="20" a="1"/>
  <c r="P623" i="20" s="1"/>
  <c r="U623" i="20" a="1"/>
  <c r="U623" i="20" s="1"/>
  <c r="X623" i="20" a="1"/>
  <c r="X623" i="20" s="1"/>
  <c r="H623" i="20" a="1"/>
  <c r="H623" i="20" s="1"/>
  <c r="N623" i="20" a="1"/>
  <c r="N623" i="20" s="1"/>
  <c r="S623" i="20" a="1"/>
  <c r="S623" i="20" s="1"/>
  <c r="V623" i="20" a="1"/>
  <c r="V623" i="20" s="1"/>
  <c r="G622" i="20" a="1"/>
  <c r="G622" i="20" s="1"/>
  <c r="I622" i="20" a="1"/>
  <c r="I622" i="20" s="1"/>
  <c r="K622" i="20"/>
  <c r="H622" i="20" a="1"/>
  <c r="H622" i="20" s="1"/>
  <c r="N622" i="20" a="1"/>
  <c r="N622" i="20" s="1"/>
  <c r="S622" i="20" a="1"/>
  <c r="S622" i="20" s="1"/>
  <c r="V622" i="20" a="1"/>
  <c r="V622" i="20" s="1"/>
  <c r="L622" i="20" a="1"/>
  <c r="L622" i="20" s="1"/>
  <c r="Q622" i="20" a="1"/>
  <c r="Q622" i="20" s="1"/>
  <c r="T622" i="20" a="1"/>
  <c r="T622" i="20" s="1"/>
  <c r="Y622" i="20" a="1"/>
  <c r="Y622" i="20" s="1"/>
  <c r="O622" i="20" a="1"/>
  <c r="O622" i="20" s="1"/>
  <c r="R622" i="20" a="1"/>
  <c r="R622" i="20" s="1"/>
  <c r="W622" i="20" a="1"/>
  <c r="W622" i="20" s="1"/>
  <c r="G621" i="20" a="1"/>
  <c r="G621" i="20" s="1"/>
  <c r="K621" i="20"/>
  <c r="O621" i="20" a="1"/>
  <c r="O621" i="20" s="1"/>
  <c r="R621" i="20" a="1"/>
  <c r="R621" i="20" s="1"/>
  <c r="W621" i="20" a="1"/>
  <c r="W621" i="20" s="1"/>
  <c r="J621" i="20" a="1"/>
  <c r="J621" i="20" s="1"/>
  <c r="M621" i="20" a="1"/>
  <c r="M621" i="20" s="1"/>
  <c r="P621" i="20" a="1"/>
  <c r="P621" i="20" s="1"/>
  <c r="U621" i="20" a="1"/>
  <c r="U621" i="20" s="1"/>
  <c r="X621" i="20" a="1"/>
  <c r="X621" i="20" s="1"/>
  <c r="H621" i="20" a="1"/>
  <c r="H621" i="20" s="1"/>
  <c r="N621" i="20" a="1"/>
  <c r="N621" i="20" s="1"/>
  <c r="S621" i="20" a="1"/>
  <c r="S621" i="20" s="1"/>
  <c r="V621" i="20" a="1"/>
  <c r="V621" i="20" s="1"/>
  <c r="G620" i="20" a="1"/>
  <c r="G620" i="20" s="1"/>
  <c r="K620" i="20"/>
  <c r="H620" i="20" a="1"/>
  <c r="H620" i="20" s="1"/>
  <c r="N620" i="20" a="1"/>
  <c r="N620" i="20" s="1"/>
  <c r="N635" i="20" s="1" a="1"/>
  <c r="S620" i="20" a="1"/>
  <c r="S620" i="20" s="1"/>
  <c r="V620" i="20" a="1"/>
  <c r="V620" i="20" s="1"/>
  <c r="L620" i="20" a="1"/>
  <c r="L620" i="20" s="1"/>
  <c r="Q620" i="20" a="1"/>
  <c r="Q620" i="20" s="1"/>
  <c r="Q635" i="20" s="1" a="1"/>
  <c r="T620" i="20" a="1"/>
  <c r="T620" i="20" s="1"/>
  <c r="Y620" i="20" a="1"/>
  <c r="Y620" i="20" s="1"/>
  <c r="O620" i="20" a="1"/>
  <c r="O620" i="20" s="1"/>
  <c r="R620" i="20" a="1"/>
  <c r="R620" i="20" s="1"/>
  <c r="W620" i="20" a="1"/>
  <c r="W620" i="20" s="1"/>
  <c r="G567" i="20" a="1"/>
  <c r="G567" i="20" s="1"/>
  <c r="I567" i="20" a="1"/>
  <c r="I567" i="20" s="1"/>
  <c r="K567" i="20"/>
  <c r="J567" i="20" a="1"/>
  <c r="J567" i="20" s="1"/>
  <c r="M567" i="20" a="1"/>
  <c r="M567" i="20" s="1"/>
  <c r="P567" i="20" a="1"/>
  <c r="P567" i="20" s="1"/>
  <c r="U567" i="20" a="1"/>
  <c r="U567" i="20" s="1"/>
  <c r="X567" i="20" a="1"/>
  <c r="X567" i="20" s="1"/>
  <c r="H567" i="20" a="1"/>
  <c r="H567" i="20" s="1"/>
  <c r="N567" i="20" a="1"/>
  <c r="N567" i="20" s="1"/>
  <c r="S567" i="20" a="1"/>
  <c r="S567" i="20" s="1"/>
  <c r="V567" i="20" a="1"/>
  <c r="V567" i="20" s="1"/>
  <c r="L567" i="20" a="1"/>
  <c r="L567" i="20" s="1"/>
  <c r="Q567" i="20" a="1"/>
  <c r="Q567" i="20" s="1"/>
  <c r="T567" i="20" a="1"/>
  <c r="T567" i="20" s="1"/>
  <c r="Y567" i="20" a="1"/>
  <c r="Y567" i="20" s="1"/>
  <c r="O567" i="20" a="1"/>
  <c r="O567" i="20" s="1"/>
  <c r="R567" i="20" a="1"/>
  <c r="R567" i="20" s="1"/>
  <c r="W567" i="20" a="1"/>
  <c r="W567" i="20" s="1"/>
  <c r="K545" i="20" a="1"/>
  <c r="K545" i="20" s="1"/>
  <c r="N545" i="20" a="1"/>
  <c r="N545" i="20" s="1"/>
  <c r="S545" i="20" a="1"/>
  <c r="S545" i="20" s="1"/>
  <c r="V545" i="20" a="1"/>
  <c r="V545" i="20" s="1"/>
  <c r="I545" i="20" a="1"/>
  <c r="I545" i="20" s="1"/>
  <c r="L545" i="20" a="1"/>
  <c r="L545" i="20" s="1"/>
  <c r="Q545" i="20" a="1"/>
  <c r="Q545" i="20" s="1"/>
  <c r="T545" i="20" a="1"/>
  <c r="T545" i="20" s="1"/>
  <c r="Y545" i="20" a="1"/>
  <c r="Y545" i="20" s="1"/>
  <c r="G545" i="20" a="1"/>
  <c r="G545" i="20" s="1"/>
  <c r="J545" i="20" a="1"/>
  <c r="J545" i="20" s="1"/>
  <c r="O545" i="20" a="1"/>
  <c r="O545" i="20" s="1"/>
  <c r="R545" i="20" a="1"/>
  <c r="R545" i="20" s="1"/>
  <c r="W545" i="20" a="1"/>
  <c r="W545" i="20" s="1"/>
  <c r="H545" i="20" a="1"/>
  <c r="H545" i="20" s="1"/>
  <c r="M545" i="20" a="1"/>
  <c r="M545" i="20" s="1"/>
  <c r="P545" i="20" a="1"/>
  <c r="P545" i="20" s="1"/>
  <c r="U545" i="20" a="1"/>
  <c r="U545" i="20" s="1"/>
  <c r="X545" i="20" a="1"/>
  <c r="X545" i="20" s="1"/>
  <c r="K543" i="20" a="1"/>
  <c r="K543" i="20" s="1"/>
  <c r="N543" i="20" a="1"/>
  <c r="N543" i="20" s="1"/>
  <c r="S543" i="20" a="1"/>
  <c r="S543" i="20" s="1"/>
  <c r="V543" i="20" a="1"/>
  <c r="V543" i="20" s="1"/>
  <c r="I543" i="20" a="1"/>
  <c r="I543" i="20" s="1"/>
  <c r="L543" i="20" a="1"/>
  <c r="L543" i="20" s="1"/>
  <c r="Q543" i="20" a="1"/>
  <c r="Q543" i="20" s="1"/>
  <c r="T543" i="20" a="1"/>
  <c r="T543" i="20" s="1"/>
  <c r="Y543" i="20" a="1"/>
  <c r="Y543" i="20" s="1"/>
  <c r="G543" i="20" a="1"/>
  <c r="G543" i="20" s="1"/>
  <c r="J543" i="20" a="1"/>
  <c r="J543" i="20" s="1"/>
  <c r="O543" i="20" a="1"/>
  <c r="O543" i="20" s="1"/>
  <c r="R543" i="20" a="1"/>
  <c r="R543" i="20" s="1"/>
  <c r="W543" i="20" a="1"/>
  <c r="W543" i="20" s="1"/>
  <c r="H543" i="20" a="1"/>
  <c r="H543" i="20" s="1"/>
  <c r="M543" i="20" a="1"/>
  <c r="M543" i="20" s="1"/>
  <c r="P543" i="20" a="1"/>
  <c r="P543" i="20" s="1"/>
  <c r="U543" i="20" a="1"/>
  <c r="U543" i="20" s="1"/>
  <c r="X543" i="20" a="1"/>
  <c r="X543" i="20" s="1"/>
  <c r="G541" i="20" a="1"/>
  <c r="G541" i="20" s="1"/>
  <c r="I541" i="20" a="1"/>
  <c r="I541" i="20" s="1"/>
  <c r="K541" i="20"/>
  <c r="H541" i="20" a="1"/>
  <c r="H541" i="20" s="1"/>
  <c r="N541" i="20" a="1"/>
  <c r="N541" i="20" s="1"/>
  <c r="S541" i="20" a="1"/>
  <c r="S541" i="20" s="1"/>
  <c r="V541" i="20" a="1"/>
  <c r="V541" i="20" s="1"/>
  <c r="L541" i="20" a="1"/>
  <c r="L541" i="20" s="1"/>
  <c r="Q541" i="20" a="1"/>
  <c r="Q541" i="20" s="1"/>
  <c r="T541" i="20" a="1"/>
  <c r="T541" i="20" s="1"/>
  <c r="Y541" i="20" a="1"/>
  <c r="Y541" i="20" s="1"/>
  <c r="O541" i="20" a="1"/>
  <c r="O541" i="20" s="1"/>
  <c r="R541" i="20" a="1"/>
  <c r="R541" i="20" s="1"/>
  <c r="W541" i="20" a="1"/>
  <c r="W541" i="20" s="1"/>
  <c r="J541" i="20" a="1"/>
  <c r="J541" i="20" s="1"/>
  <c r="M541" i="20" a="1"/>
  <c r="M541" i="20" s="1"/>
  <c r="P541" i="20" a="1"/>
  <c r="P541" i="20" s="1"/>
  <c r="U541" i="20" a="1"/>
  <c r="U541" i="20" s="1"/>
  <c r="X541" i="20" a="1"/>
  <c r="X541" i="20" s="1"/>
  <c r="G537" i="20" a="1"/>
  <c r="G537" i="20" s="1"/>
  <c r="K537" i="20"/>
  <c r="H537" i="20" a="1"/>
  <c r="H537" i="20" s="1"/>
  <c r="N537" i="20" a="1"/>
  <c r="N537" i="20" s="1"/>
  <c r="S537" i="20" a="1"/>
  <c r="S537" i="20" s="1"/>
  <c r="V537" i="20" a="1"/>
  <c r="V537" i="20" s="1"/>
  <c r="L537" i="20" a="1"/>
  <c r="L537" i="20" s="1"/>
  <c r="Q537" i="20" a="1"/>
  <c r="Q537" i="20" s="1"/>
  <c r="T537" i="20" a="1"/>
  <c r="T537" i="20" s="1"/>
  <c r="Y537" i="20" a="1"/>
  <c r="Y537" i="20" s="1"/>
  <c r="O537" i="20" a="1"/>
  <c r="O537" i="20" s="1"/>
  <c r="R537" i="20" a="1"/>
  <c r="R537" i="20" s="1"/>
  <c r="W537" i="20" a="1"/>
  <c r="W537" i="20" s="1"/>
  <c r="J537" i="20" a="1"/>
  <c r="J537" i="20" s="1"/>
  <c r="M537" i="20" a="1"/>
  <c r="M537" i="20" s="1"/>
  <c r="P537" i="20" a="1"/>
  <c r="P537" i="20" s="1"/>
  <c r="U537" i="20" a="1"/>
  <c r="U537" i="20" s="1"/>
  <c r="X537" i="20" a="1"/>
  <c r="X537" i="20" s="1"/>
  <c r="G513" i="20" a="1"/>
  <c r="G513" i="20" s="1"/>
  <c r="I513" i="20" a="1"/>
  <c r="I513" i="20" s="1"/>
  <c r="K513" i="20"/>
  <c r="L513" i="20" a="1"/>
  <c r="L513" i="20" s="1"/>
  <c r="Q513" i="20" a="1"/>
  <c r="Q513" i="20" s="1"/>
  <c r="T513" i="20" a="1"/>
  <c r="T513" i="20" s="1"/>
  <c r="Y513" i="20" a="1"/>
  <c r="Y513" i="20" s="1"/>
  <c r="O513" i="20" a="1"/>
  <c r="O513" i="20" s="1"/>
  <c r="R513" i="20" a="1"/>
  <c r="R513" i="20" s="1"/>
  <c r="W513" i="20" a="1"/>
  <c r="W513" i="20" s="1"/>
  <c r="J513" i="20" a="1"/>
  <c r="J513" i="20" s="1"/>
  <c r="M513" i="20" a="1"/>
  <c r="M513" i="20" s="1"/>
  <c r="P513" i="20" a="1"/>
  <c r="P513" i="20" s="1"/>
  <c r="U513" i="20" a="1"/>
  <c r="U513" i="20" s="1"/>
  <c r="X513" i="20" a="1"/>
  <c r="X513" i="20" s="1"/>
  <c r="H513" i="20" a="1"/>
  <c r="H513" i="20" s="1"/>
  <c r="N513" i="20" a="1"/>
  <c r="N513" i="20" s="1"/>
  <c r="S513" i="20" a="1"/>
  <c r="S513" i="20" s="1"/>
  <c r="V513" i="20" a="1"/>
  <c r="V513" i="20" s="1"/>
  <c r="G509" i="20" a="1"/>
  <c r="G509" i="20" s="1"/>
  <c r="K509" i="20"/>
  <c r="L509" i="20" a="1"/>
  <c r="L509" i="20" s="1"/>
  <c r="Q509" i="20" a="1"/>
  <c r="Q509" i="20" s="1"/>
  <c r="T509" i="20" a="1"/>
  <c r="T509" i="20" s="1"/>
  <c r="Y509" i="20" a="1"/>
  <c r="Y509" i="20" s="1"/>
  <c r="O509" i="20" a="1"/>
  <c r="O509" i="20" s="1"/>
  <c r="R509" i="20" a="1"/>
  <c r="R509" i="20" s="1"/>
  <c r="W509" i="20" a="1"/>
  <c r="W509" i="20" s="1"/>
  <c r="J509" i="20" a="1"/>
  <c r="J509" i="20" s="1"/>
  <c r="M509" i="20" a="1"/>
  <c r="M509" i="20" s="1"/>
  <c r="P509" i="20" a="1"/>
  <c r="P509" i="20" s="1"/>
  <c r="U509" i="20" a="1"/>
  <c r="U509" i="20" s="1"/>
  <c r="X509" i="20" a="1"/>
  <c r="X509" i="20" s="1"/>
  <c r="H509" i="20" a="1"/>
  <c r="H509" i="20" s="1"/>
  <c r="N509" i="20" a="1"/>
  <c r="N509" i="20" s="1"/>
  <c r="S509" i="20" a="1"/>
  <c r="S509" i="20" s="1"/>
  <c r="V509" i="20" a="1"/>
  <c r="V509" i="20" s="1"/>
  <c r="V656" i="20" a="1"/>
  <c r="V656" i="20" s="1"/>
  <c r="S656" i="20" a="1"/>
  <c r="S656" i="20" s="1"/>
  <c r="N656" i="20" a="1"/>
  <c r="N656" i="20" s="1"/>
  <c r="K656" i="20" a="1"/>
  <c r="K656" i="20" s="1"/>
  <c r="V654" i="20" a="1"/>
  <c r="V654" i="20" s="1"/>
  <c r="S654" i="20" a="1"/>
  <c r="S654" i="20" s="1"/>
  <c r="N654" i="20" a="1"/>
  <c r="N654" i="20" s="1"/>
  <c r="K654" i="20" a="1"/>
  <c r="K654" i="20" s="1"/>
  <c r="G651" i="20" a="1"/>
  <c r="G651" i="20" s="1"/>
  <c r="I651" i="20" a="1"/>
  <c r="I651" i="20" s="1"/>
  <c r="K651" i="20"/>
  <c r="G649" i="20" a="1"/>
  <c r="G649" i="20" s="1"/>
  <c r="K649" i="20"/>
  <c r="Q648" i="20" a="1"/>
  <c r="Q648" i="20" s="1"/>
  <c r="N648" i="20" a="1"/>
  <c r="N648" i="20" s="1"/>
  <c r="G629" i="20" a="1"/>
  <c r="G629" i="20" s="1"/>
  <c r="J629" i="20" a="1"/>
  <c r="J629" i="20" s="1"/>
  <c r="O629" i="20" a="1"/>
  <c r="O629" i="20" s="1"/>
  <c r="R629" i="20" a="1"/>
  <c r="R629" i="20" s="1"/>
  <c r="W629" i="20" a="1"/>
  <c r="W629" i="20" s="1"/>
  <c r="K629" i="20" a="1"/>
  <c r="K629" i="20" s="1"/>
  <c r="N629" i="20" a="1"/>
  <c r="N629" i="20" s="1"/>
  <c r="S629" i="20" a="1"/>
  <c r="S629" i="20" s="1"/>
  <c r="V629" i="20" a="1"/>
  <c r="V629" i="20" s="1"/>
  <c r="K628" i="20" a="1"/>
  <c r="K628" i="20" s="1"/>
  <c r="N628" i="20" a="1"/>
  <c r="N628" i="20" s="1"/>
  <c r="S628" i="20" a="1"/>
  <c r="S628" i="20" s="1"/>
  <c r="V628" i="20" a="1"/>
  <c r="V628" i="20" s="1"/>
  <c r="G628" i="20" a="1"/>
  <c r="G628" i="20" s="1"/>
  <c r="J628" i="20" a="1"/>
  <c r="J628" i="20" s="1"/>
  <c r="O628" i="20" a="1"/>
  <c r="O628" i="20" s="1"/>
  <c r="R628" i="20" a="1"/>
  <c r="R628" i="20" s="1"/>
  <c r="W628" i="20" a="1"/>
  <c r="W628" i="20" s="1"/>
  <c r="G627" i="20" a="1"/>
  <c r="G627" i="20" s="1"/>
  <c r="J627" i="20" a="1"/>
  <c r="J627" i="20" s="1"/>
  <c r="O627" i="20" a="1"/>
  <c r="O627" i="20" s="1"/>
  <c r="R627" i="20" a="1"/>
  <c r="R627" i="20" s="1"/>
  <c r="W627" i="20" a="1"/>
  <c r="W627" i="20" s="1"/>
  <c r="K627" i="20" a="1"/>
  <c r="K627" i="20" s="1"/>
  <c r="N627" i="20" a="1"/>
  <c r="N627" i="20" s="1"/>
  <c r="S627" i="20" a="1"/>
  <c r="S627" i="20" s="1"/>
  <c r="V627" i="20" a="1"/>
  <c r="V627" i="20" s="1"/>
  <c r="K626" i="20" a="1"/>
  <c r="K626" i="20" s="1"/>
  <c r="N626" i="20" a="1"/>
  <c r="N626" i="20" s="1"/>
  <c r="S626" i="20" a="1"/>
  <c r="S626" i="20" s="1"/>
  <c r="V626" i="20" a="1"/>
  <c r="V626" i="20" s="1"/>
  <c r="G626" i="20" a="1"/>
  <c r="G626" i="20" s="1"/>
  <c r="J626" i="20" a="1"/>
  <c r="J626" i="20" s="1"/>
  <c r="O626" i="20" a="1"/>
  <c r="O626" i="20" s="1"/>
  <c r="R626" i="20" a="1"/>
  <c r="R626" i="20" s="1"/>
  <c r="W626" i="20" a="1"/>
  <c r="W626" i="20" s="1"/>
  <c r="G625" i="20" a="1"/>
  <c r="G625" i="20" s="1"/>
  <c r="I625" i="20" a="1"/>
  <c r="I625" i="20" s="1"/>
  <c r="K625" i="20"/>
  <c r="O625" i="20" a="1"/>
  <c r="O625" i="20" s="1"/>
  <c r="R625" i="20" a="1"/>
  <c r="R625" i="20" s="1"/>
  <c r="W625" i="20" a="1"/>
  <c r="W625" i="20" s="1"/>
  <c r="H625" i="20" a="1"/>
  <c r="H625" i="20" s="1"/>
  <c r="N625" i="20" a="1"/>
  <c r="N625" i="20" s="1"/>
  <c r="S625" i="20" a="1"/>
  <c r="S625" i="20" s="1"/>
  <c r="V625" i="20" a="1"/>
  <c r="V625" i="20" s="1"/>
  <c r="U624" i="20" a="1"/>
  <c r="U624" i="20" s="1"/>
  <c r="P624" i="20" a="1"/>
  <c r="P624" i="20" s="1"/>
  <c r="J624" i="20" a="1"/>
  <c r="J624" i="20" s="1"/>
  <c r="Y623" i="20" a="1"/>
  <c r="Y623" i="20" s="1"/>
  <c r="X622" i="20" a="1"/>
  <c r="X622" i="20" s="1"/>
  <c r="M622" i="20" a="1"/>
  <c r="M622" i="20" s="1"/>
  <c r="Y621" i="20" a="1"/>
  <c r="Y621" i="20" s="1"/>
  <c r="K598" i="20" a="1"/>
  <c r="K598" i="20" s="1"/>
  <c r="N598" i="20" a="1"/>
  <c r="N598" i="20" s="1"/>
  <c r="S598" i="20" a="1"/>
  <c r="S598" i="20" s="1"/>
  <c r="V598" i="20" a="1"/>
  <c r="V598" i="20" s="1"/>
  <c r="I598" i="20" a="1"/>
  <c r="I598" i="20" s="1"/>
  <c r="L598" i="20" a="1"/>
  <c r="L598" i="20" s="1"/>
  <c r="Q598" i="20" a="1"/>
  <c r="Q598" i="20" s="1"/>
  <c r="T598" i="20" a="1"/>
  <c r="T598" i="20" s="1"/>
  <c r="Y598" i="20" a="1"/>
  <c r="Y598" i="20" s="1"/>
  <c r="G598" i="20" a="1"/>
  <c r="G598" i="20" s="1"/>
  <c r="J598" i="20" a="1"/>
  <c r="J598" i="20" s="1"/>
  <c r="O598" i="20" a="1"/>
  <c r="O598" i="20" s="1"/>
  <c r="R598" i="20" a="1"/>
  <c r="R598" i="20" s="1"/>
  <c r="W598" i="20" a="1"/>
  <c r="W598" i="20" s="1"/>
  <c r="H598" i="20" a="1"/>
  <c r="H598" i="20" s="1"/>
  <c r="M598" i="20" a="1"/>
  <c r="M598" i="20" s="1"/>
  <c r="P598" i="20" a="1"/>
  <c r="P598" i="20" s="1"/>
  <c r="U598" i="20" a="1"/>
  <c r="U598" i="20" s="1"/>
  <c r="X598" i="20" a="1"/>
  <c r="X598" i="20" s="1"/>
  <c r="G594" i="20" a="1"/>
  <c r="G594" i="20" s="1"/>
  <c r="I594" i="20" a="1"/>
  <c r="I594" i="20" s="1"/>
  <c r="K594" i="20"/>
  <c r="H594" i="20" a="1"/>
  <c r="H594" i="20" s="1"/>
  <c r="N594" i="20" a="1"/>
  <c r="N594" i="20" s="1"/>
  <c r="S594" i="20" a="1"/>
  <c r="S594" i="20" s="1"/>
  <c r="V594" i="20" a="1"/>
  <c r="V594" i="20" s="1"/>
  <c r="L594" i="20" a="1"/>
  <c r="L594" i="20" s="1"/>
  <c r="Q594" i="20" a="1"/>
  <c r="Q594" i="20" s="1"/>
  <c r="T594" i="20" a="1"/>
  <c r="T594" i="20" s="1"/>
  <c r="Y594" i="20" a="1"/>
  <c r="Y594" i="20" s="1"/>
  <c r="O594" i="20" a="1"/>
  <c r="O594" i="20" s="1"/>
  <c r="R594" i="20" a="1"/>
  <c r="R594" i="20" s="1"/>
  <c r="W594" i="20" a="1"/>
  <c r="W594" i="20" s="1"/>
  <c r="J594" i="20" a="1"/>
  <c r="J594" i="20" s="1"/>
  <c r="M594" i="20" a="1"/>
  <c r="M594" i="20" s="1"/>
  <c r="P594" i="20" a="1"/>
  <c r="P594" i="20" s="1"/>
  <c r="U594" i="20" a="1"/>
  <c r="U594" i="20" s="1"/>
  <c r="X594" i="20" a="1"/>
  <c r="X594" i="20" s="1"/>
  <c r="G566" i="20" a="1"/>
  <c r="G566" i="20" s="1"/>
  <c r="K566" i="20"/>
  <c r="L566" i="20" a="1"/>
  <c r="L566" i="20" s="1"/>
  <c r="Q566" i="20" a="1"/>
  <c r="Q566" i="20" s="1"/>
  <c r="T566" i="20" a="1"/>
  <c r="T566" i="20" s="1"/>
  <c r="Y566" i="20" a="1"/>
  <c r="Y566" i="20" s="1"/>
  <c r="O566" i="20" a="1"/>
  <c r="O566" i="20" s="1"/>
  <c r="R566" i="20" a="1"/>
  <c r="R566" i="20" s="1"/>
  <c r="W566" i="20" a="1"/>
  <c r="W566" i="20" s="1"/>
  <c r="J566" i="20" a="1"/>
  <c r="J566" i="20" s="1"/>
  <c r="M566" i="20" a="1"/>
  <c r="M566" i="20" s="1"/>
  <c r="P566" i="20" a="1"/>
  <c r="P566" i="20" s="1"/>
  <c r="U566" i="20" a="1"/>
  <c r="U566" i="20" s="1"/>
  <c r="X566" i="20" a="1"/>
  <c r="X566" i="20" s="1"/>
  <c r="H566" i="20" a="1"/>
  <c r="H566" i="20" s="1"/>
  <c r="N566" i="20" a="1"/>
  <c r="N566" i="20" s="1"/>
  <c r="S566" i="20" a="1"/>
  <c r="S566" i="20" s="1"/>
  <c r="V566" i="20" a="1"/>
  <c r="V566" i="20" s="1"/>
  <c r="G512" i="20" a="1"/>
  <c r="G512" i="20" s="1"/>
  <c r="I512" i="20" a="1"/>
  <c r="I512" i="20" s="1"/>
  <c r="K512" i="20"/>
  <c r="J512" i="20" a="1"/>
  <c r="J512" i="20" s="1"/>
  <c r="M512" i="20" a="1"/>
  <c r="M512" i="20" s="1"/>
  <c r="P512" i="20" a="1"/>
  <c r="P512" i="20" s="1"/>
  <c r="U512" i="20" a="1"/>
  <c r="U512" i="20" s="1"/>
  <c r="X512" i="20" a="1"/>
  <c r="X512" i="20" s="1"/>
  <c r="H512" i="20" a="1"/>
  <c r="H512" i="20" s="1"/>
  <c r="N512" i="20" a="1"/>
  <c r="N512" i="20" s="1"/>
  <c r="S512" i="20" a="1"/>
  <c r="S512" i="20" s="1"/>
  <c r="V512" i="20" a="1"/>
  <c r="V512" i="20" s="1"/>
  <c r="L512" i="20" a="1"/>
  <c r="L512" i="20" s="1"/>
  <c r="Q512" i="20" a="1"/>
  <c r="Q512" i="20" s="1"/>
  <c r="T512" i="20" a="1"/>
  <c r="T512" i="20" s="1"/>
  <c r="Y512" i="20" a="1"/>
  <c r="Y512" i="20" s="1"/>
  <c r="O512" i="20" a="1"/>
  <c r="O512" i="20" s="1"/>
  <c r="R512" i="20" a="1"/>
  <c r="R512" i="20" s="1"/>
  <c r="W512" i="20" a="1"/>
  <c r="W512" i="20" s="1"/>
  <c r="G508" i="20" a="1"/>
  <c r="G508" i="20" s="1"/>
  <c r="G523" i="20" s="1" a="1"/>
  <c r="K508" i="20"/>
  <c r="J508" i="20" a="1"/>
  <c r="J508" i="20" s="1"/>
  <c r="M508" i="20" a="1"/>
  <c r="M508" i="20" s="1"/>
  <c r="P508" i="20" a="1"/>
  <c r="P508" i="20" s="1"/>
  <c r="U508" i="20" a="1"/>
  <c r="U508" i="20" s="1"/>
  <c r="X508" i="20" a="1"/>
  <c r="X508" i="20" s="1"/>
  <c r="H508" i="20" a="1"/>
  <c r="H508" i="20" s="1"/>
  <c r="N508" i="20" a="1"/>
  <c r="N508" i="20" s="1"/>
  <c r="S508" i="20" a="1"/>
  <c r="S508" i="20" s="1"/>
  <c r="V508" i="20" a="1"/>
  <c r="V508" i="20" s="1"/>
  <c r="L508" i="20" a="1"/>
  <c r="L508" i="20" s="1"/>
  <c r="L523" i="20" s="1" a="1"/>
  <c r="Q508" i="20" a="1"/>
  <c r="Q508" i="20" s="1"/>
  <c r="T508" i="20" a="1"/>
  <c r="T508" i="20" s="1"/>
  <c r="Y508" i="20" a="1"/>
  <c r="Y508" i="20" s="1"/>
  <c r="O508" i="20" a="1"/>
  <c r="O508" i="20" s="1"/>
  <c r="R508" i="20" a="1"/>
  <c r="R508" i="20" s="1"/>
  <c r="W508" i="20" a="1"/>
  <c r="W508" i="20" s="1"/>
  <c r="K488" i="20" a="1"/>
  <c r="K488" i="20" s="1"/>
  <c r="N488" i="20" a="1"/>
  <c r="N488" i="20" s="1"/>
  <c r="S488" i="20" a="1"/>
  <c r="S488" i="20" s="1"/>
  <c r="V488" i="20" a="1"/>
  <c r="V488" i="20" s="1"/>
  <c r="I488" i="20" a="1"/>
  <c r="I488" i="20" s="1"/>
  <c r="L488" i="20" a="1"/>
  <c r="L488" i="20" s="1"/>
  <c r="Q488" i="20" a="1"/>
  <c r="Q488" i="20" s="1"/>
  <c r="T488" i="20" a="1"/>
  <c r="T488" i="20" s="1"/>
  <c r="Y488" i="20" a="1"/>
  <c r="Y488" i="20" s="1"/>
  <c r="G488" i="20" a="1"/>
  <c r="G488" i="20" s="1"/>
  <c r="J488" i="20" a="1"/>
  <c r="J488" i="20" s="1"/>
  <c r="O488" i="20" a="1"/>
  <c r="O488" i="20" s="1"/>
  <c r="R488" i="20" a="1"/>
  <c r="R488" i="20" s="1"/>
  <c r="W488" i="20" a="1"/>
  <c r="W488" i="20" s="1"/>
  <c r="H488" i="20" a="1"/>
  <c r="H488" i="20" s="1"/>
  <c r="M488" i="20" a="1"/>
  <c r="M488" i="20" s="1"/>
  <c r="P488" i="20" a="1"/>
  <c r="P488" i="20" s="1"/>
  <c r="U488" i="20" a="1"/>
  <c r="U488" i="20" s="1"/>
  <c r="X488" i="20" a="1"/>
  <c r="X488" i="20" s="1"/>
  <c r="W682" i="20" a="1"/>
  <c r="W682" i="20" s="1"/>
  <c r="R682" i="20" a="1"/>
  <c r="R682" i="20" s="1"/>
  <c r="O682" i="20" a="1"/>
  <c r="O682" i="20" s="1"/>
  <c r="J682" i="20" a="1"/>
  <c r="J682" i="20" s="1"/>
  <c r="X656" i="20" a="1"/>
  <c r="X656" i="20" s="1"/>
  <c r="U656" i="20" a="1"/>
  <c r="U656" i="20" s="1"/>
  <c r="P656" i="20" a="1"/>
  <c r="P656" i="20" s="1"/>
  <c r="M656" i="20" a="1"/>
  <c r="M656" i="20" s="1"/>
  <c r="H656" i="20" a="1"/>
  <c r="H656" i="20" s="1"/>
  <c r="X654" i="20" a="1"/>
  <c r="X654" i="20" s="1"/>
  <c r="U654" i="20" a="1"/>
  <c r="U654" i="20" s="1"/>
  <c r="P654" i="20" a="1"/>
  <c r="P654" i="20" s="1"/>
  <c r="M654" i="20" a="1"/>
  <c r="M654" i="20" s="1"/>
  <c r="H654" i="20" a="1"/>
  <c r="H654" i="20" s="1"/>
  <c r="Y651" i="20" a="1"/>
  <c r="Y651" i="20" s="1"/>
  <c r="T651" i="20" a="1"/>
  <c r="T651" i="20" s="1"/>
  <c r="Q651" i="20" a="1"/>
  <c r="Q651" i="20" s="1"/>
  <c r="L651" i="20" a="1"/>
  <c r="L651" i="20" s="1"/>
  <c r="Y649" i="20" a="1"/>
  <c r="Y649" i="20" s="1"/>
  <c r="Y663" i="20" s="1" a="1"/>
  <c r="T649" i="20" a="1"/>
  <c r="T649" i="20" s="1"/>
  <c r="Q649" i="20" a="1"/>
  <c r="Q649" i="20" s="1"/>
  <c r="L649" i="20" a="1"/>
  <c r="L649" i="20" s="1"/>
  <c r="W648" i="20" a="1"/>
  <c r="W648" i="20" s="1"/>
  <c r="T648" i="20" a="1"/>
  <c r="T648" i="20" s="1"/>
  <c r="U629" i="20" a="1"/>
  <c r="U629" i="20" s="1"/>
  <c r="P629" i="20" a="1"/>
  <c r="P629" i="20" s="1"/>
  <c r="U628" i="20" a="1"/>
  <c r="U628" i="20" s="1"/>
  <c r="P628" i="20" a="1"/>
  <c r="P628" i="20" s="1"/>
  <c r="U627" i="20" a="1"/>
  <c r="U627" i="20" s="1"/>
  <c r="P627" i="20" a="1"/>
  <c r="P627" i="20" s="1"/>
  <c r="U626" i="20" a="1"/>
  <c r="U626" i="20" s="1"/>
  <c r="P626" i="20" a="1"/>
  <c r="P626" i="20" s="1"/>
  <c r="U625" i="20" a="1"/>
  <c r="U625" i="20" s="1"/>
  <c r="P625" i="20" a="1"/>
  <c r="P625" i="20" s="1"/>
  <c r="J625" i="20" a="1"/>
  <c r="J625" i="20" s="1"/>
  <c r="Y624" i="20" a="1"/>
  <c r="Y624" i="20" s="1"/>
  <c r="T624" i="20" a="1"/>
  <c r="T624" i="20" s="1"/>
  <c r="L623" i="20" a="1"/>
  <c r="L623" i="20" s="1"/>
  <c r="U622" i="20" a="1"/>
  <c r="U622" i="20" s="1"/>
  <c r="J622" i="20" a="1"/>
  <c r="J622" i="20" s="1"/>
  <c r="L621" i="20" a="1"/>
  <c r="L621" i="20" s="1"/>
  <c r="K600" i="20" a="1"/>
  <c r="K600" i="20" s="1"/>
  <c r="N600" i="20" a="1"/>
  <c r="N600" i="20" s="1"/>
  <c r="S600" i="20" a="1"/>
  <c r="S600" i="20" s="1"/>
  <c r="V600" i="20" a="1"/>
  <c r="V600" i="20" s="1"/>
  <c r="I600" i="20" a="1"/>
  <c r="I600" i="20" s="1"/>
  <c r="L600" i="20" a="1"/>
  <c r="L600" i="20" s="1"/>
  <c r="Q600" i="20" a="1"/>
  <c r="Q600" i="20" s="1"/>
  <c r="T600" i="20" a="1"/>
  <c r="T600" i="20" s="1"/>
  <c r="Y600" i="20" a="1"/>
  <c r="Y600" i="20" s="1"/>
  <c r="G600" i="20" a="1"/>
  <c r="G600" i="20" s="1"/>
  <c r="J600" i="20" a="1"/>
  <c r="J600" i="20" s="1"/>
  <c r="O600" i="20" a="1"/>
  <c r="O600" i="20" s="1"/>
  <c r="R600" i="20" a="1"/>
  <c r="R600" i="20" s="1"/>
  <c r="W600" i="20" a="1"/>
  <c r="W600" i="20" s="1"/>
  <c r="H600" i="20" a="1"/>
  <c r="H600" i="20" s="1"/>
  <c r="M600" i="20" a="1"/>
  <c r="M600" i="20" s="1"/>
  <c r="P600" i="20" a="1"/>
  <c r="P600" i="20" s="1"/>
  <c r="U600" i="20" a="1"/>
  <c r="U600" i="20" s="1"/>
  <c r="X600" i="20" a="1"/>
  <c r="X600" i="20" s="1"/>
  <c r="G569" i="20" a="1"/>
  <c r="G569" i="20" s="1"/>
  <c r="I569" i="20" a="1"/>
  <c r="I569" i="20" s="1"/>
  <c r="K569" i="20"/>
  <c r="J569" i="20" a="1"/>
  <c r="J569" i="20" s="1"/>
  <c r="M569" i="20" a="1"/>
  <c r="M569" i="20" s="1"/>
  <c r="P569" i="20" a="1"/>
  <c r="P569" i="20" s="1"/>
  <c r="U569" i="20" a="1"/>
  <c r="U569" i="20" s="1"/>
  <c r="X569" i="20" a="1"/>
  <c r="X569" i="20" s="1"/>
  <c r="H569" i="20" a="1"/>
  <c r="H569" i="20" s="1"/>
  <c r="N569" i="20" a="1"/>
  <c r="N569" i="20" s="1"/>
  <c r="S569" i="20" a="1"/>
  <c r="S569" i="20" s="1"/>
  <c r="V569" i="20" a="1"/>
  <c r="V569" i="20" s="1"/>
  <c r="L569" i="20" a="1"/>
  <c r="L569" i="20" s="1"/>
  <c r="Q569" i="20" a="1"/>
  <c r="Q569" i="20" s="1"/>
  <c r="T569" i="20" a="1"/>
  <c r="T569" i="20" s="1"/>
  <c r="Y569" i="20" a="1"/>
  <c r="Y569" i="20" s="1"/>
  <c r="O569" i="20" a="1"/>
  <c r="O569" i="20" s="1"/>
  <c r="R569" i="20" a="1"/>
  <c r="R569" i="20" s="1"/>
  <c r="W569" i="20" a="1"/>
  <c r="W569" i="20" s="1"/>
  <c r="G565" i="20" a="1"/>
  <c r="G565" i="20" s="1"/>
  <c r="K565" i="20"/>
  <c r="J565" i="20" a="1"/>
  <c r="J565" i="20" s="1"/>
  <c r="M565" i="20" a="1"/>
  <c r="M565" i="20" s="1"/>
  <c r="P565" i="20" a="1"/>
  <c r="P565" i="20" s="1"/>
  <c r="U565" i="20" a="1"/>
  <c r="U565" i="20" s="1"/>
  <c r="X565" i="20" a="1"/>
  <c r="X565" i="20" s="1"/>
  <c r="H565" i="20" a="1"/>
  <c r="H565" i="20" s="1"/>
  <c r="N565" i="20" a="1"/>
  <c r="N565" i="20" s="1"/>
  <c r="S565" i="20" a="1"/>
  <c r="S565" i="20" s="1"/>
  <c r="V565" i="20" a="1"/>
  <c r="V565" i="20" s="1"/>
  <c r="L565" i="20" a="1"/>
  <c r="L565" i="20" s="1"/>
  <c r="Q565" i="20" a="1"/>
  <c r="Q565" i="20" s="1"/>
  <c r="T565" i="20" a="1"/>
  <c r="T565" i="20" s="1"/>
  <c r="Y565" i="20" a="1"/>
  <c r="Y565" i="20" s="1"/>
  <c r="O565" i="20" a="1"/>
  <c r="O565" i="20" s="1"/>
  <c r="R565" i="20" a="1"/>
  <c r="R565" i="20" s="1"/>
  <c r="W565" i="20" a="1"/>
  <c r="W565" i="20" s="1"/>
  <c r="G539" i="20" a="1"/>
  <c r="G539" i="20" s="1"/>
  <c r="I539" i="20" a="1"/>
  <c r="I539" i="20" s="1"/>
  <c r="K539" i="20"/>
  <c r="H539" i="20" a="1"/>
  <c r="H539" i="20" s="1"/>
  <c r="N539" i="20" a="1"/>
  <c r="N539" i="20" s="1"/>
  <c r="S539" i="20" a="1"/>
  <c r="S539" i="20" s="1"/>
  <c r="V539" i="20" a="1"/>
  <c r="V539" i="20" s="1"/>
  <c r="L539" i="20" a="1"/>
  <c r="L539" i="20" s="1"/>
  <c r="Q539" i="20" a="1"/>
  <c r="Q539" i="20" s="1"/>
  <c r="T539" i="20" a="1"/>
  <c r="T539" i="20" s="1"/>
  <c r="Y539" i="20" a="1"/>
  <c r="Y539" i="20" s="1"/>
  <c r="O539" i="20" a="1"/>
  <c r="O539" i="20" s="1"/>
  <c r="R539" i="20" a="1"/>
  <c r="R539" i="20" s="1"/>
  <c r="W539" i="20" a="1"/>
  <c r="W539" i="20" s="1"/>
  <c r="J539" i="20" a="1"/>
  <c r="J539" i="20" s="1"/>
  <c r="M539" i="20" a="1"/>
  <c r="M539" i="20" s="1"/>
  <c r="P539" i="20" a="1"/>
  <c r="P539" i="20" s="1"/>
  <c r="U539" i="20" a="1"/>
  <c r="U539" i="20" s="1"/>
  <c r="X539" i="20" a="1"/>
  <c r="X539" i="20" s="1"/>
  <c r="G511" i="20" a="1"/>
  <c r="G511" i="20" s="1"/>
  <c r="I511" i="20" a="1"/>
  <c r="I511" i="20" s="1"/>
  <c r="K511" i="20"/>
  <c r="L511" i="20" a="1"/>
  <c r="L511" i="20" s="1"/>
  <c r="Q511" i="20" a="1"/>
  <c r="Q511" i="20" s="1"/>
  <c r="T511" i="20" a="1"/>
  <c r="T511" i="20" s="1"/>
  <c r="Y511" i="20" a="1"/>
  <c r="Y511" i="20" s="1"/>
  <c r="O511" i="20" a="1"/>
  <c r="O511" i="20" s="1"/>
  <c r="R511" i="20" a="1"/>
  <c r="R511" i="20" s="1"/>
  <c r="W511" i="20" a="1"/>
  <c r="W511" i="20" s="1"/>
  <c r="J511" i="20" a="1"/>
  <c r="J511" i="20" s="1"/>
  <c r="M511" i="20" a="1"/>
  <c r="M511" i="20" s="1"/>
  <c r="P511" i="20" a="1"/>
  <c r="P511" i="20" s="1"/>
  <c r="U511" i="20" a="1"/>
  <c r="U511" i="20" s="1"/>
  <c r="X511" i="20" a="1"/>
  <c r="X511" i="20" s="1"/>
  <c r="H511" i="20" a="1"/>
  <c r="H511" i="20" s="1"/>
  <c r="N511" i="20" a="1"/>
  <c r="N511" i="20" s="1"/>
  <c r="S511" i="20" a="1"/>
  <c r="S511" i="20" s="1"/>
  <c r="V511" i="20" a="1"/>
  <c r="V511" i="20" s="1"/>
  <c r="G486" i="20" a="1"/>
  <c r="G486" i="20" s="1"/>
  <c r="I486" i="20" a="1"/>
  <c r="I486" i="20" s="1"/>
  <c r="K486" i="20" a="1"/>
  <c r="K486" i="20" s="1"/>
  <c r="M486" i="20" a="1"/>
  <c r="M486" i="20" s="1"/>
  <c r="O486" i="20" a="1"/>
  <c r="O486" i="20" s="1"/>
  <c r="Q486" i="20" a="1"/>
  <c r="Q486" i="20" s="1"/>
  <c r="S486" i="20" a="1"/>
  <c r="S486" i="20" s="1"/>
  <c r="U486" i="20" a="1"/>
  <c r="U486" i="20" s="1"/>
  <c r="W486" i="20" a="1"/>
  <c r="W486" i="20" s="1"/>
  <c r="Y486" i="20" a="1"/>
  <c r="Y486" i="20" s="1"/>
  <c r="J486" i="20" a="1"/>
  <c r="J486" i="20" s="1"/>
  <c r="R486" i="20" a="1"/>
  <c r="R486" i="20" s="1"/>
  <c r="T486" i="20" a="1"/>
  <c r="T486" i="20" s="1"/>
  <c r="X486" i="20" a="1"/>
  <c r="X486" i="20" s="1"/>
  <c r="N486" i="20" a="1"/>
  <c r="N486" i="20" s="1"/>
  <c r="H486" i="20" a="1"/>
  <c r="H486" i="20" s="1"/>
  <c r="V486" i="20" a="1"/>
  <c r="V486" i="20" s="1"/>
  <c r="L486" i="20" a="1"/>
  <c r="L486" i="20" s="1"/>
  <c r="P486" i="20" a="1"/>
  <c r="P486" i="20" s="1"/>
  <c r="G460" i="20" a="1"/>
  <c r="G460" i="20" s="1"/>
  <c r="I460" i="20" a="1"/>
  <c r="I460" i="20" s="1"/>
  <c r="K460" i="20" a="1"/>
  <c r="K460" i="20" s="1"/>
  <c r="M460" i="20" a="1"/>
  <c r="M460" i="20" s="1"/>
  <c r="O460" i="20" a="1"/>
  <c r="O460" i="20" s="1"/>
  <c r="Q460" i="20" a="1"/>
  <c r="Q460" i="20" s="1"/>
  <c r="S460" i="20" a="1"/>
  <c r="S460" i="20" s="1"/>
  <c r="U460" i="20" a="1"/>
  <c r="U460" i="20" s="1"/>
  <c r="W460" i="20" a="1"/>
  <c r="W460" i="20" s="1"/>
  <c r="Y460" i="20" a="1"/>
  <c r="Y460" i="20" s="1"/>
  <c r="J460" i="20" a="1"/>
  <c r="J460" i="20" s="1"/>
  <c r="R460" i="20" a="1"/>
  <c r="R460" i="20" s="1"/>
  <c r="H460" i="20" a="1"/>
  <c r="H460" i="20" s="1"/>
  <c r="P460" i="20" a="1"/>
  <c r="P460" i="20" s="1"/>
  <c r="X460" i="20" a="1"/>
  <c r="X460" i="20" s="1"/>
  <c r="T460" i="20" a="1"/>
  <c r="T460" i="20" s="1"/>
  <c r="V460" i="20" a="1"/>
  <c r="V460" i="20" s="1"/>
  <c r="L460" i="20" a="1"/>
  <c r="L460" i="20" s="1"/>
  <c r="N460" i="20" a="1"/>
  <c r="N460" i="20" s="1"/>
  <c r="W656" i="20" a="1"/>
  <c r="W656" i="20" s="1"/>
  <c r="R656" i="20" a="1"/>
  <c r="R656" i="20" s="1"/>
  <c r="O656" i="20" a="1"/>
  <c r="O656" i="20" s="1"/>
  <c r="J656" i="20" a="1"/>
  <c r="J656" i="20" s="1"/>
  <c r="V655" i="20" a="1"/>
  <c r="V655" i="20" s="1"/>
  <c r="S655" i="20" a="1"/>
  <c r="S655" i="20" s="1"/>
  <c r="N655" i="20" a="1"/>
  <c r="N655" i="20" s="1"/>
  <c r="W654" i="20" a="1"/>
  <c r="W654" i="20" s="1"/>
  <c r="R654" i="20" a="1"/>
  <c r="R654" i="20" s="1"/>
  <c r="O654" i="20" a="1"/>
  <c r="O654" i="20" s="1"/>
  <c r="J654" i="20" a="1"/>
  <c r="J654" i="20" s="1"/>
  <c r="V651" i="20" a="1"/>
  <c r="V651" i="20" s="1"/>
  <c r="S651" i="20" a="1"/>
  <c r="S651" i="20" s="1"/>
  <c r="N651" i="20" a="1"/>
  <c r="N651" i="20" s="1"/>
  <c r="H651" i="20" a="1"/>
  <c r="H651" i="20" s="1"/>
  <c r="V649" i="20" a="1"/>
  <c r="V649" i="20" s="1"/>
  <c r="S649" i="20" a="1"/>
  <c r="S649" i="20" s="1"/>
  <c r="N649" i="20" a="1"/>
  <c r="N649" i="20" s="1"/>
  <c r="H649" i="20" a="1"/>
  <c r="H649" i="20" s="1"/>
  <c r="S648" i="20" a="1"/>
  <c r="S648" i="20" s="1"/>
  <c r="O648" i="20" a="1"/>
  <c r="O648" i="20" s="1"/>
  <c r="O663" i="20" s="1" a="1"/>
  <c r="L648" i="20" a="1"/>
  <c r="L648" i="20" s="1"/>
  <c r="L663" i="20" s="1" a="1"/>
  <c r="H648" i="20" a="1"/>
  <c r="H648" i="20" s="1"/>
  <c r="H663" i="20" s="1" a="1"/>
  <c r="Y629" i="20" a="1"/>
  <c r="Y629" i="20" s="1"/>
  <c r="T629" i="20" a="1"/>
  <c r="T629" i="20" s="1"/>
  <c r="I629" i="20" a="1"/>
  <c r="I629" i="20" s="1"/>
  <c r="Y628" i="20" a="1"/>
  <c r="Y628" i="20" s="1"/>
  <c r="T628" i="20" a="1"/>
  <c r="T628" i="20" s="1"/>
  <c r="I628" i="20" a="1"/>
  <c r="I628" i="20" s="1"/>
  <c r="Y627" i="20" a="1"/>
  <c r="Y627" i="20" s="1"/>
  <c r="T627" i="20" a="1"/>
  <c r="T627" i="20" s="1"/>
  <c r="I627" i="20" a="1"/>
  <c r="I627" i="20" s="1"/>
  <c r="Y626" i="20" a="1"/>
  <c r="Y626" i="20" s="1"/>
  <c r="T626" i="20" a="1"/>
  <c r="T626" i="20" s="1"/>
  <c r="I626" i="20" a="1"/>
  <c r="I626" i="20" s="1"/>
  <c r="Y625" i="20" a="1"/>
  <c r="Y625" i="20" s="1"/>
  <c r="T625" i="20" a="1"/>
  <c r="T625" i="20" s="1"/>
  <c r="X624" i="20" a="1"/>
  <c r="X624" i="20" s="1"/>
  <c r="M624" i="20" a="1"/>
  <c r="M624" i="20" s="1"/>
  <c r="T623" i="20" a="1"/>
  <c r="T623" i="20" s="1"/>
  <c r="T621" i="20" a="1"/>
  <c r="T621" i="20" s="1"/>
  <c r="G596" i="20" a="1"/>
  <c r="G596" i="20" s="1"/>
  <c r="I596" i="20" a="1"/>
  <c r="I596" i="20" s="1"/>
  <c r="K596" i="20"/>
  <c r="H596" i="20" a="1"/>
  <c r="H596" i="20" s="1"/>
  <c r="N596" i="20" a="1"/>
  <c r="N596" i="20" s="1"/>
  <c r="S596" i="20" a="1"/>
  <c r="S596" i="20" s="1"/>
  <c r="V596" i="20" a="1"/>
  <c r="V596" i="20" s="1"/>
  <c r="L596" i="20" a="1"/>
  <c r="L596" i="20" s="1"/>
  <c r="Q596" i="20" a="1"/>
  <c r="Q596" i="20" s="1"/>
  <c r="T596" i="20" a="1"/>
  <c r="T596" i="20" s="1"/>
  <c r="Y596" i="20" a="1"/>
  <c r="Y596" i="20" s="1"/>
  <c r="O596" i="20" a="1"/>
  <c r="O596" i="20" s="1"/>
  <c r="R596" i="20" a="1"/>
  <c r="R596" i="20" s="1"/>
  <c r="W596" i="20" a="1"/>
  <c r="W596" i="20" s="1"/>
  <c r="J596" i="20" a="1"/>
  <c r="J596" i="20" s="1"/>
  <c r="M596" i="20" a="1"/>
  <c r="M596" i="20" s="1"/>
  <c r="P596" i="20" a="1"/>
  <c r="P596" i="20" s="1"/>
  <c r="U596" i="20" a="1"/>
  <c r="U596" i="20" s="1"/>
  <c r="X596" i="20" a="1"/>
  <c r="X596" i="20" s="1"/>
  <c r="G592" i="20" a="1"/>
  <c r="G592" i="20" s="1"/>
  <c r="K592" i="20"/>
  <c r="H592" i="20" a="1"/>
  <c r="H592" i="20" s="1"/>
  <c r="N592" i="20" a="1"/>
  <c r="N592" i="20" s="1"/>
  <c r="N607" i="20" s="1" a="1"/>
  <c r="S592" i="20" a="1"/>
  <c r="S592" i="20" s="1"/>
  <c r="V592" i="20" a="1"/>
  <c r="V592" i="20" s="1"/>
  <c r="L592" i="20" a="1"/>
  <c r="L592" i="20" s="1"/>
  <c r="Q592" i="20" a="1"/>
  <c r="Q592" i="20" s="1"/>
  <c r="Q607" i="20" s="1" a="1"/>
  <c r="T592" i="20" a="1"/>
  <c r="T592" i="20" s="1"/>
  <c r="Y592" i="20" a="1"/>
  <c r="Y592" i="20" s="1"/>
  <c r="O592" i="20" a="1"/>
  <c r="O592" i="20" s="1"/>
  <c r="R592" i="20" a="1"/>
  <c r="R592" i="20" s="1"/>
  <c r="R607" i="20" s="1" a="1"/>
  <c r="W592" i="20" a="1"/>
  <c r="W592" i="20" s="1"/>
  <c r="J592" i="20" a="1"/>
  <c r="J592" i="20" s="1"/>
  <c r="M592" i="20" a="1"/>
  <c r="M592" i="20" s="1"/>
  <c r="P592" i="20" a="1"/>
  <c r="P592" i="20" s="1"/>
  <c r="U592" i="20" a="1"/>
  <c r="U592" i="20" s="1"/>
  <c r="X592" i="20" a="1"/>
  <c r="X592" i="20" s="1"/>
  <c r="G568" i="20" a="1"/>
  <c r="G568" i="20" s="1"/>
  <c r="I568" i="20" a="1"/>
  <c r="I568" i="20" s="1"/>
  <c r="K568" i="20"/>
  <c r="L568" i="20" a="1"/>
  <c r="L568" i="20" s="1"/>
  <c r="Q568" i="20" a="1"/>
  <c r="Q568" i="20" s="1"/>
  <c r="T568" i="20" a="1"/>
  <c r="T568" i="20" s="1"/>
  <c r="Y568" i="20" a="1"/>
  <c r="Y568" i="20" s="1"/>
  <c r="O568" i="20" a="1"/>
  <c r="O568" i="20" s="1"/>
  <c r="R568" i="20" a="1"/>
  <c r="R568" i="20" s="1"/>
  <c r="W568" i="20" a="1"/>
  <c r="W568" i="20" s="1"/>
  <c r="J568" i="20" a="1"/>
  <c r="J568" i="20" s="1"/>
  <c r="M568" i="20" a="1"/>
  <c r="M568" i="20" s="1"/>
  <c r="P568" i="20" a="1"/>
  <c r="P568" i="20" s="1"/>
  <c r="U568" i="20" a="1"/>
  <c r="U568" i="20" s="1"/>
  <c r="X568" i="20" a="1"/>
  <c r="X568" i="20" s="1"/>
  <c r="H568" i="20" a="1"/>
  <c r="H568" i="20" s="1"/>
  <c r="N568" i="20" a="1"/>
  <c r="N568" i="20" s="1"/>
  <c r="S568" i="20" a="1"/>
  <c r="S568" i="20" s="1"/>
  <c r="V568" i="20" a="1"/>
  <c r="V568" i="20" s="1"/>
  <c r="G564" i="20" a="1"/>
  <c r="G564" i="20" s="1"/>
  <c r="I564" i="20" a="1"/>
  <c r="I564" i="20" s="1"/>
  <c r="K564" i="20"/>
  <c r="L564" i="20" a="1"/>
  <c r="L564" i="20" s="1"/>
  <c r="L579" i="20" s="1" a="1"/>
  <c r="Q564" i="20" a="1"/>
  <c r="Q564" i="20" s="1"/>
  <c r="Q579" i="20" s="1" a="1"/>
  <c r="T564" i="20" a="1"/>
  <c r="T564" i="20" s="1"/>
  <c r="Y564" i="20" a="1"/>
  <c r="Y564" i="20" s="1"/>
  <c r="Y579" i="20" s="1" a="1"/>
  <c r="O564" i="20" a="1"/>
  <c r="O564" i="20" s="1"/>
  <c r="O579" i="20" s="1" a="1"/>
  <c r="R564" i="20" a="1"/>
  <c r="R564" i="20" s="1"/>
  <c r="W564" i="20" a="1"/>
  <c r="W564" i="20" s="1"/>
  <c r="J564" i="20" a="1"/>
  <c r="J564" i="20" s="1"/>
  <c r="M564" i="20" a="1"/>
  <c r="M564" i="20" s="1"/>
  <c r="P564" i="20" a="1"/>
  <c r="P564" i="20" s="1"/>
  <c r="U564" i="20" a="1"/>
  <c r="U564" i="20" s="1"/>
  <c r="X564" i="20" a="1"/>
  <c r="X564" i="20" s="1"/>
  <c r="X579" i="20" s="1" a="1"/>
  <c r="H564" i="20" a="1"/>
  <c r="H564" i="20" s="1"/>
  <c r="N564" i="20" a="1"/>
  <c r="N564" i="20" s="1"/>
  <c r="S564" i="20" a="1"/>
  <c r="S564" i="20" s="1"/>
  <c r="V564" i="20" a="1"/>
  <c r="V564" i="20" s="1"/>
  <c r="V579" i="20" s="1" a="1"/>
  <c r="G510" i="20" a="1"/>
  <c r="G510" i="20" s="1"/>
  <c r="K510" i="20"/>
  <c r="J510" i="20" a="1"/>
  <c r="J510" i="20" s="1"/>
  <c r="M510" i="20" a="1"/>
  <c r="M510" i="20" s="1"/>
  <c r="P510" i="20" a="1"/>
  <c r="P510" i="20" s="1"/>
  <c r="U510" i="20" a="1"/>
  <c r="U510" i="20" s="1"/>
  <c r="X510" i="20" a="1"/>
  <c r="X510" i="20" s="1"/>
  <c r="H510" i="20" a="1"/>
  <c r="H510" i="20" s="1"/>
  <c r="N510" i="20" a="1"/>
  <c r="N510" i="20" s="1"/>
  <c r="S510" i="20" a="1"/>
  <c r="S510" i="20" s="1"/>
  <c r="V510" i="20" a="1"/>
  <c r="V510" i="20" s="1"/>
  <c r="L510" i="20" a="1"/>
  <c r="L510" i="20" s="1"/>
  <c r="Q510" i="20" a="1"/>
  <c r="Q510" i="20" s="1"/>
  <c r="T510" i="20" a="1"/>
  <c r="T510" i="20" s="1"/>
  <c r="Y510" i="20" a="1"/>
  <c r="Y510" i="20" s="1"/>
  <c r="O510" i="20" a="1"/>
  <c r="O510" i="20" s="1"/>
  <c r="R510" i="20" a="1"/>
  <c r="R510" i="20" s="1"/>
  <c r="W510" i="20" a="1"/>
  <c r="W510" i="20" s="1"/>
  <c r="Y597" i="20" a="1"/>
  <c r="Y597" i="20" s="1"/>
  <c r="T597" i="20" a="1"/>
  <c r="T597" i="20" s="1"/>
  <c r="Q597" i="20" a="1"/>
  <c r="Q597" i="20" s="1"/>
  <c r="L597" i="20" a="1"/>
  <c r="L597" i="20" s="1"/>
  <c r="Y595" i="20" a="1"/>
  <c r="Y595" i="20" s="1"/>
  <c r="T595" i="20" a="1"/>
  <c r="T595" i="20" s="1"/>
  <c r="Q595" i="20" a="1"/>
  <c r="Q595" i="20" s="1"/>
  <c r="L595" i="20" a="1"/>
  <c r="L595" i="20" s="1"/>
  <c r="Y593" i="20" a="1"/>
  <c r="Y593" i="20" s="1"/>
  <c r="T593" i="20" a="1"/>
  <c r="T593" i="20" s="1"/>
  <c r="Q593" i="20" a="1"/>
  <c r="Q593" i="20" s="1"/>
  <c r="L593" i="20" a="1"/>
  <c r="L593" i="20" s="1"/>
  <c r="W573" i="20" a="1"/>
  <c r="W573" i="20" s="1"/>
  <c r="R573" i="20" a="1"/>
  <c r="R573" i="20" s="1"/>
  <c r="O573" i="20" a="1"/>
  <c r="O573" i="20" s="1"/>
  <c r="J573" i="20" a="1"/>
  <c r="J573" i="20" s="1"/>
  <c r="G573" i="20" a="1"/>
  <c r="G573" i="20" s="1"/>
  <c r="V572" i="20" a="1"/>
  <c r="V572" i="20" s="1"/>
  <c r="S572" i="20" a="1"/>
  <c r="S572" i="20" s="1"/>
  <c r="N572" i="20" a="1"/>
  <c r="N572" i="20" s="1"/>
  <c r="K572" i="20" a="1"/>
  <c r="K572" i="20" s="1"/>
  <c r="W571" i="20" a="1"/>
  <c r="W571" i="20" s="1"/>
  <c r="R571" i="20" a="1"/>
  <c r="R571" i="20" s="1"/>
  <c r="O571" i="20" a="1"/>
  <c r="O571" i="20" s="1"/>
  <c r="J571" i="20" a="1"/>
  <c r="J571" i="20" s="1"/>
  <c r="G571" i="20" a="1"/>
  <c r="G571" i="20" s="1"/>
  <c r="V570" i="20" a="1"/>
  <c r="V570" i="20" s="1"/>
  <c r="S570" i="20" a="1"/>
  <c r="S570" i="20" s="1"/>
  <c r="N570" i="20" a="1"/>
  <c r="N570" i="20" s="1"/>
  <c r="K570" i="20" a="1"/>
  <c r="K570" i="20" s="1"/>
  <c r="Y540" i="20" a="1"/>
  <c r="Y540" i="20" s="1"/>
  <c r="T540" i="20" a="1"/>
  <c r="T540" i="20" s="1"/>
  <c r="Q540" i="20" a="1"/>
  <c r="Q540" i="20" s="1"/>
  <c r="L540" i="20" a="1"/>
  <c r="L540" i="20" s="1"/>
  <c r="Y538" i="20" a="1"/>
  <c r="Y538" i="20" s="1"/>
  <c r="T538" i="20" a="1"/>
  <c r="T538" i="20" s="1"/>
  <c r="Q538" i="20" a="1"/>
  <c r="Q538" i="20" s="1"/>
  <c r="L538" i="20" a="1"/>
  <c r="L538" i="20" s="1"/>
  <c r="Y536" i="20" a="1"/>
  <c r="Y536" i="20" s="1"/>
  <c r="T536" i="20" a="1"/>
  <c r="T536" i="20" s="1"/>
  <c r="Q536" i="20" a="1"/>
  <c r="Q536" i="20" s="1"/>
  <c r="Q551" i="20" s="1" a="1"/>
  <c r="L536" i="20" a="1"/>
  <c r="L536" i="20" s="1"/>
  <c r="L551" i="20" s="1" a="1"/>
  <c r="V517" i="20" a="1"/>
  <c r="V517" i="20" s="1"/>
  <c r="S517" i="20" a="1"/>
  <c r="S517" i="20" s="1"/>
  <c r="N517" i="20" a="1"/>
  <c r="N517" i="20" s="1"/>
  <c r="K517" i="20" a="1"/>
  <c r="K517" i="20" s="1"/>
  <c r="W516" i="20" a="1"/>
  <c r="W516" i="20" s="1"/>
  <c r="R516" i="20" a="1"/>
  <c r="R516" i="20" s="1"/>
  <c r="O516" i="20" a="1"/>
  <c r="O516" i="20" s="1"/>
  <c r="J516" i="20" a="1"/>
  <c r="J516" i="20" s="1"/>
  <c r="G516" i="20" a="1"/>
  <c r="G516" i="20" s="1"/>
  <c r="V515" i="20" a="1"/>
  <c r="V515" i="20" s="1"/>
  <c r="S515" i="20" a="1"/>
  <c r="S515" i="20" s="1"/>
  <c r="N515" i="20" a="1"/>
  <c r="N515" i="20" s="1"/>
  <c r="K515" i="20" a="1"/>
  <c r="K515" i="20" s="1"/>
  <c r="W514" i="20" a="1"/>
  <c r="W514" i="20" s="1"/>
  <c r="R514" i="20" a="1"/>
  <c r="R514" i="20" s="1"/>
  <c r="O514" i="20" a="1"/>
  <c r="O514" i="20" s="1"/>
  <c r="J514" i="20" a="1"/>
  <c r="J514" i="20" s="1"/>
  <c r="G514" i="20" a="1"/>
  <c r="G514" i="20" s="1"/>
  <c r="Y487" i="20" a="1"/>
  <c r="Y487" i="20" s="1"/>
  <c r="T487" i="20" a="1"/>
  <c r="T487" i="20" s="1"/>
  <c r="P487" i="20" a="1"/>
  <c r="P487" i="20" s="1"/>
  <c r="L483" i="20" a="1"/>
  <c r="L483" i="20" s="1"/>
  <c r="M482" i="20" a="1"/>
  <c r="M482" i="20" s="1"/>
  <c r="O482" i="20" a="1"/>
  <c r="O482" i="20" s="1"/>
  <c r="Q482" i="20" a="1"/>
  <c r="Q482" i="20" s="1"/>
  <c r="S482" i="20" a="1"/>
  <c r="S482" i="20" s="1"/>
  <c r="U482" i="20" a="1"/>
  <c r="U482" i="20" s="1"/>
  <c r="W482" i="20" a="1"/>
  <c r="W482" i="20" s="1"/>
  <c r="Y482" i="20" a="1"/>
  <c r="Y482" i="20" s="1"/>
  <c r="G482" i="20" a="1"/>
  <c r="G482" i="20" s="1"/>
  <c r="R482" i="20" a="1"/>
  <c r="R482" i="20" s="1"/>
  <c r="X461" i="20" a="1"/>
  <c r="X461" i="20" s="1"/>
  <c r="H461" i="20" a="1"/>
  <c r="H461" i="20" s="1"/>
  <c r="M456" i="20" a="1"/>
  <c r="M456" i="20" s="1"/>
  <c r="O456" i="20" a="1"/>
  <c r="O456" i="20" s="1"/>
  <c r="Q456" i="20" a="1"/>
  <c r="Q456" i="20" s="1"/>
  <c r="S456" i="20" a="1"/>
  <c r="S456" i="20" s="1"/>
  <c r="U456" i="20" a="1"/>
  <c r="U456" i="20" s="1"/>
  <c r="W456" i="20" a="1"/>
  <c r="W456" i="20" s="1"/>
  <c r="Y456" i="20" a="1"/>
  <c r="Y456" i="20" s="1"/>
  <c r="H456" i="20" a="1"/>
  <c r="H456" i="20" s="1"/>
  <c r="K456" i="20"/>
  <c r="N456" i="20" a="1"/>
  <c r="N456" i="20" s="1"/>
  <c r="V456" i="20" a="1"/>
  <c r="V456" i="20" s="1"/>
  <c r="G456" i="20" a="1"/>
  <c r="G456" i="20" s="1"/>
  <c r="R456" i="20" a="1"/>
  <c r="R456" i="20" s="1"/>
  <c r="J456" i="20" a="1"/>
  <c r="J456" i="20" s="1"/>
  <c r="P456" i="20" a="1"/>
  <c r="P456" i="20" s="1"/>
  <c r="X456" i="20" a="1"/>
  <c r="X456" i="20" s="1"/>
  <c r="M454" i="20" a="1"/>
  <c r="M454" i="20" s="1"/>
  <c r="O454" i="20" a="1"/>
  <c r="O454" i="20" s="1"/>
  <c r="Q454" i="20" a="1"/>
  <c r="Q454" i="20" s="1"/>
  <c r="S454" i="20" a="1"/>
  <c r="S454" i="20" s="1"/>
  <c r="U454" i="20" a="1"/>
  <c r="U454" i="20" s="1"/>
  <c r="W454" i="20" a="1"/>
  <c r="W454" i="20" s="1"/>
  <c r="Y454" i="20" a="1"/>
  <c r="Y454" i="20" s="1"/>
  <c r="H454" i="20" a="1"/>
  <c r="H454" i="20" s="1"/>
  <c r="K454" i="20"/>
  <c r="N454" i="20" a="1"/>
  <c r="N454" i="20" s="1"/>
  <c r="V454" i="20" a="1"/>
  <c r="V454" i="20" s="1"/>
  <c r="G454" i="20" a="1"/>
  <c r="G454" i="20" s="1"/>
  <c r="R454" i="20" a="1"/>
  <c r="R454" i="20" s="1"/>
  <c r="J454" i="20" a="1"/>
  <c r="J454" i="20" s="1"/>
  <c r="P454" i="20" a="1"/>
  <c r="P454" i="20" s="1"/>
  <c r="X454" i="20" a="1"/>
  <c r="X454" i="20" s="1"/>
  <c r="G405" i="20" a="1"/>
  <c r="G405" i="20" s="1"/>
  <c r="I405" i="20" a="1"/>
  <c r="I405" i="20" s="1"/>
  <c r="K405" i="20" a="1"/>
  <c r="K405" i="20" s="1"/>
  <c r="M405" i="20" a="1"/>
  <c r="M405" i="20" s="1"/>
  <c r="O405" i="20" a="1"/>
  <c r="O405" i="20" s="1"/>
  <c r="Q405" i="20" a="1"/>
  <c r="Q405" i="20" s="1"/>
  <c r="S405" i="20" a="1"/>
  <c r="S405" i="20" s="1"/>
  <c r="U405" i="20" a="1"/>
  <c r="U405" i="20" s="1"/>
  <c r="W405" i="20" a="1"/>
  <c r="W405" i="20" s="1"/>
  <c r="Y405" i="20" a="1"/>
  <c r="Y405" i="20" s="1"/>
  <c r="N405" i="20" a="1"/>
  <c r="N405" i="20" s="1"/>
  <c r="V405" i="20" a="1"/>
  <c r="V405" i="20" s="1"/>
  <c r="L405" i="20" a="1"/>
  <c r="L405" i="20" s="1"/>
  <c r="T405" i="20" a="1"/>
  <c r="T405" i="20" s="1"/>
  <c r="J405" i="20" a="1"/>
  <c r="J405" i="20" s="1"/>
  <c r="R405" i="20" a="1"/>
  <c r="R405" i="20" s="1"/>
  <c r="H405" i="20" a="1"/>
  <c r="H405" i="20" s="1"/>
  <c r="P405" i="20" a="1"/>
  <c r="P405" i="20" s="1"/>
  <c r="X405" i="20" a="1"/>
  <c r="X405" i="20" s="1"/>
  <c r="G349" i="20" a="1"/>
  <c r="G349" i="20" s="1"/>
  <c r="I349" i="20" a="1"/>
  <c r="I349" i="20" s="1"/>
  <c r="K349" i="20" a="1"/>
  <c r="K349" i="20" s="1"/>
  <c r="M349" i="20" a="1"/>
  <c r="M349" i="20" s="1"/>
  <c r="O349" i="20" a="1"/>
  <c r="O349" i="20" s="1"/>
  <c r="Q349" i="20" a="1"/>
  <c r="Q349" i="20" s="1"/>
  <c r="S349" i="20" a="1"/>
  <c r="S349" i="20" s="1"/>
  <c r="U349" i="20" a="1"/>
  <c r="U349" i="20" s="1"/>
  <c r="W349" i="20" a="1"/>
  <c r="W349" i="20" s="1"/>
  <c r="Y349" i="20" a="1"/>
  <c r="Y349" i="20" s="1"/>
  <c r="J349" i="20" a="1"/>
  <c r="J349" i="20" s="1"/>
  <c r="R349" i="20" a="1"/>
  <c r="R349" i="20" s="1"/>
  <c r="H349" i="20" a="1"/>
  <c r="H349" i="20" s="1"/>
  <c r="P349" i="20" a="1"/>
  <c r="P349" i="20" s="1"/>
  <c r="X349" i="20" a="1"/>
  <c r="X349" i="20" s="1"/>
  <c r="N349" i="20" a="1"/>
  <c r="N349" i="20" s="1"/>
  <c r="V349" i="20" a="1"/>
  <c r="V349" i="20" s="1"/>
  <c r="L349" i="20" a="1"/>
  <c r="L349" i="20" s="1"/>
  <c r="T349" i="20" a="1"/>
  <c r="T349" i="20" s="1"/>
  <c r="V601" i="20" a="1"/>
  <c r="V601" i="20" s="1"/>
  <c r="S601" i="20" a="1"/>
  <c r="S601" i="20" s="1"/>
  <c r="N601" i="20" a="1"/>
  <c r="N601" i="20" s="1"/>
  <c r="K601" i="20" a="1"/>
  <c r="K601" i="20" s="1"/>
  <c r="V599" i="20" a="1"/>
  <c r="V599" i="20" s="1"/>
  <c r="S599" i="20" a="1"/>
  <c r="S599" i="20" s="1"/>
  <c r="N599" i="20" a="1"/>
  <c r="N599" i="20" s="1"/>
  <c r="K599" i="20" a="1"/>
  <c r="K599" i="20" s="1"/>
  <c r="V597" i="20" a="1"/>
  <c r="V597" i="20" s="1"/>
  <c r="S597" i="20" a="1"/>
  <c r="S597" i="20" s="1"/>
  <c r="N597" i="20" a="1"/>
  <c r="N597" i="20" s="1"/>
  <c r="H597" i="20" a="1"/>
  <c r="H597" i="20" s="1"/>
  <c r="V595" i="20" a="1"/>
  <c r="V595" i="20" s="1"/>
  <c r="S595" i="20" a="1"/>
  <c r="S595" i="20" s="1"/>
  <c r="N595" i="20" a="1"/>
  <c r="N595" i="20" s="1"/>
  <c r="H595" i="20" a="1"/>
  <c r="H595" i="20" s="1"/>
  <c r="V593" i="20" a="1"/>
  <c r="V593" i="20" s="1"/>
  <c r="S593" i="20" a="1"/>
  <c r="S593" i="20" s="1"/>
  <c r="N593" i="20" a="1"/>
  <c r="N593" i="20" s="1"/>
  <c r="H593" i="20" a="1"/>
  <c r="H593" i="20" s="1"/>
  <c r="X572" i="20" a="1"/>
  <c r="X572" i="20" s="1"/>
  <c r="U572" i="20" a="1"/>
  <c r="U572" i="20" s="1"/>
  <c r="P572" i="20" a="1"/>
  <c r="P572" i="20" s="1"/>
  <c r="M572" i="20" a="1"/>
  <c r="M572" i="20" s="1"/>
  <c r="H572" i="20" a="1"/>
  <c r="H572" i="20" s="1"/>
  <c r="X570" i="20" a="1"/>
  <c r="X570" i="20" s="1"/>
  <c r="U570" i="20" a="1"/>
  <c r="U570" i="20" s="1"/>
  <c r="P570" i="20" a="1"/>
  <c r="P570" i="20" s="1"/>
  <c r="M570" i="20" a="1"/>
  <c r="M570" i="20" s="1"/>
  <c r="H570" i="20" a="1"/>
  <c r="H570" i="20" s="1"/>
  <c r="V544" i="20" a="1"/>
  <c r="V544" i="20" s="1"/>
  <c r="S544" i="20" a="1"/>
  <c r="S544" i="20" s="1"/>
  <c r="N544" i="20" a="1"/>
  <c r="N544" i="20" s="1"/>
  <c r="V542" i="20" a="1"/>
  <c r="V542" i="20" s="1"/>
  <c r="S542" i="20" a="1"/>
  <c r="S542" i="20" s="1"/>
  <c r="N542" i="20" a="1"/>
  <c r="N542" i="20" s="1"/>
  <c r="V540" i="20" a="1"/>
  <c r="V540" i="20" s="1"/>
  <c r="S540" i="20" a="1"/>
  <c r="S540" i="20" s="1"/>
  <c r="N540" i="20" a="1"/>
  <c r="N540" i="20" s="1"/>
  <c r="H540" i="20" a="1"/>
  <c r="H540" i="20" s="1"/>
  <c r="V538" i="20" a="1"/>
  <c r="V538" i="20" s="1"/>
  <c r="S538" i="20" a="1"/>
  <c r="S538" i="20" s="1"/>
  <c r="N538" i="20" a="1"/>
  <c r="N538" i="20" s="1"/>
  <c r="H538" i="20" a="1"/>
  <c r="H538" i="20" s="1"/>
  <c r="V536" i="20" a="1"/>
  <c r="V536" i="20" s="1"/>
  <c r="V551" i="20" s="1" a="1"/>
  <c r="S536" i="20" a="1"/>
  <c r="S536" i="20" s="1"/>
  <c r="N536" i="20" a="1"/>
  <c r="N536" i="20" s="1"/>
  <c r="H536" i="20" a="1"/>
  <c r="H536" i="20" s="1"/>
  <c r="H551" i="20" s="1" a="1"/>
  <c r="X517" i="20" a="1"/>
  <c r="X517" i="20" s="1"/>
  <c r="U517" i="20" a="1"/>
  <c r="U517" i="20" s="1"/>
  <c r="P517" i="20" a="1"/>
  <c r="P517" i="20" s="1"/>
  <c r="M517" i="20" a="1"/>
  <c r="M517" i="20" s="1"/>
  <c r="H517" i="20" a="1"/>
  <c r="H517" i="20" s="1"/>
  <c r="X515" i="20" a="1"/>
  <c r="X515" i="20" s="1"/>
  <c r="U515" i="20" a="1"/>
  <c r="U515" i="20" s="1"/>
  <c r="P515" i="20" a="1"/>
  <c r="P515" i="20" s="1"/>
  <c r="M515" i="20" a="1"/>
  <c r="M515" i="20" s="1"/>
  <c r="H515" i="20" a="1"/>
  <c r="H515" i="20" s="1"/>
  <c r="V489" i="20" a="1"/>
  <c r="V489" i="20" s="1"/>
  <c r="S489" i="20" a="1"/>
  <c r="S489" i="20" s="1"/>
  <c r="N489" i="20" a="1"/>
  <c r="N489" i="20" s="1"/>
  <c r="V487" i="20" a="1"/>
  <c r="V487" i="20" s="1"/>
  <c r="L487" i="20" a="1"/>
  <c r="L487" i="20" s="1"/>
  <c r="H487" i="20" a="1"/>
  <c r="H487" i="20" s="1"/>
  <c r="M485" i="20" a="1"/>
  <c r="M485" i="20" s="1"/>
  <c r="O485" i="20" a="1"/>
  <c r="O485" i="20" s="1"/>
  <c r="Q485" i="20" a="1"/>
  <c r="Q485" i="20" s="1"/>
  <c r="S485" i="20" a="1"/>
  <c r="S485" i="20" s="1"/>
  <c r="U485" i="20" a="1"/>
  <c r="U485" i="20" s="1"/>
  <c r="W485" i="20" a="1"/>
  <c r="W485" i="20" s="1"/>
  <c r="Y485" i="20" a="1"/>
  <c r="Y485" i="20" s="1"/>
  <c r="H485" i="20" a="1"/>
  <c r="H485" i="20" s="1"/>
  <c r="K485" i="20"/>
  <c r="N485" i="20" a="1"/>
  <c r="N485" i="20" s="1"/>
  <c r="V485" i="20" a="1"/>
  <c r="V485" i="20" s="1"/>
  <c r="P484" i="20" a="1"/>
  <c r="P484" i="20" s="1"/>
  <c r="L484" i="20" a="1"/>
  <c r="L484" i="20" s="1"/>
  <c r="R483" i="20" a="1"/>
  <c r="R483" i="20" s="1"/>
  <c r="J483" i="20" a="1"/>
  <c r="J483" i="20" s="1"/>
  <c r="X482" i="20" a="1"/>
  <c r="X482" i="20" s="1"/>
  <c r="T482" i="20" a="1"/>
  <c r="T482" i="20" s="1"/>
  <c r="I482" i="20" a="1"/>
  <c r="I482" i="20" s="1"/>
  <c r="M480" i="20" a="1"/>
  <c r="M480" i="20" s="1"/>
  <c r="O480" i="20" a="1"/>
  <c r="O480" i="20" s="1"/>
  <c r="Q480" i="20" a="1"/>
  <c r="Q480" i="20" s="1"/>
  <c r="S480" i="20" a="1"/>
  <c r="S480" i="20" s="1"/>
  <c r="U480" i="20" a="1"/>
  <c r="U480" i="20" s="1"/>
  <c r="W480" i="20" a="1"/>
  <c r="W480" i="20" s="1"/>
  <c r="Y480" i="20" a="1"/>
  <c r="Y480" i="20" s="1"/>
  <c r="G480" i="20" a="1"/>
  <c r="G480" i="20" s="1"/>
  <c r="R480" i="20" a="1"/>
  <c r="R480" i="20" s="1"/>
  <c r="G404" i="20" a="1"/>
  <c r="G404" i="20" s="1"/>
  <c r="I404" i="20" a="1"/>
  <c r="I404" i="20" s="1"/>
  <c r="K404" i="20" a="1"/>
  <c r="K404" i="20" s="1"/>
  <c r="M404" i="20" a="1"/>
  <c r="M404" i="20" s="1"/>
  <c r="O404" i="20" a="1"/>
  <c r="O404" i="20" s="1"/>
  <c r="Q404" i="20" a="1"/>
  <c r="Q404" i="20" s="1"/>
  <c r="S404" i="20" a="1"/>
  <c r="S404" i="20" s="1"/>
  <c r="U404" i="20" a="1"/>
  <c r="U404" i="20" s="1"/>
  <c r="W404" i="20" a="1"/>
  <c r="W404" i="20" s="1"/>
  <c r="Y404" i="20" a="1"/>
  <c r="Y404" i="20" s="1"/>
  <c r="J404" i="20" a="1"/>
  <c r="J404" i="20" s="1"/>
  <c r="R404" i="20" a="1"/>
  <c r="R404" i="20" s="1"/>
  <c r="H404" i="20" a="1"/>
  <c r="H404" i="20" s="1"/>
  <c r="P404" i="20" a="1"/>
  <c r="P404" i="20" s="1"/>
  <c r="X404" i="20" a="1"/>
  <c r="X404" i="20" s="1"/>
  <c r="N404" i="20" a="1"/>
  <c r="N404" i="20" s="1"/>
  <c r="V404" i="20" a="1"/>
  <c r="V404" i="20" s="1"/>
  <c r="L404" i="20" a="1"/>
  <c r="L404" i="20" s="1"/>
  <c r="T404" i="20" a="1"/>
  <c r="T404" i="20" s="1"/>
  <c r="G348" i="20" a="1"/>
  <c r="G348" i="20" s="1"/>
  <c r="I348" i="20" a="1"/>
  <c r="I348" i="20" s="1"/>
  <c r="K348" i="20" a="1"/>
  <c r="K348" i="20" s="1"/>
  <c r="M348" i="20" a="1"/>
  <c r="M348" i="20" s="1"/>
  <c r="O348" i="20" a="1"/>
  <c r="O348" i="20" s="1"/>
  <c r="Q348" i="20" a="1"/>
  <c r="Q348" i="20" s="1"/>
  <c r="S348" i="20" a="1"/>
  <c r="S348" i="20" s="1"/>
  <c r="U348" i="20" a="1"/>
  <c r="U348" i="20" s="1"/>
  <c r="W348" i="20" a="1"/>
  <c r="W348" i="20" s="1"/>
  <c r="Y348" i="20" a="1"/>
  <c r="Y348" i="20" s="1"/>
  <c r="N348" i="20" a="1"/>
  <c r="N348" i="20" s="1"/>
  <c r="V348" i="20" a="1"/>
  <c r="V348" i="20" s="1"/>
  <c r="L348" i="20" a="1"/>
  <c r="L348" i="20" s="1"/>
  <c r="T348" i="20" a="1"/>
  <c r="T348" i="20" s="1"/>
  <c r="J348" i="20" a="1"/>
  <c r="J348" i="20" s="1"/>
  <c r="R348" i="20" a="1"/>
  <c r="R348" i="20" s="1"/>
  <c r="H348" i="20" a="1"/>
  <c r="H348" i="20" s="1"/>
  <c r="P348" i="20" a="1"/>
  <c r="P348" i="20" s="1"/>
  <c r="X348" i="20" a="1"/>
  <c r="X348" i="20" s="1"/>
  <c r="X601" i="20" a="1"/>
  <c r="X601" i="20" s="1"/>
  <c r="U601" i="20" a="1"/>
  <c r="U601" i="20" s="1"/>
  <c r="P601" i="20" a="1"/>
  <c r="P601" i="20" s="1"/>
  <c r="M601" i="20" a="1"/>
  <c r="M601" i="20" s="1"/>
  <c r="X599" i="20" a="1"/>
  <c r="X599" i="20" s="1"/>
  <c r="U599" i="20" a="1"/>
  <c r="U599" i="20" s="1"/>
  <c r="P599" i="20" a="1"/>
  <c r="P599" i="20" s="1"/>
  <c r="M599" i="20" a="1"/>
  <c r="M599" i="20" s="1"/>
  <c r="X597" i="20" a="1"/>
  <c r="X597" i="20" s="1"/>
  <c r="U597" i="20" a="1"/>
  <c r="U597" i="20" s="1"/>
  <c r="P597" i="20" a="1"/>
  <c r="P597" i="20" s="1"/>
  <c r="M597" i="20" a="1"/>
  <c r="M597" i="20" s="1"/>
  <c r="X595" i="20" a="1"/>
  <c r="X595" i="20" s="1"/>
  <c r="U595" i="20" a="1"/>
  <c r="U595" i="20" s="1"/>
  <c r="P595" i="20" a="1"/>
  <c r="P595" i="20" s="1"/>
  <c r="M595" i="20" a="1"/>
  <c r="M595" i="20" s="1"/>
  <c r="X593" i="20" a="1"/>
  <c r="X593" i="20" s="1"/>
  <c r="U593" i="20" a="1"/>
  <c r="U593" i="20" s="1"/>
  <c r="P593" i="20" a="1"/>
  <c r="P593" i="20" s="1"/>
  <c r="M593" i="20" a="1"/>
  <c r="M593" i="20" s="1"/>
  <c r="V573" i="20" a="1"/>
  <c r="V573" i="20" s="1"/>
  <c r="S573" i="20" a="1"/>
  <c r="S573" i="20" s="1"/>
  <c r="N573" i="20" a="1"/>
  <c r="N573" i="20" s="1"/>
  <c r="W572" i="20" a="1"/>
  <c r="W572" i="20" s="1"/>
  <c r="R572" i="20" a="1"/>
  <c r="R572" i="20" s="1"/>
  <c r="O572" i="20" a="1"/>
  <c r="O572" i="20" s="1"/>
  <c r="J572" i="20" a="1"/>
  <c r="J572" i="20" s="1"/>
  <c r="V571" i="20" a="1"/>
  <c r="V571" i="20" s="1"/>
  <c r="S571" i="20" a="1"/>
  <c r="S571" i="20" s="1"/>
  <c r="N571" i="20" a="1"/>
  <c r="N571" i="20" s="1"/>
  <c r="W570" i="20" a="1"/>
  <c r="W570" i="20" s="1"/>
  <c r="R570" i="20" a="1"/>
  <c r="R570" i="20" s="1"/>
  <c r="O570" i="20" a="1"/>
  <c r="O570" i="20" s="1"/>
  <c r="J570" i="20" a="1"/>
  <c r="J570" i="20" s="1"/>
  <c r="X540" i="20" a="1"/>
  <c r="X540" i="20" s="1"/>
  <c r="U540" i="20" a="1"/>
  <c r="U540" i="20" s="1"/>
  <c r="P540" i="20" a="1"/>
  <c r="P540" i="20" s="1"/>
  <c r="M540" i="20" a="1"/>
  <c r="M540" i="20" s="1"/>
  <c r="X538" i="20" a="1"/>
  <c r="X538" i="20" s="1"/>
  <c r="U538" i="20" a="1"/>
  <c r="U538" i="20" s="1"/>
  <c r="P538" i="20" a="1"/>
  <c r="P538" i="20" s="1"/>
  <c r="M538" i="20" a="1"/>
  <c r="M538" i="20" s="1"/>
  <c r="X536" i="20" a="1"/>
  <c r="X536" i="20" s="1"/>
  <c r="X551" i="20" s="1" a="1"/>
  <c r="U536" i="20" a="1"/>
  <c r="U536" i="20" s="1"/>
  <c r="U551" i="20" s="1" a="1"/>
  <c r="P536" i="20" a="1"/>
  <c r="P536" i="20" s="1"/>
  <c r="M536" i="20" a="1"/>
  <c r="M536" i="20" s="1"/>
  <c r="W517" i="20" a="1"/>
  <c r="W517" i="20" s="1"/>
  <c r="R517" i="20" a="1"/>
  <c r="R517" i="20" s="1"/>
  <c r="O517" i="20" a="1"/>
  <c r="O517" i="20" s="1"/>
  <c r="J517" i="20" a="1"/>
  <c r="J517" i="20" s="1"/>
  <c r="V516" i="20" a="1"/>
  <c r="V516" i="20" s="1"/>
  <c r="S516" i="20" a="1"/>
  <c r="S516" i="20" s="1"/>
  <c r="N516" i="20" a="1"/>
  <c r="N516" i="20" s="1"/>
  <c r="W515" i="20" a="1"/>
  <c r="W515" i="20" s="1"/>
  <c r="R515" i="20" a="1"/>
  <c r="R515" i="20" s="1"/>
  <c r="O515" i="20" a="1"/>
  <c r="O515" i="20" s="1"/>
  <c r="J515" i="20" a="1"/>
  <c r="J515" i="20" s="1"/>
  <c r="V514" i="20" a="1"/>
  <c r="V514" i="20" s="1"/>
  <c r="S514" i="20" a="1"/>
  <c r="S514" i="20" s="1"/>
  <c r="N514" i="20" a="1"/>
  <c r="N514" i="20" s="1"/>
  <c r="X487" i="20" a="1"/>
  <c r="X487" i="20" s="1"/>
  <c r="U487" i="20" a="1"/>
  <c r="U487" i="20" s="1"/>
  <c r="M483" i="20" a="1"/>
  <c r="M483" i="20" s="1"/>
  <c r="O483" i="20" a="1"/>
  <c r="O483" i="20" s="1"/>
  <c r="Q483" i="20" a="1"/>
  <c r="Q483" i="20" s="1"/>
  <c r="S483" i="20" a="1"/>
  <c r="S483" i="20" s="1"/>
  <c r="U483" i="20" a="1"/>
  <c r="U483" i="20" s="1"/>
  <c r="W483" i="20" a="1"/>
  <c r="W483" i="20" s="1"/>
  <c r="Y483" i="20" a="1"/>
  <c r="Y483" i="20" s="1"/>
  <c r="H483" i="20" a="1"/>
  <c r="H483" i="20" s="1"/>
  <c r="K483" i="20"/>
  <c r="N483" i="20" a="1"/>
  <c r="N483" i="20" s="1"/>
  <c r="V483" i="20" a="1"/>
  <c r="V483" i="20" s="1"/>
  <c r="P482" i="20" a="1"/>
  <c r="P482" i="20" s="1"/>
  <c r="L482" i="20" a="1"/>
  <c r="L482" i="20" s="1"/>
  <c r="H482" i="20" a="1"/>
  <c r="H482" i="20" s="1"/>
  <c r="G461" i="20" a="1"/>
  <c r="G461" i="20" s="1"/>
  <c r="I461" i="20" a="1"/>
  <c r="I461" i="20" s="1"/>
  <c r="K461" i="20" a="1"/>
  <c r="K461" i="20" s="1"/>
  <c r="M461" i="20" a="1"/>
  <c r="M461" i="20" s="1"/>
  <c r="O461" i="20" a="1"/>
  <c r="O461" i="20" s="1"/>
  <c r="Q461" i="20" a="1"/>
  <c r="Q461" i="20" s="1"/>
  <c r="S461" i="20" a="1"/>
  <c r="S461" i="20" s="1"/>
  <c r="U461" i="20" a="1"/>
  <c r="U461" i="20" s="1"/>
  <c r="W461" i="20" a="1"/>
  <c r="W461" i="20" s="1"/>
  <c r="Y461" i="20" a="1"/>
  <c r="Y461" i="20" s="1"/>
  <c r="N461" i="20" a="1"/>
  <c r="N461" i="20" s="1"/>
  <c r="V461" i="20" a="1"/>
  <c r="V461" i="20" s="1"/>
  <c r="L461" i="20" a="1"/>
  <c r="L461" i="20" s="1"/>
  <c r="T461" i="20" a="1"/>
  <c r="T461" i="20" s="1"/>
  <c r="L456" i="20" a="1"/>
  <c r="L456" i="20" s="1"/>
  <c r="G597" i="20" a="1"/>
  <c r="G597" i="20" s="1"/>
  <c r="I597" i="20" a="1"/>
  <c r="I597" i="20" s="1"/>
  <c r="K597" i="20"/>
  <c r="G595" i="20" a="1"/>
  <c r="G595" i="20" s="1"/>
  <c r="I595" i="20" a="1"/>
  <c r="I595" i="20" s="1"/>
  <c r="K595" i="20"/>
  <c r="G593" i="20" a="1"/>
  <c r="G593" i="20" s="1"/>
  <c r="I593" i="20" a="1"/>
  <c r="I593" i="20" s="1"/>
  <c r="K593" i="20"/>
  <c r="G540" i="20" a="1"/>
  <c r="G540" i="20" s="1"/>
  <c r="I540" i="20" a="1"/>
  <c r="I540" i="20" s="1"/>
  <c r="K540" i="20"/>
  <c r="G538" i="20" a="1"/>
  <c r="G538" i="20" s="1"/>
  <c r="I538" i="20" a="1"/>
  <c r="I538" i="20" s="1"/>
  <c r="K538" i="20"/>
  <c r="G536" i="20" a="1"/>
  <c r="G536" i="20" s="1"/>
  <c r="G551" i="20" s="1" a="1"/>
  <c r="K536" i="20"/>
  <c r="G487" i="20" a="1"/>
  <c r="G487" i="20" s="1"/>
  <c r="I487" i="20" a="1"/>
  <c r="I487" i="20" s="1"/>
  <c r="K487" i="20" a="1"/>
  <c r="K487" i="20" s="1"/>
  <c r="M487" i="20" a="1"/>
  <c r="M487" i="20" s="1"/>
  <c r="O487" i="20" a="1"/>
  <c r="O487" i="20" s="1"/>
  <c r="Q487" i="20" a="1"/>
  <c r="Q487" i="20" s="1"/>
  <c r="S487" i="20" a="1"/>
  <c r="S487" i="20" s="1"/>
  <c r="N487" i="20" a="1"/>
  <c r="N487" i="20" s="1"/>
  <c r="M484" i="20" a="1"/>
  <c r="M484" i="20" s="1"/>
  <c r="O484" i="20" a="1"/>
  <c r="O484" i="20" s="1"/>
  <c r="Q484" i="20" a="1"/>
  <c r="Q484" i="20" s="1"/>
  <c r="S484" i="20" a="1"/>
  <c r="S484" i="20" s="1"/>
  <c r="U484" i="20" a="1"/>
  <c r="U484" i="20" s="1"/>
  <c r="W484" i="20" a="1"/>
  <c r="W484" i="20" s="1"/>
  <c r="Y484" i="20" a="1"/>
  <c r="Y484" i="20" s="1"/>
  <c r="G484" i="20" a="1"/>
  <c r="G484" i="20" s="1"/>
  <c r="R484" i="20" a="1"/>
  <c r="R484" i="20" s="1"/>
  <c r="T483" i="20" a="1"/>
  <c r="T483" i="20" s="1"/>
  <c r="P483" i="20" a="1"/>
  <c r="P483" i="20" s="1"/>
  <c r="I483" i="20" a="1"/>
  <c r="I483" i="20" s="1"/>
  <c r="V482" i="20" a="1"/>
  <c r="V482" i="20" s="1"/>
  <c r="K482" i="20"/>
  <c r="M481" i="20" a="1"/>
  <c r="M481" i="20" s="1"/>
  <c r="O481" i="20" a="1"/>
  <c r="O481" i="20" s="1"/>
  <c r="Q481" i="20" a="1"/>
  <c r="Q481" i="20" s="1"/>
  <c r="S481" i="20" a="1"/>
  <c r="S481" i="20" s="1"/>
  <c r="U481" i="20" a="1"/>
  <c r="U481" i="20" s="1"/>
  <c r="W481" i="20" a="1"/>
  <c r="W481" i="20" s="1"/>
  <c r="Y481" i="20" a="1"/>
  <c r="Y481" i="20" s="1"/>
  <c r="H481" i="20" a="1"/>
  <c r="H481" i="20" s="1"/>
  <c r="K481" i="20"/>
  <c r="N481" i="20" a="1"/>
  <c r="N481" i="20" s="1"/>
  <c r="V481" i="20" a="1"/>
  <c r="V481" i="20" s="1"/>
  <c r="P480" i="20" a="1"/>
  <c r="P480" i="20" s="1"/>
  <c r="P495" i="20" s="1" a="1"/>
  <c r="L480" i="20" a="1"/>
  <c r="L480" i="20" s="1"/>
  <c r="H480" i="20" a="1"/>
  <c r="H480" i="20" s="1"/>
  <c r="J461" i="20" a="1"/>
  <c r="J461" i="20" s="1"/>
  <c r="G458" i="20" a="1"/>
  <c r="G458" i="20" s="1"/>
  <c r="I458" i="20" a="1"/>
  <c r="I458" i="20" s="1"/>
  <c r="K458" i="20" a="1"/>
  <c r="K458" i="20" s="1"/>
  <c r="M458" i="20" a="1"/>
  <c r="M458" i="20" s="1"/>
  <c r="O458" i="20" a="1"/>
  <c r="O458" i="20" s="1"/>
  <c r="Q458" i="20" a="1"/>
  <c r="Q458" i="20" s="1"/>
  <c r="S458" i="20" a="1"/>
  <c r="S458" i="20" s="1"/>
  <c r="U458" i="20" a="1"/>
  <c r="U458" i="20" s="1"/>
  <c r="W458" i="20" a="1"/>
  <c r="W458" i="20" s="1"/>
  <c r="Y458" i="20" a="1"/>
  <c r="Y458" i="20" s="1"/>
  <c r="J458" i="20" a="1"/>
  <c r="J458" i="20" s="1"/>
  <c r="R458" i="20" a="1"/>
  <c r="R458" i="20" s="1"/>
  <c r="H458" i="20" a="1"/>
  <c r="H458" i="20" s="1"/>
  <c r="P458" i="20" a="1"/>
  <c r="P458" i="20" s="1"/>
  <c r="X458" i="20" a="1"/>
  <c r="X458" i="20" s="1"/>
  <c r="T456" i="20" a="1"/>
  <c r="T456" i="20" s="1"/>
  <c r="I456" i="20" a="1"/>
  <c r="I456" i="20" s="1"/>
  <c r="T454" i="20" a="1"/>
  <c r="T454" i="20" s="1"/>
  <c r="I454" i="20" a="1"/>
  <c r="I454" i="20" s="1"/>
  <c r="G433" i="20" a="1"/>
  <c r="G433" i="20" s="1"/>
  <c r="I433" i="20" a="1"/>
  <c r="I433" i="20" s="1"/>
  <c r="K433" i="20" a="1"/>
  <c r="K433" i="20" s="1"/>
  <c r="M433" i="20" a="1"/>
  <c r="M433" i="20" s="1"/>
  <c r="O433" i="20" a="1"/>
  <c r="O433" i="20" s="1"/>
  <c r="Q433" i="20" a="1"/>
  <c r="Q433" i="20" s="1"/>
  <c r="S433" i="20" a="1"/>
  <c r="S433" i="20" s="1"/>
  <c r="U433" i="20" a="1"/>
  <c r="U433" i="20" s="1"/>
  <c r="W433" i="20" a="1"/>
  <c r="W433" i="20" s="1"/>
  <c r="Y433" i="20" a="1"/>
  <c r="Y433" i="20" s="1"/>
  <c r="H433" i="20" a="1"/>
  <c r="H433" i="20" s="1"/>
  <c r="P433" i="20" a="1"/>
  <c r="P433" i="20" s="1"/>
  <c r="X433" i="20" a="1"/>
  <c r="X433" i="20" s="1"/>
  <c r="N433" i="20" a="1"/>
  <c r="N433" i="20" s="1"/>
  <c r="V433" i="20" a="1"/>
  <c r="V433" i="20" s="1"/>
  <c r="L433" i="20" a="1"/>
  <c r="L433" i="20" s="1"/>
  <c r="T433" i="20" a="1"/>
  <c r="T433" i="20" s="1"/>
  <c r="J433" i="20" a="1"/>
  <c r="J433" i="20" s="1"/>
  <c r="R433" i="20" a="1"/>
  <c r="R433" i="20" s="1"/>
  <c r="G376" i="20" a="1"/>
  <c r="G376" i="20" s="1"/>
  <c r="I376" i="20" a="1"/>
  <c r="I376" i="20" s="1"/>
  <c r="K376" i="20" a="1"/>
  <c r="K376" i="20" s="1"/>
  <c r="M376" i="20" a="1"/>
  <c r="M376" i="20" s="1"/>
  <c r="O376" i="20" a="1"/>
  <c r="O376" i="20" s="1"/>
  <c r="Q376" i="20" a="1"/>
  <c r="Q376" i="20" s="1"/>
  <c r="S376" i="20" a="1"/>
  <c r="S376" i="20" s="1"/>
  <c r="U376" i="20" a="1"/>
  <c r="U376" i="20" s="1"/>
  <c r="W376" i="20" a="1"/>
  <c r="W376" i="20" s="1"/>
  <c r="Y376" i="20" a="1"/>
  <c r="Y376" i="20" s="1"/>
  <c r="H376" i="20" a="1"/>
  <c r="H376" i="20" s="1"/>
  <c r="P376" i="20" a="1"/>
  <c r="P376" i="20" s="1"/>
  <c r="X376" i="20" a="1"/>
  <c r="X376" i="20" s="1"/>
  <c r="N376" i="20" a="1"/>
  <c r="N376" i="20" s="1"/>
  <c r="V376" i="20" a="1"/>
  <c r="V376" i="20" s="1"/>
  <c r="L376" i="20" a="1"/>
  <c r="L376" i="20" s="1"/>
  <c r="T376" i="20" a="1"/>
  <c r="T376" i="20" s="1"/>
  <c r="J376" i="20" a="1"/>
  <c r="J376" i="20" s="1"/>
  <c r="R376" i="20" a="1"/>
  <c r="R376" i="20" s="1"/>
  <c r="G459" i="20" a="1"/>
  <c r="G459" i="20" s="1"/>
  <c r="I459" i="20" a="1"/>
  <c r="I459" i="20" s="1"/>
  <c r="K459" i="20" a="1"/>
  <c r="K459" i="20" s="1"/>
  <c r="M459" i="20" a="1"/>
  <c r="M459" i="20" s="1"/>
  <c r="O459" i="20" a="1"/>
  <c r="O459" i="20" s="1"/>
  <c r="Q459" i="20" a="1"/>
  <c r="Q459" i="20" s="1"/>
  <c r="S459" i="20" a="1"/>
  <c r="S459" i="20" s="1"/>
  <c r="U459" i="20" a="1"/>
  <c r="U459" i="20" s="1"/>
  <c r="W459" i="20" a="1"/>
  <c r="W459" i="20" s="1"/>
  <c r="Y459" i="20" a="1"/>
  <c r="Y459" i="20" s="1"/>
  <c r="M457" i="20" a="1"/>
  <c r="M457" i="20" s="1"/>
  <c r="O457" i="20" a="1"/>
  <c r="O457" i="20" s="1"/>
  <c r="Q457" i="20" a="1"/>
  <c r="Q457" i="20" s="1"/>
  <c r="S457" i="20" a="1"/>
  <c r="S457" i="20" s="1"/>
  <c r="U457" i="20" a="1"/>
  <c r="U457" i="20" s="1"/>
  <c r="W457" i="20" a="1"/>
  <c r="W457" i="20" s="1"/>
  <c r="Y457" i="20" a="1"/>
  <c r="Y457" i="20" s="1"/>
  <c r="M455" i="20" a="1"/>
  <c r="M455" i="20" s="1"/>
  <c r="O455" i="20" a="1"/>
  <c r="O455" i="20" s="1"/>
  <c r="Q455" i="20" a="1"/>
  <c r="Q455" i="20" s="1"/>
  <c r="S455" i="20" a="1"/>
  <c r="S455" i="20" s="1"/>
  <c r="U455" i="20" a="1"/>
  <c r="U455" i="20" s="1"/>
  <c r="W455" i="20" a="1"/>
  <c r="W455" i="20" s="1"/>
  <c r="Y455" i="20" a="1"/>
  <c r="Y455" i="20" s="1"/>
  <c r="M453" i="20" a="1"/>
  <c r="M453" i="20" s="1"/>
  <c r="O453" i="20" a="1"/>
  <c r="O453" i="20" s="1"/>
  <c r="Q453" i="20" a="1"/>
  <c r="Q453" i="20" s="1"/>
  <c r="S453" i="20" a="1"/>
  <c r="S453" i="20" s="1"/>
  <c r="U453" i="20" a="1"/>
  <c r="U453" i="20" s="1"/>
  <c r="W453" i="20" a="1"/>
  <c r="W453" i="20" s="1"/>
  <c r="Y453" i="20" a="1"/>
  <c r="Y453" i="20" s="1"/>
  <c r="X452" i="20" a="1"/>
  <c r="X452" i="20" s="1"/>
  <c r="X467" i="20" s="1" a="1"/>
  <c r="P452" i="20" a="1"/>
  <c r="P452" i="20" s="1"/>
  <c r="P467" i="20" s="1" a="1"/>
  <c r="J452" i="20" a="1"/>
  <c r="J452" i="20" s="1"/>
  <c r="V432" i="20" a="1"/>
  <c r="V432" i="20" s="1"/>
  <c r="N432" i="20" a="1"/>
  <c r="N432" i="20" s="1"/>
  <c r="R431" i="20" a="1"/>
  <c r="R431" i="20" s="1"/>
  <c r="V430" i="20" a="1"/>
  <c r="V430" i="20" s="1"/>
  <c r="N430" i="20" a="1"/>
  <c r="N430" i="20" s="1"/>
  <c r="R429" i="20" a="1"/>
  <c r="R429" i="20" s="1"/>
  <c r="V428" i="20" a="1"/>
  <c r="V428" i="20" s="1"/>
  <c r="N428" i="20" a="1"/>
  <c r="N428" i="20" s="1"/>
  <c r="K428" i="20"/>
  <c r="H428" i="20" a="1"/>
  <c r="H428" i="20" s="1"/>
  <c r="R427" i="20" a="1"/>
  <c r="R427" i="20" s="1"/>
  <c r="V426" i="20" a="1"/>
  <c r="V426" i="20" s="1"/>
  <c r="N426" i="20" a="1"/>
  <c r="N426" i="20" s="1"/>
  <c r="K426" i="20"/>
  <c r="H426" i="20" a="1"/>
  <c r="H426" i="20" s="1"/>
  <c r="R425" i="20" a="1"/>
  <c r="R425" i="20" s="1"/>
  <c r="V424" i="20" a="1"/>
  <c r="V424" i="20" s="1"/>
  <c r="N424" i="20" a="1"/>
  <c r="N424" i="20" s="1"/>
  <c r="K424" i="20"/>
  <c r="H424" i="20" a="1"/>
  <c r="H424" i="20" s="1"/>
  <c r="X403" i="20" a="1"/>
  <c r="X403" i="20" s="1"/>
  <c r="P403" i="20" a="1"/>
  <c r="P403" i="20" s="1"/>
  <c r="H403" i="20" a="1"/>
  <c r="H403" i="20" s="1"/>
  <c r="G402" i="20" a="1"/>
  <c r="G402" i="20" s="1"/>
  <c r="I402" i="20" a="1"/>
  <c r="I402" i="20" s="1"/>
  <c r="K402" i="20" a="1"/>
  <c r="K402" i="20" s="1"/>
  <c r="M402" i="20" a="1"/>
  <c r="M402" i="20" s="1"/>
  <c r="O402" i="20" a="1"/>
  <c r="O402" i="20" s="1"/>
  <c r="Q402" i="20" a="1"/>
  <c r="Q402" i="20" s="1"/>
  <c r="S402" i="20" a="1"/>
  <c r="S402" i="20" s="1"/>
  <c r="U402" i="20" a="1"/>
  <c r="U402" i="20" s="1"/>
  <c r="W402" i="20" a="1"/>
  <c r="W402" i="20" s="1"/>
  <c r="Y402" i="20" a="1"/>
  <c r="Y402" i="20" s="1"/>
  <c r="X401" i="20" a="1"/>
  <c r="X401" i="20" s="1"/>
  <c r="P401" i="20" a="1"/>
  <c r="P401" i="20" s="1"/>
  <c r="J401" i="20" a="1"/>
  <c r="J401" i="20" s="1"/>
  <c r="M400" i="20" a="1"/>
  <c r="M400" i="20" s="1"/>
  <c r="O400" i="20" a="1"/>
  <c r="O400" i="20" s="1"/>
  <c r="Q400" i="20" a="1"/>
  <c r="Q400" i="20" s="1"/>
  <c r="S400" i="20" a="1"/>
  <c r="S400" i="20" s="1"/>
  <c r="U400" i="20" a="1"/>
  <c r="U400" i="20" s="1"/>
  <c r="W400" i="20" a="1"/>
  <c r="W400" i="20" s="1"/>
  <c r="Y400" i="20" a="1"/>
  <c r="Y400" i="20" s="1"/>
  <c r="X399" i="20" a="1"/>
  <c r="X399" i="20" s="1"/>
  <c r="P399" i="20" a="1"/>
  <c r="P399" i="20" s="1"/>
  <c r="J399" i="20" a="1"/>
  <c r="J399" i="20" s="1"/>
  <c r="M398" i="20" a="1"/>
  <c r="M398" i="20" s="1"/>
  <c r="O398" i="20" a="1"/>
  <c r="O398" i="20" s="1"/>
  <c r="Q398" i="20" a="1"/>
  <c r="Q398" i="20" s="1"/>
  <c r="S398" i="20" a="1"/>
  <c r="S398" i="20" s="1"/>
  <c r="U398" i="20" a="1"/>
  <c r="U398" i="20" s="1"/>
  <c r="W398" i="20" a="1"/>
  <c r="W398" i="20" s="1"/>
  <c r="Y398" i="20" a="1"/>
  <c r="Y398" i="20" s="1"/>
  <c r="X397" i="20" a="1"/>
  <c r="X397" i="20" s="1"/>
  <c r="P397" i="20" a="1"/>
  <c r="P397" i="20" s="1"/>
  <c r="J397" i="20" a="1"/>
  <c r="J397" i="20" s="1"/>
  <c r="M396" i="20" a="1"/>
  <c r="M396" i="20" s="1"/>
  <c r="O396" i="20" a="1"/>
  <c r="O396" i="20" s="1"/>
  <c r="Q396" i="20" a="1"/>
  <c r="Q396" i="20" s="1"/>
  <c r="S396" i="20" a="1"/>
  <c r="S396" i="20" s="1"/>
  <c r="U396" i="20" a="1"/>
  <c r="U396" i="20" s="1"/>
  <c r="W396" i="20" a="1"/>
  <c r="W396" i="20" s="1"/>
  <c r="Y396" i="20" a="1"/>
  <c r="Y396" i="20" s="1"/>
  <c r="V377" i="20" a="1"/>
  <c r="V377" i="20" s="1"/>
  <c r="N377" i="20" a="1"/>
  <c r="N377" i="20" s="1"/>
  <c r="V375" i="20" a="1"/>
  <c r="V375" i="20" s="1"/>
  <c r="N375" i="20" a="1"/>
  <c r="N375" i="20" s="1"/>
  <c r="R374" i="20" a="1"/>
  <c r="R374" i="20" s="1"/>
  <c r="V373" i="20" a="1"/>
  <c r="V373" i="20" s="1"/>
  <c r="N373" i="20" a="1"/>
  <c r="N373" i="20" s="1"/>
  <c r="K373" i="20"/>
  <c r="H373" i="20" a="1"/>
  <c r="H373" i="20" s="1"/>
  <c r="R372" i="20" a="1"/>
  <c r="R372" i="20" s="1"/>
  <c r="V371" i="20" a="1"/>
  <c r="V371" i="20" s="1"/>
  <c r="N371" i="20" a="1"/>
  <c r="N371" i="20" s="1"/>
  <c r="K371" i="20"/>
  <c r="H371" i="20" a="1"/>
  <c r="H371" i="20" s="1"/>
  <c r="R370" i="20" a="1"/>
  <c r="R370" i="20" s="1"/>
  <c r="V369" i="20" a="1"/>
  <c r="V369" i="20" s="1"/>
  <c r="N369" i="20" a="1"/>
  <c r="N369" i="20" s="1"/>
  <c r="K369" i="20"/>
  <c r="H369" i="20" a="1"/>
  <c r="H369" i="20" s="1"/>
  <c r="R368" i="20" a="1"/>
  <c r="R368" i="20" s="1"/>
  <c r="G347" i="20" a="1"/>
  <c r="G347" i="20" s="1"/>
  <c r="I347" i="20" a="1"/>
  <c r="I347" i="20" s="1"/>
  <c r="K347" i="20" a="1"/>
  <c r="K347" i="20" s="1"/>
  <c r="M347" i="20" a="1"/>
  <c r="M347" i="20" s="1"/>
  <c r="O347" i="20" a="1"/>
  <c r="O347" i="20" s="1"/>
  <c r="Q347" i="20" a="1"/>
  <c r="Q347" i="20" s="1"/>
  <c r="S347" i="20" a="1"/>
  <c r="S347" i="20" s="1"/>
  <c r="U347" i="20" a="1"/>
  <c r="U347" i="20" s="1"/>
  <c r="W347" i="20" a="1"/>
  <c r="W347" i="20" s="1"/>
  <c r="Y347" i="20" a="1"/>
  <c r="Y347" i="20" s="1"/>
  <c r="H345" i="20" a="1"/>
  <c r="H345" i="20" s="1"/>
  <c r="J344" i="20" a="1"/>
  <c r="J344" i="20" s="1"/>
  <c r="Y343" i="20" a="1"/>
  <c r="Y343" i="20" s="1"/>
  <c r="V459" i="20" a="1"/>
  <c r="V459" i="20" s="1"/>
  <c r="N459" i="20" a="1"/>
  <c r="N459" i="20" s="1"/>
  <c r="V457" i="20" a="1"/>
  <c r="V457" i="20" s="1"/>
  <c r="N457" i="20" a="1"/>
  <c r="N457" i="20" s="1"/>
  <c r="K457" i="20"/>
  <c r="H457" i="20" a="1"/>
  <c r="H457" i="20" s="1"/>
  <c r="V455" i="20" a="1"/>
  <c r="V455" i="20" s="1"/>
  <c r="N455" i="20" a="1"/>
  <c r="N455" i="20" s="1"/>
  <c r="K455" i="20"/>
  <c r="H455" i="20" a="1"/>
  <c r="H455" i="20" s="1"/>
  <c r="R452" i="20" a="1"/>
  <c r="R452" i="20" s="1"/>
  <c r="R467" i="20" s="1" a="1"/>
  <c r="X432" i="20" a="1"/>
  <c r="X432" i="20" s="1"/>
  <c r="P432" i="20" a="1"/>
  <c r="P432" i="20" s="1"/>
  <c r="H432" i="20" a="1"/>
  <c r="H432" i="20" s="1"/>
  <c r="G431" i="20" a="1"/>
  <c r="G431" i="20" s="1"/>
  <c r="I431" i="20" a="1"/>
  <c r="I431" i="20" s="1"/>
  <c r="K431" i="20" a="1"/>
  <c r="K431" i="20" s="1"/>
  <c r="M431" i="20" a="1"/>
  <c r="M431" i="20" s="1"/>
  <c r="O431" i="20" a="1"/>
  <c r="O431" i="20" s="1"/>
  <c r="Q431" i="20" a="1"/>
  <c r="Q431" i="20" s="1"/>
  <c r="S431" i="20" a="1"/>
  <c r="S431" i="20" s="1"/>
  <c r="U431" i="20" a="1"/>
  <c r="U431" i="20" s="1"/>
  <c r="W431" i="20" a="1"/>
  <c r="W431" i="20" s="1"/>
  <c r="Y431" i="20" a="1"/>
  <c r="Y431" i="20" s="1"/>
  <c r="X430" i="20" a="1"/>
  <c r="X430" i="20" s="1"/>
  <c r="P430" i="20" a="1"/>
  <c r="P430" i="20" s="1"/>
  <c r="H430" i="20" a="1"/>
  <c r="H430" i="20" s="1"/>
  <c r="M429" i="20" a="1"/>
  <c r="M429" i="20" s="1"/>
  <c r="O429" i="20" a="1"/>
  <c r="O429" i="20" s="1"/>
  <c r="Q429" i="20" a="1"/>
  <c r="Q429" i="20" s="1"/>
  <c r="S429" i="20" a="1"/>
  <c r="S429" i="20" s="1"/>
  <c r="U429" i="20" a="1"/>
  <c r="U429" i="20" s="1"/>
  <c r="W429" i="20" a="1"/>
  <c r="W429" i="20" s="1"/>
  <c r="Y429" i="20" a="1"/>
  <c r="Y429" i="20" s="1"/>
  <c r="X428" i="20" a="1"/>
  <c r="X428" i="20" s="1"/>
  <c r="P428" i="20" a="1"/>
  <c r="P428" i="20" s="1"/>
  <c r="J428" i="20" a="1"/>
  <c r="J428" i="20" s="1"/>
  <c r="M427" i="20" a="1"/>
  <c r="M427" i="20" s="1"/>
  <c r="O427" i="20" a="1"/>
  <c r="O427" i="20" s="1"/>
  <c r="Q427" i="20" a="1"/>
  <c r="Q427" i="20" s="1"/>
  <c r="S427" i="20" a="1"/>
  <c r="S427" i="20" s="1"/>
  <c r="U427" i="20" a="1"/>
  <c r="U427" i="20" s="1"/>
  <c r="W427" i="20" a="1"/>
  <c r="W427" i="20" s="1"/>
  <c r="Y427" i="20" a="1"/>
  <c r="Y427" i="20" s="1"/>
  <c r="X426" i="20" a="1"/>
  <c r="X426" i="20" s="1"/>
  <c r="P426" i="20" a="1"/>
  <c r="P426" i="20" s="1"/>
  <c r="J426" i="20" a="1"/>
  <c r="J426" i="20" s="1"/>
  <c r="M425" i="20" a="1"/>
  <c r="M425" i="20" s="1"/>
  <c r="O425" i="20" a="1"/>
  <c r="O425" i="20" s="1"/>
  <c r="Q425" i="20" a="1"/>
  <c r="Q425" i="20" s="1"/>
  <c r="S425" i="20" a="1"/>
  <c r="S425" i="20" s="1"/>
  <c r="U425" i="20" a="1"/>
  <c r="U425" i="20" s="1"/>
  <c r="W425" i="20" a="1"/>
  <c r="W425" i="20" s="1"/>
  <c r="Y425" i="20" a="1"/>
  <c r="Y425" i="20" s="1"/>
  <c r="X424" i="20" a="1"/>
  <c r="X424" i="20" s="1"/>
  <c r="X439" i="20" s="1" a="1"/>
  <c r="P424" i="20" a="1"/>
  <c r="P424" i="20" s="1"/>
  <c r="J424" i="20" a="1"/>
  <c r="J424" i="20" s="1"/>
  <c r="R403" i="20" a="1"/>
  <c r="R403" i="20" s="1"/>
  <c r="V402" i="20" a="1"/>
  <c r="V402" i="20" s="1"/>
  <c r="N402" i="20" a="1"/>
  <c r="N402" i="20" s="1"/>
  <c r="R401" i="20" a="1"/>
  <c r="R401" i="20" s="1"/>
  <c r="V400" i="20" a="1"/>
  <c r="V400" i="20" s="1"/>
  <c r="N400" i="20" a="1"/>
  <c r="N400" i="20" s="1"/>
  <c r="K400" i="20"/>
  <c r="H400" i="20" a="1"/>
  <c r="H400" i="20" s="1"/>
  <c r="R399" i="20" a="1"/>
  <c r="R399" i="20" s="1"/>
  <c r="V398" i="20" a="1"/>
  <c r="V398" i="20" s="1"/>
  <c r="N398" i="20" a="1"/>
  <c r="N398" i="20" s="1"/>
  <c r="K398" i="20"/>
  <c r="H398" i="20" a="1"/>
  <c r="H398" i="20" s="1"/>
  <c r="R397" i="20" a="1"/>
  <c r="R397" i="20" s="1"/>
  <c r="X377" i="20" a="1"/>
  <c r="X377" i="20" s="1"/>
  <c r="P377" i="20" a="1"/>
  <c r="P377" i="20" s="1"/>
  <c r="H377" i="20" a="1"/>
  <c r="H377" i="20" s="1"/>
  <c r="X375" i="20" a="1"/>
  <c r="X375" i="20" s="1"/>
  <c r="P375" i="20" a="1"/>
  <c r="P375" i="20" s="1"/>
  <c r="H375" i="20" a="1"/>
  <c r="H375" i="20" s="1"/>
  <c r="G374" i="20" a="1"/>
  <c r="G374" i="20" s="1"/>
  <c r="I374" i="20" a="1"/>
  <c r="I374" i="20" s="1"/>
  <c r="K374" i="20" a="1"/>
  <c r="K374" i="20" s="1"/>
  <c r="M374" i="20" a="1"/>
  <c r="M374" i="20" s="1"/>
  <c r="O374" i="20" a="1"/>
  <c r="O374" i="20" s="1"/>
  <c r="Q374" i="20" a="1"/>
  <c r="Q374" i="20" s="1"/>
  <c r="S374" i="20" a="1"/>
  <c r="S374" i="20" s="1"/>
  <c r="U374" i="20" a="1"/>
  <c r="U374" i="20" s="1"/>
  <c r="W374" i="20" a="1"/>
  <c r="W374" i="20" s="1"/>
  <c r="Y374" i="20" a="1"/>
  <c r="Y374" i="20" s="1"/>
  <c r="X373" i="20" a="1"/>
  <c r="X373" i="20" s="1"/>
  <c r="P373" i="20" a="1"/>
  <c r="P373" i="20" s="1"/>
  <c r="J373" i="20" a="1"/>
  <c r="J373" i="20" s="1"/>
  <c r="M372" i="20" a="1"/>
  <c r="M372" i="20" s="1"/>
  <c r="O372" i="20" a="1"/>
  <c r="O372" i="20" s="1"/>
  <c r="Q372" i="20" a="1"/>
  <c r="Q372" i="20" s="1"/>
  <c r="S372" i="20" a="1"/>
  <c r="S372" i="20" s="1"/>
  <c r="U372" i="20" a="1"/>
  <c r="U372" i="20" s="1"/>
  <c r="W372" i="20" a="1"/>
  <c r="W372" i="20" s="1"/>
  <c r="Y372" i="20" a="1"/>
  <c r="Y372" i="20" s="1"/>
  <c r="X371" i="20" a="1"/>
  <c r="X371" i="20" s="1"/>
  <c r="P371" i="20" a="1"/>
  <c r="P371" i="20" s="1"/>
  <c r="J371" i="20" a="1"/>
  <c r="J371" i="20" s="1"/>
  <c r="M370" i="20" a="1"/>
  <c r="M370" i="20" s="1"/>
  <c r="O370" i="20" a="1"/>
  <c r="O370" i="20" s="1"/>
  <c r="Q370" i="20" a="1"/>
  <c r="Q370" i="20" s="1"/>
  <c r="S370" i="20" a="1"/>
  <c r="S370" i="20" s="1"/>
  <c r="U370" i="20" a="1"/>
  <c r="U370" i="20" s="1"/>
  <c r="W370" i="20" a="1"/>
  <c r="W370" i="20" s="1"/>
  <c r="Y370" i="20" a="1"/>
  <c r="Y370" i="20" s="1"/>
  <c r="X369" i="20" a="1"/>
  <c r="X369" i="20" s="1"/>
  <c r="P369" i="20" a="1"/>
  <c r="P369" i="20" s="1"/>
  <c r="J369" i="20" a="1"/>
  <c r="J369" i="20" s="1"/>
  <c r="M368" i="20" a="1"/>
  <c r="M368" i="20" s="1"/>
  <c r="O368" i="20" a="1"/>
  <c r="O368" i="20" s="1"/>
  <c r="Q368" i="20" a="1"/>
  <c r="Q368" i="20" s="1"/>
  <c r="S368" i="20" a="1"/>
  <c r="S368" i="20" s="1"/>
  <c r="U368" i="20" a="1"/>
  <c r="U368" i="20" s="1"/>
  <c r="W368" i="20" a="1"/>
  <c r="W368" i="20" s="1"/>
  <c r="Y368" i="20" a="1"/>
  <c r="Y368" i="20" s="1"/>
  <c r="V347" i="20" a="1"/>
  <c r="V347" i="20" s="1"/>
  <c r="N347" i="20" a="1"/>
  <c r="N347" i="20" s="1"/>
  <c r="H346" i="20" a="1"/>
  <c r="H346" i="20" s="1"/>
  <c r="J346" i="20" a="1"/>
  <c r="J346" i="20" s="1"/>
  <c r="L346" i="20" a="1"/>
  <c r="L346" i="20" s="1"/>
  <c r="N346" i="20" a="1"/>
  <c r="N346" i="20" s="1"/>
  <c r="P346" i="20" a="1"/>
  <c r="P346" i="20" s="1"/>
  <c r="R346" i="20" a="1"/>
  <c r="R346" i="20" s="1"/>
  <c r="T346" i="20" a="1"/>
  <c r="T346" i="20" s="1"/>
  <c r="V346" i="20" a="1"/>
  <c r="V346" i="20" s="1"/>
  <c r="X346" i="20" a="1"/>
  <c r="X346" i="20" s="1"/>
  <c r="G346" i="20" a="1"/>
  <c r="G346" i="20" s="1"/>
  <c r="I346" i="20" a="1"/>
  <c r="I346" i="20" s="1"/>
  <c r="K346" i="20" a="1"/>
  <c r="K346" i="20" s="1"/>
  <c r="M346" i="20" a="1"/>
  <c r="M346" i="20" s="1"/>
  <c r="O346" i="20" a="1"/>
  <c r="O346" i="20" s="1"/>
  <c r="Q346" i="20" a="1"/>
  <c r="Q346" i="20" s="1"/>
  <c r="S346" i="20" a="1"/>
  <c r="S346" i="20" s="1"/>
  <c r="U346" i="20" a="1"/>
  <c r="U346" i="20" s="1"/>
  <c r="W346" i="20" a="1"/>
  <c r="W346" i="20" s="1"/>
  <c r="Y346" i="20" a="1"/>
  <c r="Y346" i="20" s="1"/>
  <c r="K345" i="20"/>
  <c r="M343" i="20" a="1"/>
  <c r="M343" i="20" s="1"/>
  <c r="L342" i="20" a="1"/>
  <c r="L342" i="20" s="1"/>
  <c r="N342" i="20" a="1"/>
  <c r="N342" i="20" s="1"/>
  <c r="P342" i="20" a="1"/>
  <c r="P342" i="20" s="1"/>
  <c r="R342" i="20" a="1"/>
  <c r="R342" i="20" s="1"/>
  <c r="T342" i="20" a="1"/>
  <c r="T342" i="20" s="1"/>
  <c r="V342" i="20" a="1"/>
  <c r="V342" i="20" s="1"/>
  <c r="X342" i="20" a="1"/>
  <c r="X342" i="20" s="1"/>
  <c r="O342" i="20" a="1"/>
  <c r="O342" i="20" s="1"/>
  <c r="W342" i="20" a="1"/>
  <c r="W342" i="20" s="1"/>
  <c r="H342" i="20" a="1"/>
  <c r="H342" i="20" s="1"/>
  <c r="S342" i="20" a="1"/>
  <c r="S342" i="20" s="1"/>
  <c r="L341" i="20" a="1"/>
  <c r="L341" i="20" s="1"/>
  <c r="N341" i="20" a="1"/>
  <c r="N341" i="20" s="1"/>
  <c r="P341" i="20" a="1"/>
  <c r="P341" i="20" s="1"/>
  <c r="R341" i="20" a="1"/>
  <c r="R341" i="20" s="1"/>
  <c r="T341" i="20" a="1"/>
  <c r="T341" i="20" s="1"/>
  <c r="V341" i="20" a="1"/>
  <c r="V341" i="20" s="1"/>
  <c r="X341" i="20" a="1"/>
  <c r="X341" i="20" s="1"/>
  <c r="G341" i="20" a="1"/>
  <c r="G341" i="20" s="1"/>
  <c r="J341" i="20" a="1"/>
  <c r="J341" i="20" s="1"/>
  <c r="M341" i="20" a="1"/>
  <c r="M341" i="20" s="1"/>
  <c r="U341" i="20" a="1"/>
  <c r="U341" i="20" s="1"/>
  <c r="H341" i="20" a="1"/>
  <c r="H341" i="20" s="1"/>
  <c r="S341" i="20" a="1"/>
  <c r="S341" i="20" s="1"/>
  <c r="I341" i="20" a="1"/>
  <c r="I341" i="20" s="1"/>
  <c r="O341" i="20" a="1"/>
  <c r="O341" i="20" s="1"/>
  <c r="W341" i="20" a="1"/>
  <c r="W341" i="20" s="1"/>
  <c r="M452" i="20" a="1"/>
  <c r="M452" i="20" s="1"/>
  <c r="O452" i="20" a="1"/>
  <c r="O452" i="20" s="1"/>
  <c r="O467" i="20" s="1" a="1"/>
  <c r="Q452" i="20" a="1"/>
  <c r="Q452" i="20" s="1"/>
  <c r="Q467" i="20" s="1" a="1"/>
  <c r="S452" i="20" a="1"/>
  <c r="S452" i="20" s="1"/>
  <c r="U452" i="20" a="1"/>
  <c r="U452" i="20" s="1"/>
  <c r="W452" i="20" a="1"/>
  <c r="W452" i="20" s="1"/>
  <c r="W467" i="20" s="1" a="1"/>
  <c r="Y452" i="20" a="1"/>
  <c r="Y452" i="20" s="1"/>
  <c r="Y467" i="20" s="1" a="1"/>
  <c r="R432" i="20" a="1"/>
  <c r="R432" i="20" s="1"/>
  <c r="V431" i="20" a="1"/>
  <c r="V431" i="20" s="1"/>
  <c r="N431" i="20" a="1"/>
  <c r="N431" i="20" s="1"/>
  <c r="R430" i="20" a="1"/>
  <c r="R430" i="20" s="1"/>
  <c r="V429" i="20" a="1"/>
  <c r="V429" i="20" s="1"/>
  <c r="N429" i="20" a="1"/>
  <c r="N429" i="20" s="1"/>
  <c r="K429" i="20"/>
  <c r="H429" i="20" a="1"/>
  <c r="H429" i="20" s="1"/>
  <c r="R428" i="20" a="1"/>
  <c r="R428" i="20" s="1"/>
  <c r="V427" i="20" a="1"/>
  <c r="V427" i="20" s="1"/>
  <c r="N427" i="20" a="1"/>
  <c r="N427" i="20" s="1"/>
  <c r="K427" i="20"/>
  <c r="H427" i="20" a="1"/>
  <c r="H427" i="20" s="1"/>
  <c r="R426" i="20" a="1"/>
  <c r="R426" i="20" s="1"/>
  <c r="R424" i="20" a="1"/>
  <c r="R424" i="20" s="1"/>
  <c r="R439" i="20" s="1" a="1"/>
  <c r="G403" i="20" a="1"/>
  <c r="G403" i="20" s="1"/>
  <c r="I403" i="20" a="1"/>
  <c r="I403" i="20" s="1"/>
  <c r="K403" i="20" a="1"/>
  <c r="K403" i="20" s="1"/>
  <c r="M403" i="20" a="1"/>
  <c r="M403" i="20" s="1"/>
  <c r="O403" i="20" a="1"/>
  <c r="O403" i="20" s="1"/>
  <c r="Q403" i="20" a="1"/>
  <c r="Q403" i="20" s="1"/>
  <c r="S403" i="20" a="1"/>
  <c r="S403" i="20" s="1"/>
  <c r="U403" i="20" a="1"/>
  <c r="U403" i="20" s="1"/>
  <c r="W403" i="20" a="1"/>
  <c r="W403" i="20" s="1"/>
  <c r="Y403" i="20" a="1"/>
  <c r="Y403" i="20" s="1"/>
  <c r="M401" i="20" a="1"/>
  <c r="M401" i="20" s="1"/>
  <c r="O401" i="20" a="1"/>
  <c r="O401" i="20" s="1"/>
  <c r="Q401" i="20" a="1"/>
  <c r="Q401" i="20" s="1"/>
  <c r="S401" i="20" a="1"/>
  <c r="S401" i="20" s="1"/>
  <c r="U401" i="20" a="1"/>
  <c r="U401" i="20" s="1"/>
  <c r="W401" i="20" a="1"/>
  <c r="W401" i="20" s="1"/>
  <c r="Y401" i="20" a="1"/>
  <c r="Y401" i="20" s="1"/>
  <c r="M399" i="20" a="1"/>
  <c r="M399" i="20" s="1"/>
  <c r="O399" i="20" a="1"/>
  <c r="O399" i="20" s="1"/>
  <c r="Q399" i="20" a="1"/>
  <c r="Q399" i="20" s="1"/>
  <c r="S399" i="20" a="1"/>
  <c r="S399" i="20" s="1"/>
  <c r="U399" i="20" a="1"/>
  <c r="U399" i="20" s="1"/>
  <c r="W399" i="20" a="1"/>
  <c r="W399" i="20" s="1"/>
  <c r="Y399" i="20" a="1"/>
  <c r="Y399" i="20" s="1"/>
  <c r="M397" i="20" a="1"/>
  <c r="M397" i="20" s="1"/>
  <c r="O397" i="20" a="1"/>
  <c r="O397" i="20" s="1"/>
  <c r="Q397" i="20" a="1"/>
  <c r="Q397" i="20" s="1"/>
  <c r="S397" i="20" a="1"/>
  <c r="S397" i="20" s="1"/>
  <c r="U397" i="20" a="1"/>
  <c r="U397" i="20" s="1"/>
  <c r="W397" i="20" a="1"/>
  <c r="W397" i="20" s="1"/>
  <c r="Y397" i="20" a="1"/>
  <c r="Y397" i="20" s="1"/>
  <c r="R377" i="20" a="1"/>
  <c r="R377" i="20" s="1"/>
  <c r="R375" i="20" a="1"/>
  <c r="R375" i="20" s="1"/>
  <c r="V374" i="20" a="1"/>
  <c r="V374" i="20" s="1"/>
  <c r="N374" i="20" a="1"/>
  <c r="N374" i="20" s="1"/>
  <c r="R373" i="20" a="1"/>
  <c r="R373" i="20" s="1"/>
  <c r="V372" i="20" a="1"/>
  <c r="V372" i="20" s="1"/>
  <c r="N372" i="20" a="1"/>
  <c r="N372" i="20" s="1"/>
  <c r="K372" i="20"/>
  <c r="H372" i="20" a="1"/>
  <c r="H372" i="20" s="1"/>
  <c r="R371" i="20" a="1"/>
  <c r="R371" i="20" s="1"/>
  <c r="V370" i="20" a="1"/>
  <c r="V370" i="20" s="1"/>
  <c r="N370" i="20" a="1"/>
  <c r="N370" i="20" s="1"/>
  <c r="K370" i="20"/>
  <c r="H370" i="20" a="1"/>
  <c r="H370" i="20" s="1"/>
  <c r="R369" i="20" a="1"/>
  <c r="R369" i="20" s="1"/>
  <c r="L345" i="20" a="1"/>
  <c r="L345" i="20" s="1"/>
  <c r="N345" i="20" a="1"/>
  <c r="N345" i="20" s="1"/>
  <c r="P345" i="20" a="1"/>
  <c r="P345" i="20" s="1"/>
  <c r="R345" i="20" a="1"/>
  <c r="R345" i="20" s="1"/>
  <c r="T345" i="20" a="1"/>
  <c r="T345" i="20" s="1"/>
  <c r="V345" i="20" a="1"/>
  <c r="V345" i="20" s="1"/>
  <c r="X345" i="20" a="1"/>
  <c r="X345" i="20" s="1"/>
  <c r="M345" i="20" a="1"/>
  <c r="M345" i="20" s="1"/>
  <c r="O345" i="20" a="1"/>
  <c r="O345" i="20" s="1"/>
  <c r="Q345" i="20" a="1"/>
  <c r="Q345" i="20" s="1"/>
  <c r="S345" i="20" a="1"/>
  <c r="S345" i="20" s="1"/>
  <c r="U345" i="20" a="1"/>
  <c r="U345" i="20" s="1"/>
  <c r="W345" i="20" a="1"/>
  <c r="W345" i="20" s="1"/>
  <c r="Y345" i="20" a="1"/>
  <c r="Y345" i="20" s="1"/>
  <c r="M344" i="20" a="1"/>
  <c r="M344" i="20" s="1"/>
  <c r="L343" i="20" a="1"/>
  <c r="L343" i="20" s="1"/>
  <c r="N343" i="20" a="1"/>
  <c r="N343" i="20" s="1"/>
  <c r="P343" i="20" a="1"/>
  <c r="P343" i="20" s="1"/>
  <c r="R343" i="20" a="1"/>
  <c r="R343" i="20" s="1"/>
  <c r="T343" i="20" a="1"/>
  <c r="T343" i="20" s="1"/>
  <c r="V343" i="20" a="1"/>
  <c r="V343" i="20" s="1"/>
  <c r="X343" i="20" a="1"/>
  <c r="X343" i="20" s="1"/>
  <c r="H343" i="20" a="1"/>
  <c r="H343" i="20" s="1"/>
  <c r="S343" i="20" a="1"/>
  <c r="S343" i="20" s="1"/>
  <c r="O343" i="20" a="1"/>
  <c r="O343" i="20" s="1"/>
  <c r="W343" i="20" a="1"/>
  <c r="W343" i="20" s="1"/>
  <c r="U342" i="20" a="1"/>
  <c r="U342" i="20" s="1"/>
  <c r="J342" i="20" a="1"/>
  <c r="J342" i="20" s="1"/>
  <c r="Y341" i="20" a="1"/>
  <c r="Y341" i="20" s="1"/>
  <c r="V452" i="20" a="1"/>
  <c r="V452" i="20" s="1"/>
  <c r="V467" i="20" s="1" a="1"/>
  <c r="N452" i="20" a="1"/>
  <c r="N452" i="20" s="1"/>
  <c r="K452" i="20"/>
  <c r="H452" i="20" a="1"/>
  <c r="H452" i="20" s="1"/>
  <c r="H467" i="20" s="1" a="1"/>
  <c r="G432" i="20" a="1"/>
  <c r="G432" i="20" s="1"/>
  <c r="I432" i="20" a="1"/>
  <c r="I432" i="20" s="1"/>
  <c r="K432" i="20" a="1"/>
  <c r="K432" i="20" s="1"/>
  <c r="M432" i="20" a="1"/>
  <c r="M432" i="20" s="1"/>
  <c r="O432" i="20" a="1"/>
  <c r="O432" i="20" s="1"/>
  <c r="Q432" i="20" a="1"/>
  <c r="Q432" i="20" s="1"/>
  <c r="S432" i="20" a="1"/>
  <c r="S432" i="20" s="1"/>
  <c r="U432" i="20" a="1"/>
  <c r="U432" i="20" s="1"/>
  <c r="W432" i="20" a="1"/>
  <c r="W432" i="20" s="1"/>
  <c r="Y432" i="20" a="1"/>
  <c r="Y432" i="20" s="1"/>
  <c r="G430" i="20" a="1"/>
  <c r="G430" i="20" s="1"/>
  <c r="I430" i="20" a="1"/>
  <c r="I430" i="20" s="1"/>
  <c r="K430" i="20" a="1"/>
  <c r="K430" i="20" s="1"/>
  <c r="M430" i="20" a="1"/>
  <c r="M430" i="20" s="1"/>
  <c r="O430" i="20" a="1"/>
  <c r="O430" i="20" s="1"/>
  <c r="Q430" i="20" a="1"/>
  <c r="Q430" i="20" s="1"/>
  <c r="S430" i="20" a="1"/>
  <c r="S430" i="20" s="1"/>
  <c r="U430" i="20" a="1"/>
  <c r="U430" i="20" s="1"/>
  <c r="W430" i="20" a="1"/>
  <c r="W430" i="20" s="1"/>
  <c r="Y430" i="20" a="1"/>
  <c r="Y430" i="20" s="1"/>
  <c r="M428" i="20" a="1"/>
  <c r="M428" i="20" s="1"/>
  <c r="O428" i="20" a="1"/>
  <c r="O428" i="20" s="1"/>
  <c r="Q428" i="20" a="1"/>
  <c r="Q428" i="20" s="1"/>
  <c r="S428" i="20" a="1"/>
  <c r="S428" i="20" s="1"/>
  <c r="U428" i="20" a="1"/>
  <c r="U428" i="20" s="1"/>
  <c r="W428" i="20" a="1"/>
  <c r="W428" i="20" s="1"/>
  <c r="Y428" i="20" a="1"/>
  <c r="Y428" i="20" s="1"/>
  <c r="M426" i="20" a="1"/>
  <c r="M426" i="20" s="1"/>
  <c r="O426" i="20" a="1"/>
  <c r="O426" i="20" s="1"/>
  <c r="Q426" i="20" a="1"/>
  <c r="Q426" i="20" s="1"/>
  <c r="S426" i="20" a="1"/>
  <c r="S426" i="20" s="1"/>
  <c r="U426" i="20" a="1"/>
  <c r="U426" i="20" s="1"/>
  <c r="W426" i="20" a="1"/>
  <c r="W426" i="20" s="1"/>
  <c r="Y426" i="20" a="1"/>
  <c r="Y426" i="20" s="1"/>
  <c r="M424" i="20" a="1"/>
  <c r="M424" i="20" s="1"/>
  <c r="O424" i="20" a="1"/>
  <c r="O424" i="20" s="1"/>
  <c r="O439" i="20" s="1" a="1"/>
  <c r="Q424" i="20" a="1"/>
  <c r="Q424" i="20" s="1"/>
  <c r="S424" i="20" a="1"/>
  <c r="S424" i="20" s="1"/>
  <c r="U424" i="20" a="1"/>
  <c r="U424" i="20" s="1"/>
  <c r="W424" i="20" a="1"/>
  <c r="W424" i="20" s="1"/>
  <c r="W439" i="20" s="1" a="1"/>
  <c r="Y424" i="20" a="1"/>
  <c r="Y424" i="20" s="1"/>
  <c r="V403" i="20" a="1"/>
  <c r="V403" i="20" s="1"/>
  <c r="N403" i="20" a="1"/>
  <c r="N403" i="20" s="1"/>
  <c r="V401" i="20" a="1"/>
  <c r="V401" i="20" s="1"/>
  <c r="N401" i="20" a="1"/>
  <c r="N401" i="20" s="1"/>
  <c r="K401" i="20"/>
  <c r="H401" i="20" a="1"/>
  <c r="H401" i="20" s="1"/>
  <c r="V399" i="20" a="1"/>
  <c r="V399" i="20" s="1"/>
  <c r="N399" i="20" a="1"/>
  <c r="N399" i="20" s="1"/>
  <c r="K399" i="20"/>
  <c r="H399" i="20" a="1"/>
  <c r="H399" i="20" s="1"/>
  <c r="V397" i="20" a="1"/>
  <c r="V397" i="20" s="1"/>
  <c r="N397" i="20" a="1"/>
  <c r="N397" i="20" s="1"/>
  <c r="K397" i="20"/>
  <c r="H397" i="20" a="1"/>
  <c r="H397" i="20" s="1"/>
  <c r="G377" i="20" a="1"/>
  <c r="G377" i="20" s="1"/>
  <c r="I377" i="20" a="1"/>
  <c r="I377" i="20" s="1"/>
  <c r="K377" i="20" a="1"/>
  <c r="K377" i="20" s="1"/>
  <c r="M377" i="20" a="1"/>
  <c r="M377" i="20" s="1"/>
  <c r="O377" i="20" a="1"/>
  <c r="O377" i="20" s="1"/>
  <c r="Q377" i="20" a="1"/>
  <c r="Q377" i="20" s="1"/>
  <c r="S377" i="20" a="1"/>
  <c r="S377" i="20" s="1"/>
  <c r="U377" i="20" a="1"/>
  <c r="U377" i="20" s="1"/>
  <c r="W377" i="20" a="1"/>
  <c r="W377" i="20" s="1"/>
  <c r="Y377" i="20" a="1"/>
  <c r="Y377" i="20" s="1"/>
  <c r="G375" i="20" a="1"/>
  <c r="G375" i="20" s="1"/>
  <c r="I375" i="20" a="1"/>
  <c r="I375" i="20" s="1"/>
  <c r="K375" i="20" a="1"/>
  <c r="K375" i="20" s="1"/>
  <c r="M375" i="20" a="1"/>
  <c r="M375" i="20" s="1"/>
  <c r="O375" i="20" a="1"/>
  <c r="O375" i="20" s="1"/>
  <c r="Q375" i="20" a="1"/>
  <c r="Q375" i="20" s="1"/>
  <c r="S375" i="20" a="1"/>
  <c r="S375" i="20" s="1"/>
  <c r="U375" i="20" a="1"/>
  <c r="U375" i="20" s="1"/>
  <c r="W375" i="20" a="1"/>
  <c r="W375" i="20" s="1"/>
  <c r="Y375" i="20" a="1"/>
  <c r="Y375" i="20" s="1"/>
  <c r="M373" i="20" a="1"/>
  <c r="M373" i="20" s="1"/>
  <c r="O373" i="20" a="1"/>
  <c r="O373" i="20" s="1"/>
  <c r="Q373" i="20" a="1"/>
  <c r="Q373" i="20" s="1"/>
  <c r="S373" i="20" a="1"/>
  <c r="S373" i="20" s="1"/>
  <c r="U373" i="20" a="1"/>
  <c r="U373" i="20" s="1"/>
  <c r="W373" i="20" a="1"/>
  <c r="W373" i="20" s="1"/>
  <c r="Y373" i="20" a="1"/>
  <c r="Y373" i="20" s="1"/>
  <c r="M371" i="20" a="1"/>
  <c r="M371" i="20" s="1"/>
  <c r="O371" i="20" a="1"/>
  <c r="O371" i="20" s="1"/>
  <c r="Q371" i="20" a="1"/>
  <c r="Q371" i="20" s="1"/>
  <c r="S371" i="20" a="1"/>
  <c r="S371" i="20" s="1"/>
  <c r="U371" i="20" a="1"/>
  <c r="U371" i="20" s="1"/>
  <c r="W371" i="20" a="1"/>
  <c r="W371" i="20" s="1"/>
  <c r="Y371" i="20" a="1"/>
  <c r="Y371" i="20" s="1"/>
  <c r="M369" i="20" a="1"/>
  <c r="M369" i="20" s="1"/>
  <c r="O369" i="20" a="1"/>
  <c r="O369" i="20" s="1"/>
  <c r="Q369" i="20" a="1"/>
  <c r="Q369" i="20" s="1"/>
  <c r="S369" i="20" a="1"/>
  <c r="S369" i="20" s="1"/>
  <c r="U369" i="20" a="1"/>
  <c r="U369" i="20" s="1"/>
  <c r="W369" i="20" a="1"/>
  <c r="W369" i="20" s="1"/>
  <c r="Y369" i="20" a="1"/>
  <c r="Y369" i="20" s="1"/>
  <c r="I345" i="20" a="1"/>
  <c r="I345" i="20" s="1"/>
  <c r="L344" i="20" a="1"/>
  <c r="L344" i="20" s="1"/>
  <c r="N344" i="20" a="1"/>
  <c r="N344" i="20" s="1"/>
  <c r="P344" i="20" a="1"/>
  <c r="P344" i="20" s="1"/>
  <c r="R344" i="20" a="1"/>
  <c r="R344" i="20" s="1"/>
  <c r="I344" i="20" a="1"/>
  <c r="I344" i="20" s="1"/>
  <c r="O344" i="20" a="1"/>
  <c r="O344" i="20" s="1"/>
  <c r="T344" i="20" a="1"/>
  <c r="T344" i="20" s="1"/>
  <c r="V344" i="20" a="1"/>
  <c r="V344" i="20" s="1"/>
  <c r="X344" i="20" a="1"/>
  <c r="X344" i="20" s="1"/>
  <c r="H344" i="20" a="1"/>
  <c r="H344" i="20" s="1"/>
  <c r="S344" i="20" a="1"/>
  <c r="S344" i="20" s="1"/>
  <c r="U344" i="20" a="1"/>
  <c r="U344" i="20" s="1"/>
  <c r="W344" i="20" a="1"/>
  <c r="W344" i="20" s="1"/>
  <c r="Y344" i="20" a="1"/>
  <c r="Y344" i="20" s="1"/>
  <c r="U343" i="20" a="1"/>
  <c r="U343" i="20" s="1"/>
  <c r="J343" i="20" a="1"/>
  <c r="J343" i="20" s="1"/>
  <c r="M340" i="20" a="1"/>
  <c r="M340" i="20" s="1"/>
  <c r="O340" i="20" a="1"/>
  <c r="O340" i="20" s="1"/>
  <c r="Q340" i="20" a="1"/>
  <c r="Q340" i="20" s="1"/>
  <c r="Q355" i="20" s="1" a="1"/>
  <c r="S340" i="20" a="1"/>
  <c r="S340" i="20" s="1"/>
  <c r="U340" i="20" a="1"/>
  <c r="U340" i="20" s="1"/>
  <c r="W340" i="20" a="1"/>
  <c r="W340" i="20" s="1"/>
  <c r="J340" i="20" a="1"/>
  <c r="J340" i="20" s="1"/>
  <c r="J355" i="20" s="1" a="1"/>
  <c r="P340" i="20" a="1"/>
  <c r="P340" i="20" s="1"/>
  <c r="X340" i="20" a="1"/>
  <c r="X340" i="20" s="1"/>
  <c r="G321" i="20" a="1"/>
  <c r="G321" i="20" s="1"/>
  <c r="I321" i="20" a="1"/>
  <c r="I321" i="20" s="1"/>
  <c r="K321" i="20" a="1"/>
  <c r="K321" i="20" s="1"/>
  <c r="M321" i="20" a="1"/>
  <c r="M321" i="20" s="1"/>
  <c r="O321" i="20" a="1"/>
  <c r="O321" i="20" s="1"/>
  <c r="Q321" i="20" a="1"/>
  <c r="Q321" i="20" s="1"/>
  <c r="S321" i="20" a="1"/>
  <c r="S321" i="20" s="1"/>
  <c r="U321" i="20" a="1"/>
  <c r="U321" i="20" s="1"/>
  <c r="W321" i="20" a="1"/>
  <c r="W321" i="20" s="1"/>
  <c r="Y321" i="20" a="1"/>
  <c r="Y321" i="20" s="1"/>
  <c r="J321" i="20" a="1"/>
  <c r="J321" i="20" s="1"/>
  <c r="R321" i="20" a="1"/>
  <c r="R321" i="20" s="1"/>
  <c r="N321" i="20" a="1"/>
  <c r="N321" i="20" s="1"/>
  <c r="V321" i="20" a="1"/>
  <c r="V321" i="20" s="1"/>
  <c r="G320" i="20" a="1"/>
  <c r="G320" i="20" s="1"/>
  <c r="I320" i="20" a="1"/>
  <c r="I320" i="20" s="1"/>
  <c r="K320" i="20" a="1"/>
  <c r="K320" i="20" s="1"/>
  <c r="M320" i="20" a="1"/>
  <c r="M320" i="20" s="1"/>
  <c r="O320" i="20" a="1"/>
  <c r="O320" i="20" s="1"/>
  <c r="Q320" i="20" a="1"/>
  <c r="Q320" i="20" s="1"/>
  <c r="S320" i="20" a="1"/>
  <c r="S320" i="20" s="1"/>
  <c r="U320" i="20" a="1"/>
  <c r="U320" i="20" s="1"/>
  <c r="W320" i="20" a="1"/>
  <c r="W320" i="20" s="1"/>
  <c r="Y320" i="20" a="1"/>
  <c r="Y320" i="20" s="1"/>
  <c r="N320" i="20" a="1"/>
  <c r="N320" i="20" s="1"/>
  <c r="V320" i="20" a="1"/>
  <c r="V320" i="20" s="1"/>
  <c r="J320" i="20" a="1"/>
  <c r="J320" i="20" s="1"/>
  <c r="R320" i="20" a="1"/>
  <c r="R320" i="20" s="1"/>
  <c r="G319" i="20" a="1"/>
  <c r="G319" i="20" s="1"/>
  <c r="I319" i="20" a="1"/>
  <c r="I319" i="20" s="1"/>
  <c r="K319" i="20" a="1"/>
  <c r="K319" i="20" s="1"/>
  <c r="M319" i="20" a="1"/>
  <c r="M319" i="20" s="1"/>
  <c r="O319" i="20" a="1"/>
  <c r="O319" i="20" s="1"/>
  <c r="Q319" i="20" a="1"/>
  <c r="Q319" i="20" s="1"/>
  <c r="S319" i="20" a="1"/>
  <c r="S319" i="20" s="1"/>
  <c r="U319" i="20" a="1"/>
  <c r="U319" i="20" s="1"/>
  <c r="W319" i="20" a="1"/>
  <c r="W319" i="20" s="1"/>
  <c r="Y319" i="20" a="1"/>
  <c r="Y319" i="20" s="1"/>
  <c r="J319" i="20" a="1"/>
  <c r="J319" i="20" s="1"/>
  <c r="R319" i="20" a="1"/>
  <c r="R319" i="20" s="1"/>
  <c r="N319" i="20" a="1"/>
  <c r="N319" i="20" s="1"/>
  <c r="V319" i="20" a="1"/>
  <c r="V319" i="20" s="1"/>
  <c r="G318" i="20" a="1"/>
  <c r="G318" i="20" s="1"/>
  <c r="I318" i="20" a="1"/>
  <c r="I318" i="20" s="1"/>
  <c r="K318" i="20" a="1"/>
  <c r="K318" i="20" s="1"/>
  <c r="M318" i="20" a="1"/>
  <c r="M318" i="20" s="1"/>
  <c r="O318" i="20" a="1"/>
  <c r="O318" i="20" s="1"/>
  <c r="Q318" i="20" a="1"/>
  <c r="Q318" i="20" s="1"/>
  <c r="S318" i="20" a="1"/>
  <c r="S318" i="20" s="1"/>
  <c r="U318" i="20" a="1"/>
  <c r="U318" i="20" s="1"/>
  <c r="W318" i="20" a="1"/>
  <c r="W318" i="20" s="1"/>
  <c r="Y318" i="20" a="1"/>
  <c r="Y318" i="20" s="1"/>
  <c r="N318" i="20" a="1"/>
  <c r="N318" i="20" s="1"/>
  <c r="V318" i="20" a="1"/>
  <c r="V318" i="20" s="1"/>
  <c r="J318" i="20" a="1"/>
  <c r="J318" i="20" s="1"/>
  <c r="R318" i="20" a="1"/>
  <c r="R318" i="20" s="1"/>
  <c r="M317" i="20" a="1"/>
  <c r="M317" i="20" s="1"/>
  <c r="O317" i="20" a="1"/>
  <c r="O317" i="20" s="1"/>
  <c r="Q317" i="20" a="1"/>
  <c r="Q317" i="20" s="1"/>
  <c r="S317" i="20" a="1"/>
  <c r="S317" i="20" s="1"/>
  <c r="U317" i="20" a="1"/>
  <c r="U317" i="20" s="1"/>
  <c r="W317" i="20" a="1"/>
  <c r="W317" i="20" s="1"/>
  <c r="Y317" i="20" a="1"/>
  <c r="Y317" i="20" s="1"/>
  <c r="G317" i="20" a="1"/>
  <c r="G317" i="20" s="1"/>
  <c r="R317" i="20" a="1"/>
  <c r="R317" i="20" s="1"/>
  <c r="H317" i="20" a="1"/>
  <c r="H317" i="20" s="1"/>
  <c r="K317" i="20"/>
  <c r="N317" i="20" a="1"/>
  <c r="N317" i="20" s="1"/>
  <c r="V317" i="20" a="1"/>
  <c r="V317" i="20" s="1"/>
  <c r="P316" i="20" a="1"/>
  <c r="P316" i="20" s="1"/>
  <c r="J316" i="20" a="1"/>
  <c r="J316" i="20" s="1"/>
  <c r="T340" i="20" a="1"/>
  <c r="T340" i="20" s="1"/>
  <c r="I340" i="20" a="1"/>
  <c r="I340" i="20" s="1"/>
  <c r="P321" i="20" a="1"/>
  <c r="P321" i="20" s="1"/>
  <c r="P320" i="20" a="1"/>
  <c r="P320" i="20" s="1"/>
  <c r="P319" i="20" a="1"/>
  <c r="P319" i="20" s="1"/>
  <c r="P318" i="20" a="1"/>
  <c r="P318" i="20" s="1"/>
  <c r="P317" i="20" a="1"/>
  <c r="P317" i="20" s="1"/>
  <c r="J317" i="20" a="1"/>
  <c r="J317" i="20" s="1"/>
  <c r="L340" i="20" a="1"/>
  <c r="L340" i="20" s="1"/>
  <c r="H340" i="20" a="1"/>
  <c r="H340" i="20" s="1"/>
  <c r="T321" i="20" a="1"/>
  <c r="T321" i="20" s="1"/>
  <c r="T320" i="20" a="1"/>
  <c r="T320" i="20" s="1"/>
  <c r="T319" i="20" a="1"/>
  <c r="T319" i="20" s="1"/>
  <c r="T318" i="20" a="1"/>
  <c r="T318" i="20" s="1"/>
  <c r="T317" i="20" a="1"/>
  <c r="T317" i="20" s="1"/>
  <c r="I317" i="20" a="1"/>
  <c r="I317" i="20" s="1"/>
  <c r="T315" i="20" a="1"/>
  <c r="T315" i="20" s="1"/>
  <c r="Y340" i="20" a="1"/>
  <c r="Y340" i="20" s="1"/>
  <c r="V340" i="20" a="1"/>
  <c r="V340" i="20" s="1"/>
  <c r="V355" i="20" s="1" a="1"/>
  <c r="R340" i="20" a="1"/>
  <c r="R340" i="20" s="1"/>
  <c r="R355" i="20" s="1" a="1"/>
  <c r="K340" i="20"/>
  <c r="G340" i="20" a="1"/>
  <c r="G340" i="20" s="1"/>
  <c r="X321" i="20" a="1"/>
  <c r="X321" i="20" s="1"/>
  <c r="H321" i="20" a="1"/>
  <c r="H321" i="20" s="1"/>
  <c r="X320" i="20" a="1"/>
  <c r="X320" i="20" s="1"/>
  <c r="H320" i="20" a="1"/>
  <c r="H320" i="20" s="1"/>
  <c r="X319" i="20" a="1"/>
  <c r="X319" i="20" s="1"/>
  <c r="H319" i="20" a="1"/>
  <c r="H319" i="20" s="1"/>
  <c r="X318" i="20" a="1"/>
  <c r="X318" i="20" s="1"/>
  <c r="H318" i="20" a="1"/>
  <c r="H318" i="20" s="1"/>
  <c r="X317" i="20" a="1"/>
  <c r="X317" i="20" s="1"/>
  <c r="M316" i="20" a="1"/>
  <c r="M316" i="20" s="1"/>
  <c r="O316" i="20" a="1"/>
  <c r="O316" i="20" s="1"/>
  <c r="Q316" i="20" a="1"/>
  <c r="Q316" i="20" s="1"/>
  <c r="S316" i="20" a="1"/>
  <c r="S316" i="20" s="1"/>
  <c r="U316" i="20" a="1"/>
  <c r="U316" i="20" s="1"/>
  <c r="W316" i="20" a="1"/>
  <c r="W316" i="20" s="1"/>
  <c r="Y316" i="20" a="1"/>
  <c r="Y316" i="20" s="1"/>
  <c r="H316" i="20" a="1"/>
  <c r="H316" i="20" s="1"/>
  <c r="K316" i="20"/>
  <c r="N316" i="20" a="1"/>
  <c r="N316" i="20" s="1"/>
  <c r="V316" i="20" a="1"/>
  <c r="V316" i="20" s="1"/>
  <c r="G316" i="20" a="1"/>
  <c r="G316" i="20" s="1"/>
  <c r="R316" i="20" a="1"/>
  <c r="R316" i="20" s="1"/>
  <c r="M315" i="20" a="1"/>
  <c r="M315" i="20" s="1"/>
  <c r="O315" i="20" a="1"/>
  <c r="O315" i="20" s="1"/>
  <c r="Q315" i="20" a="1"/>
  <c r="Q315" i="20" s="1"/>
  <c r="S315" i="20" a="1"/>
  <c r="S315" i="20" s="1"/>
  <c r="U315" i="20" a="1"/>
  <c r="U315" i="20" s="1"/>
  <c r="W315" i="20" a="1"/>
  <c r="W315" i="20" s="1"/>
  <c r="Y315" i="20" a="1"/>
  <c r="Y315" i="20" s="1"/>
  <c r="G315" i="20" a="1"/>
  <c r="G315" i="20" s="1"/>
  <c r="R315" i="20" a="1"/>
  <c r="R315" i="20" s="1"/>
  <c r="J315" i="20" a="1"/>
  <c r="J315" i="20" s="1"/>
  <c r="P315" i="20" a="1"/>
  <c r="P315" i="20" s="1"/>
  <c r="X315" i="20" a="1"/>
  <c r="X315" i="20" s="1"/>
  <c r="H315" i="20" a="1"/>
  <c r="H315" i="20" s="1"/>
  <c r="K315" i="20"/>
  <c r="N315" i="20" a="1"/>
  <c r="N315" i="20" s="1"/>
  <c r="V315" i="20" a="1"/>
  <c r="V315" i="20" s="1"/>
  <c r="X314" i="20" a="1"/>
  <c r="X314" i="20" s="1"/>
  <c r="P314" i="20" a="1"/>
  <c r="P314" i="20" s="1"/>
  <c r="J314" i="20" a="1"/>
  <c r="J314" i="20" s="1"/>
  <c r="M313" i="20" a="1"/>
  <c r="M313" i="20" s="1"/>
  <c r="O313" i="20" a="1"/>
  <c r="O313" i="20" s="1"/>
  <c r="Q313" i="20" a="1"/>
  <c r="Q313" i="20" s="1"/>
  <c r="S313" i="20" a="1"/>
  <c r="S313" i="20" s="1"/>
  <c r="U313" i="20" a="1"/>
  <c r="U313" i="20" s="1"/>
  <c r="W313" i="20" a="1"/>
  <c r="W313" i="20" s="1"/>
  <c r="Y313" i="20" a="1"/>
  <c r="Y313" i="20" s="1"/>
  <c r="X312" i="20" a="1"/>
  <c r="X312" i="20" s="1"/>
  <c r="P312" i="20" a="1"/>
  <c r="P312" i="20" s="1"/>
  <c r="J312" i="20" a="1"/>
  <c r="J312" i="20" s="1"/>
  <c r="G286" i="20" a="1"/>
  <c r="G286" i="20" s="1"/>
  <c r="K286" i="20"/>
  <c r="O286" i="20" a="1"/>
  <c r="O286" i="20" s="1"/>
  <c r="R286" i="20" a="1"/>
  <c r="R286" i="20" s="1"/>
  <c r="W286" i="20" a="1"/>
  <c r="W286" i="20" s="1"/>
  <c r="H286" i="20" a="1"/>
  <c r="H286" i="20" s="1"/>
  <c r="N286" i="20" a="1"/>
  <c r="N286" i="20" s="1"/>
  <c r="S286" i="20" a="1"/>
  <c r="S286" i="20" s="1"/>
  <c r="V286" i="20" a="1"/>
  <c r="V286" i="20" s="1"/>
  <c r="G285" i="20" a="1"/>
  <c r="G285" i="20" s="1"/>
  <c r="K285" i="20"/>
  <c r="H285" i="20" a="1"/>
  <c r="H285" i="20" s="1"/>
  <c r="N285" i="20" a="1"/>
  <c r="N285" i="20" s="1"/>
  <c r="S285" i="20" a="1"/>
  <c r="S285" i="20" s="1"/>
  <c r="V285" i="20" a="1"/>
  <c r="V285" i="20" s="1"/>
  <c r="O285" i="20" a="1"/>
  <c r="O285" i="20" s="1"/>
  <c r="R285" i="20" a="1"/>
  <c r="R285" i="20" s="1"/>
  <c r="W285" i="20" a="1"/>
  <c r="W285" i="20" s="1"/>
  <c r="J285" i="20" a="1"/>
  <c r="J285" i="20" s="1"/>
  <c r="M285" i="20" a="1"/>
  <c r="M285" i="20" s="1"/>
  <c r="P285" i="20" a="1"/>
  <c r="P285" i="20" s="1"/>
  <c r="U285" i="20" a="1"/>
  <c r="U285" i="20" s="1"/>
  <c r="X285" i="20" a="1"/>
  <c r="X285" i="20" s="1"/>
  <c r="G284" i="20" a="1"/>
  <c r="G284" i="20" s="1"/>
  <c r="I284" i="20" a="1"/>
  <c r="I284" i="20" s="1"/>
  <c r="K284" i="20"/>
  <c r="O284" i="20" a="1"/>
  <c r="O284" i="20" s="1"/>
  <c r="R284" i="20" a="1"/>
  <c r="R284" i="20" s="1"/>
  <c r="W284" i="20" a="1"/>
  <c r="W284" i="20" s="1"/>
  <c r="H284" i="20" a="1"/>
  <c r="H284" i="20" s="1"/>
  <c r="N284" i="20" a="1"/>
  <c r="N284" i="20" s="1"/>
  <c r="S284" i="20" a="1"/>
  <c r="S284" i="20" s="1"/>
  <c r="V284" i="20" a="1"/>
  <c r="V284" i="20" s="1"/>
  <c r="L284" i="20" a="1"/>
  <c r="L284" i="20" s="1"/>
  <c r="Q284" i="20" a="1"/>
  <c r="Q284" i="20" s="1"/>
  <c r="Q299" i="20" s="1" a="1"/>
  <c r="T284" i="20" a="1"/>
  <c r="T284" i="20" s="1"/>
  <c r="Y284" i="20" a="1"/>
  <c r="Y284" i="20" s="1"/>
  <c r="H262" i="20" a="1"/>
  <c r="H262" i="20" s="1"/>
  <c r="M262" i="20" a="1"/>
  <c r="M262" i="20" s="1"/>
  <c r="P262" i="20" a="1"/>
  <c r="P262" i="20" s="1"/>
  <c r="U262" i="20" a="1"/>
  <c r="U262" i="20" s="1"/>
  <c r="X262" i="20" a="1"/>
  <c r="X262" i="20" s="1"/>
  <c r="K262" i="20" a="1"/>
  <c r="K262" i="20" s="1"/>
  <c r="N262" i="20" a="1"/>
  <c r="N262" i="20" s="1"/>
  <c r="S262" i="20" a="1"/>
  <c r="S262" i="20" s="1"/>
  <c r="V262" i="20" a="1"/>
  <c r="V262" i="20" s="1"/>
  <c r="I262" i="20" a="1"/>
  <c r="I262" i="20" s="1"/>
  <c r="L262" i="20" a="1"/>
  <c r="L262" i="20" s="1"/>
  <c r="Q262" i="20" a="1"/>
  <c r="Q262" i="20" s="1"/>
  <c r="T262" i="20" a="1"/>
  <c r="T262" i="20" s="1"/>
  <c r="Y262" i="20" a="1"/>
  <c r="Y262" i="20" s="1"/>
  <c r="G262" i="20" a="1"/>
  <c r="G262" i="20" s="1"/>
  <c r="J262" i="20" a="1"/>
  <c r="J262" i="20" s="1"/>
  <c r="O262" i="20" a="1"/>
  <c r="O262" i="20" s="1"/>
  <c r="R262" i="20" a="1"/>
  <c r="R262" i="20" s="1"/>
  <c r="W262" i="20" a="1"/>
  <c r="W262" i="20" s="1"/>
  <c r="R314" i="20" a="1"/>
  <c r="R314" i="20" s="1"/>
  <c r="V313" i="20" a="1"/>
  <c r="V313" i="20" s="1"/>
  <c r="N313" i="20" a="1"/>
  <c r="N313" i="20" s="1"/>
  <c r="K313" i="20"/>
  <c r="H313" i="20" a="1"/>
  <c r="H313" i="20" s="1"/>
  <c r="R312" i="20" a="1"/>
  <c r="R312" i="20" s="1"/>
  <c r="S293" i="20" a="1"/>
  <c r="S293" i="20" s="1"/>
  <c r="P293" i="20" a="1"/>
  <c r="P293" i="20" s="1"/>
  <c r="Y292" i="20" a="1"/>
  <c r="Y292" i="20" s="1"/>
  <c r="T292" i="20" a="1"/>
  <c r="T292" i="20" s="1"/>
  <c r="Y291" i="20" a="1"/>
  <c r="Y291" i="20" s="1"/>
  <c r="T291" i="20" a="1"/>
  <c r="T291" i="20" s="1"/>
  <c r="Y290" i="20" a="1"/>
  <c r="Y290" i="20" s="1"/>
  <c r="T290" i="20" a="1"/>
  <c r="T290" i="20" s="1"/>
  <c r="Y289" i="20" a="1"/>
  <c r="Y289" i="20" s="1"/>
  <c r="X288" i="20" a="1"/>
  <c r="X288" i="20" s="1"/>
  <c r="G287" i="20" a="1"/>
  <c r="G287" i="20" s="1"/>
  <c r="I287" i="20" a="1"/>
  <c r="I287" i="20" s="1"/>
  <c r="K287" i="20"/>
  <c r="H287" i="20" a="1"/>
  <c r="H287" i="20" s="1"/>
  <c r="N287" i="20" a="1"/>
  <c r="N287" i="20" s="1"/>
  <c r="S287" i="20" a="1"/>
  <c r="S287" i="20" s="1"/>
  <c r="V287" i="20" a="1"/>
  <c r="V287" i="20" s="1"/>
  <c r="O287" i="20" a="1"/>
  <c r="O287" i="20" s="1"/>
  <c r="R287" i="20" a="1"/>
  <c r="R287" i="20" s="1"/>
  <c r="W287" i="20" a="1"/>
  <c r="W287" i="20" s="1"/>
  <c r="U286" i="20" a="1"/>
  <c r="U286" i="20" s="1"/>
  <c r="P286" i="20" a="1"/>
  <c r="P286" i="20" s="1"/>
  <c r="J286" i="20" a="1"/>
  <c r="J286" i="20" s="1"/>
  <c r="Y285" i="20" a="1"/>
  <c r="Y285" i="20" s="1"/>
  <c r="X284" i="20" a="1"/>
  <c r="X284" i="20" s="1"/>
  <c r="M284" i="20" a="1"/>
  <c r="M284" i="20" s="1"/>
  <c r="H264" i="20" a="1"/>
  <c r="H264" i="20" s="1"/>
  <c r="M264" i="20" a="1"/>
  <c r="M264" i="20" s="1"/>
  <c r="P264" i="20" a="1"/>
  <c r="P264" i="20" s="1"/>
  <c r="U264" i="20" a="1"/>
  <c r="U264" i="20" s="1"/>
  <c r="X264" i="20" a="1"/>
  <c r="X264" i="20" s="1"/>
  <c r="I264" i="20" a="1"/>
  <c r="I264" i="20" s="1"/>
  <c r="L264" i="20" a="1"/>
  <c r="L264" i="20" s="1"/>
  <c r="Q264" i="20" a="1"/>
  <c r="Q264" i="20" s="1"/>
  <c r="T264" i="20" a="1"/>
  <c r="T264" i="20" s="1"/>
  <c r="Y264" i="20" a="1"/>
  <c r="Y264" i="20" s="1"/>
  <c r="G264" i="20" a="1"/>
  <c r="G264" i="20" s="1"/>
  <c r="J264" i="20" a="1"/>
  <c r="J264" i="20" s="1"/>
  <c r="O264" i="20" a="1"/>
  <c r="O264" i="20" s="1"/>
  <c r="R264" i="20" a="1"/>
  <c r="R264" i="20" s="1"/>
  <c r="W264" i="20" a="1"/>
  <c r="W264" i="20" s="1"/>
  <c r="G261" i="20" a="1"/>
  <c r="G261" i="20" s="1"/>
  <c r="I261" i="20" a="1"/>
  <c r="I261" i="20" s="1"/>
  <c r="K261" i="20"/>
  <c r="L261" i="20" a="1"/>
  <c r="L261" i="20" s="1"/>
  <c r="Q261" i="20" a="1"/>
  <c r="Q261" i="20" s="1"/>
  <c r="T261" i="20" a="1"/>
  <c r="T261" i="20" s="1"/>
  <c r="Y261" i="20" a="1"/>
  <c r="Y261" i="20" s="1"/>
  <c r="O261" i="20" a="1"/>
  <c r="O261" i="20" s="1"/>
  <c r="R261" i="20" a="1"/>
  <c r="R261" i="20" s="1"/>
  <c r="W261" i="20" a="1"/>
  <c r="W261" i="20" s="1"/>
  <c r="J261" i="20" a="1"/>
  <c r="J261" i="20" s="1"/>
  <c r="M261" i="20" a="1"/>
  <c r="M261" i="20" s="1"/>
  <c r="P261" i="20" a="1"/>
  <c r="P261" i="20" s="1"/>
  <c r="U261" i="20" a="1"/>
  <c r="U261" i="20" s="1"/>
  <c r="X261" i="20" a="1"/>
  <c r="X261" i="20" s="1"/>
  <c r="H261" i="20" a="1"/>
  <c r="H261" i="20" s="1"/>
  <c r="N261" i="20" a="1"/>
  <c r="N261" i="20" s="1"/>
  <c r="S261" i="20" a="1"/>
  <c r="S261" i="20" s="1"/>
  <c r="V261" i="20" a="1"/>
  <c r="V261" i="20" s="1"/>
  <c r="G256" i="20" a="1"/>
  <c r="G256" i="20" s="1"/>
  <c r="I256" i="20" a="1"/>
  <c r="I256" i="20" s="1"/>
  <c r="K256" i="20"/>
  <c r="H256" i="20" a="1"/>
  <c r="H256" i="20" s="1"/>
  <c r="N256" i="20" a="1"/>
  <c r="N256" i="20" s="1"/>
  <c r="S256" i="20" a="1"/>
  <c r="S256" i="20" s="1"/>
  <c r="V256" i="20" a="1"/>
  <c r="V256" i="20" s="1"/>
  <c r="P256" i="20" a="1"/>
  <c r="P256" i="20" s="1"/>
  <c r="T256" i="20" a="1"/>
  <c r="T256" i="20" s="1"/>
  <c r="W256" i="20" a="1"/>
  <c r="W256" i="20" s="1"/>
  <c r="M256" i="20" a="1"/>
  <c r="M256" i="20" s="1"/>
  <c r="M271" i="20" s="1" a="1"/>
  <c r="Q256" i="20" a="1"/>
  <c r="Q256" i="20" s="1"/>
  <c r="X256" i="20" a="1"/>
  <c r="X256" i="20" s="1"/>
  <c r="J256" i="20" a="1"/>
  <c r="J256" i="20" s="1"/>
  <c r="R256" i="20" a="1"/>
  <c r="R256" i="20" s="1"/>
  <c r="R271" i="20" s="1" a="1"/>
  <c r="U256" i="20" a="1"/>
  <c r="U256" i="20" s="1"/>
  <c r="Y256" i="20" a="1"/>
  <c r="Y256" i="20" s="1"/>
  <c r="L256" i="20" a="1"/>
  <c r="L256" i="20" s="1"/>
  <c r="O256" i="20" a="1"/>
  <c r="O256" i="20" s="1"/>
  <c r="H235" i="20" a="1"/>
  <c r="H235" i="20" s="1"/>
  <c r="M235" i="20" a="1"/>
  <c r="M235" i="20" s="1"/>
  <c r="P235" i="20" a="1"/>
  <c r="P235" i="20" s="1"/>
  <c r="U235" i="20" a="1"/>
  <c r="U235" i="20" s="1"/>
  <c r="X235" i="20" a="1"/>
  <c r="X235" i="20" s="1"/>
  <c r="G235" i="20" a="1"/>
  <c r="G235" i="20" s="1"/>
  <c r="K235" i="20" a="1"/>
  <c r="K235" i="20" s="1"/>
  <c r="R235" i="20" a="1"/>
  <c r="R235" i="20" s="1"/>
  <c r="V235" i="20" a="1"/>
  <c r="V235" i="20" s="1"/>
  <c r="Y235" i="20" a="1"/>
  <c r="Y235" i="20" s="1"/>
  <c r="L235" i="20" a="1"/>
  <c r="L235" i="20" s="1"/>
  <c r="O235" i="20" a="1"/>
  <c r="O235" i="20" s="1"/>
  <c r="S235" i="20" a="1"/>
  <c r="S235" i="20" s="1"/>
  <c r="I235" i="20" a="1"/>
  <c r="I235" i="20" s="1"/>
  <c r="T235" i="20" a="1"/>
  <c r="T235" i="20" s="1"/>
  <c r="W235" i="20" a="1"/>
  <c r="W235" i="20" s="1"/>
  <c r="J235" i="20" a="1"/>
  <c r="J235" i="20" s="1"/>
  <c r="N235" i="20" a="1"/>
  <c r="N235" i="20" s="1"/>
  <c r="Q235" i="20" a="1"/>
  <c r="Q235" i="20" s="1"/>
  <c r="M314" i="20" a="1"/>
  <c r="M314" i="20" s="1"/>
  <c r="O314" i="20" a="1"/>
  <c r="O314" i="20" s="1"/>
  <c r="Q314" i="20" a="1"/>
  <c r="Q314" i="20" s="1"/>
  <c r="S314" i="20" a="1"/>
  <c r="S314" i="20" s="1"/>
  <c r="U314" i="20" a="1"/>
  <c r="U314" i="20" s="1"/>
  <c r="W314" i="20" a="1"/>
  <c r="W314" i="20" s="1"/>
  <c r="Y314" i="20" a="1"/>
  <c r="Y314" i="20" s="1"/>
  <c r="X313" i="20" a="1"/>
  <c r="X313" i="20" s="1"/>
  <c r="P313" i="20" a="1"/>
  <c r="P313" i="20" s="1"/>
  <c r="J313" i="20" a="1"/>
  <c r="J313" i="20" s="1"/>
  <c r="M312" i="20" a="1"/>
  <c r="M312" i="20" s="1"/>
  <c r="O312" i="20" a="1"/>
  <c r="O312" i="20" s="1"/>
  <c r="O327" i="20" s="1" a="1"/>
  <c r="Q312" i="20" a="1"/>
  <c r="Q312" i="20" s="1"/>
  <c r="Q327" i="20" s="1" a="1"/>
  <c r="S312" i="20" a="1"/>
  <c r="S312" i="20" s="1"/>
  <c r="U312" i="20" a="1"/>
  <c r="U312" i="20" s="1"/>
  <c r="W312" i="20" a="1"/>
  <c r="W312" i="20" s="1"/>
  <c r="W327" i="20" s="1" a="1"/>
  <c r="Y312" i="20" a="1"/>
  <c r="Y312" i="20" s="1"/>
  <c r="Y327" i="20" s="1" a="1"/>
  <c r="G288" i="20" a="1"/>
  <c r="G288" i="20" s="1"/>
  <c r="I288" i="20" a="1"/>
  <c r="I288" i="20" s="1"/>
  <c r="K288" i="20"/>
  <c r="O288" i="20" a="1"/>
  <c r="O288" i="20" s="1"/>
  <c r="R288" i="20" a="1"/>
  <c r="R288" i="20" s="1"/>
  <c r="W288" i="20" a="1"/>
  <c r="W288" i="20" s="1"/>
  <c r="H288" i="20" a="1"/>
  <c r="H288" i="20" s="1"/>
  <c r="N288" i="20" a="1"/>
  <c r="N288" i="20" s="1"/>
  <c r="S288" i="20" a="1"/>
  <c r="S288" i="20" s="1"/>
  <c r="V288" i="20" a="1"/>
  <c r="V288" i="20" s="1"/>
  <c r="U287" i="20" a="1"/>
  <c r="U287" i="20" s="1"/>
  <c r="P287" i="20" a="1"/>
  <c r="P287" i="20" s="1"/>
  <c r="J287" i="20" a="1"/>
  <c r="J287" i="20" s="1"/>
  <c r="Y286" i="20" a="1"/>
  <c r="Y286" i="20" s="1"/>
  <c r="T286" i="20" a="1"/>
  <c r="T286" i="20" s="1"/>
  <c r="L285" i="20" a="1"/>
  <c r="L285" i="20" s="1"/>
  <c r="N264" i="20" a="1"/>
  <c r="N264" i="20" s="1"/>
  <c r="G260" i="20" a="1"/>
  <c r="G260" i="20" s="1"/>
  <c r="I260" i="20" a="1"/>
  <c r="I260" i="20" s="1"/>
  <c r="K260" i="20"/>
  <c r="J260" i="20" a="1"/>
  <c r="J260" i="20" s="1"/>
  <c r="M260" i="20" a="1"/>
  <c r="M260" i="20" s="1"/>
  <c r="P260" i="20" a="1"/>
  <c r="P260" i="20" s="1"/>
  <c r="U260" i="20" a="1"/>
  <c r="U260" i="20" s="1"/>
  <c r="X260" i="20" a="1"/>
  <c r="X260" i="20" s="1"/>
  <c r="H260" i="20" a="1"/>
  <c r="H260" i="20" s="1"/>
  <c r="N260" i="20" a="1"/>
  <c r="N260" i="20" s="1"/>
  <c r="S260" i="20" a="1"/>
  <c r="S260" i="20" s="1"/>
  <c r="V260" i="20" a="1"/>
  <c r="V260" i="20" s="1"/>
  <c r="L260" i="20" a="1"/>
  <c r="L260" i="20" s="1"/>
  <c r="Q260" i="20" a="1"/>
  <c r="Q260" i="20" s="1"/>
  <c r="T260" i="20" a="1"/>
  <c r="T260" i="20" s="1"/>
  <c r="Y260" i="20" a="1"/>
  <c r="Y260" i="20" s="1"/>
  <c r="O260" i="20" a="1"/>
  <c r="O260" i="20" s="1"/>
  <c r="R260" i="20" a="1"/>
  <c r="R260" i="20" s="1"/>
  <c r="W260" i="20" a="1"/>
  <c r="W260" i="20" s="1"/>
  <c r="V314" i="20" a="1"/>
  <c r="V314" i="20" s="1"/>
  <c r="N314" i="20" a="1"/>
  <c r="N314" i="20" s="1"/>
  <c r="K314" i="20"/>
  <c r="H314" i="20" a="1"/>
  <c r="H314" i="20" s="1"/>
  <c r="R313" i="20" a="1"/>
  <c r="R313" i="20" s="1"/>
  <c r="G313" i="20" a="1"/>
  <c r="G313" i="20" s="1"/>
  <c r="V312" i="20" a="1"/>
  <c r="V312" i="20" s="1"/>
  <c r="V327" i="20" s="1" a="1"/>
  <c r="N312" i="20" a="1"/>
  <c r="N312" i="20" s="1"/>
  <c r="N327" i="20" s="1" a="1"/>
  <c r="K312" i="20"/>
  <c r="H312" i="20" a="1"/>
  <c r="H312" i="20" s="1"/>
  <c r="G293" i="20" a="1"/>
  <c r="G293" i="20" s="1"/>
  <c r="J293" i="20" a="1"/>
  <c r="J293" i="20" s="1"/>
  <c r="O293" i="20" a="1"/>
  <c r="O293" i="20" s="1"/>
  <c r="R293" i="20" a="1"/>
  <c r="R293" i="20" s="1"/>
  <c r="W293" i="20" a="1"/>
  <c r="W293" i="20" s="1"/>
  <c r="G292" i="20" a="1"/>
  <c r="G292" i="20" s="1"/>
  <c r="J292" i="20" a="1"/>
  <c r="J292" i="20" s="1"/>
  <c r="O292" i="20" a="1"/>
  <c r="O292" i="20" s="1"/>
  <c r="R292" i="20" a="1"/>
  <c r="R292" i="20" s="1"/>
  <c r="W292" i="20" a="1"/>
  <c r="W292" i="20" s="1"/>
  <c r="K292" i="20" a="1"/>
  <c r="K292" i="20" s="1"/>
  <c r="N292" i="20" a="1"/>
  <c r="N292" i="20" s="1"/>
  <c r="S292" i="20" a="1"/>
  <c r="S292" i="20" s="1"/>
  <c r="V292" i="20" a="1"/>
  <c r="V292" i="20" s="1"/>
  <c r="K291" i="20" a="1"/>
  <c r="K291" i="20" s="1"/>
  <c r="N291" i="20" a="1"/>
  <c r="N291" i="20" s="1"/>
  <c r="S291" i="20" a="1"/>
  <c r="S291" i="20" s="1"/>
  <c r="V291" i="20" a="1"/>
  <c r="V291" i="20" s="1"/>
  <c r="G291" i="20" a="1"/>
  <c r="G291" i="20" s="1"/>
  <c r="J291" i="20" a="1"/>
  <c r="J291" i="20" s="1"/>
  <c r="O291" i="20" a="1"/>
  <c r="O291" i="20" s="1"/>
  <c r="R291" i="20" a="1"/>
  <c r="R291" i="20" s="1"/>
  <c r="W291" i="20" a="1"/>
  <c r="W291" i="20" s="1"/>
  <c r="G290" i="20" a="1"/>
  <c r="G290" i="20" s="1"/>
  <c r="J290" i="20" a="1"/>
  <c r="J290" i="20" s="1"/>
  <c r="O290" i="20" a="1"/>
  <c r="O290" i="20" s="1"/>
  <c r="R290" i="20" a="1"/>
  <c r="R290" i="20" s="1"/>
  <c r="W290" i="20" a="1"/>
  <c r="W290" i="20" s="1"/>
  <c r="K290" i="20" a="1"/>
  <c r="K290" i="20" s="1"/>
  <c r="N290" i="20" a="1"/>
  <c r="N290" i="20" s="1"/>
  <c r="S290" i="20" a="1"/>
  <c r="S290" i="20" s="1"/>
  <c r="V290" i="20" a="1"/>
  <c r="V290" i="20" s="1"/>
  <c r="G289" i="20" a="1"/>
  <c r="G289" i="20" s="1"/>
  <c r="I289" i="20" a="1"/>
  <c r="I289" i="20" s="1"/>
  <c r="K289" i="20"/>
  <c r="H289" i="20" a="1"/>
  <c r="H289" i="20" s="1"/>
  <c r="N289" i="20" a="1"/>
  <c r="N289" i="20" s="1"/>
  <c r="S289" i="20" a="1"/>
  <c r="S289" i="20" s="1"/>
  <c r="V289" i="20" a="1"/>
  <c r="V289" i="20" s="1"/>
  <c r="O289" i="20" a="1"/>
  <c r="O289" i="20" s="1"/>
  <c r="R289" i="20" a="1"/>
  <c r="R289" i="20" s="1"/>
  <c r="W289" i="20" a="1"/>
  <c r="W289" i="20" s="1"/>
  <c r="U288" i="20" a="1"/>
  <c r="U288" i="20" s="1"/>
  <c r="P288" i="20" a="1"/>
  <c r="P288" i="20" s="1"/>
  <c r="J288" i="20" a="1"/>
  <c r="J288" i="20" s="1"/>
  <c r="Y287" i="20" a="1"/>
  <c r="Y287" i="20" s="1"/>
  <c r="T287" i="20" a="1"/>
  <c r="T287" i="20" s="1"/>
  <c r="X286" i="20" a="1"/>
  <c r="X286" i="20" s="1"/>
  <c r="M286" i="20" a="1"/>
  <c r="M286" i="20" s="1"/>
  <c r="T285" i="20" a="1"/>
  <c r="T285" i="20" s="1"/>
  <c r="G258" i="20" a="1"/>
  <c r="G258" i="20" s="1"/>
  <c r="I258" i="20" a="1"/>
  <c r="I258" i="20" s="1"/>
  <c r="K258" i="20"/>
  <c r="H258" i="20" a="1"/>
  <c r="H258" i="20" s="1"/>
  <c r="N258" i="20" a="1"/>
  <c r="N258" i="20" s="1"/>
  <c r="S258" i="20" a="1"/>
  <c r="S258" i="20" s="1"/>
  <c r="V258" i="20" a="1"/>
  <c r="V258" i="20" s="1"/>
  <c r="L258" i="20" a="1"/>
  <c r="L258" i="20" s="1"/>
  <c r="O258" i="20" a="1"/>
  <c r="O258" i="20" s="1"/>
  <c r="P258" i="20" a="1"/>
  <c r="P258" i="20" s="1"/>
  <c r="T258" i="20" a="1"/>
  <c r="T258" i="20" s="1"/>
  <c r="W258" i="20" a="1"/>
  <c r="W258" i="20" s="1"/>
  <c r="M258" i="20" a="1"/>
  <c r="M258" i="20" s="1"/>
  <c r="Q258" i="20" a="1"/>
  <c r="Q258" i="20" s="1"/>
  <c r="X258" i="20" a="1"/>
  <c r="X258" i="20" s="1"/>
  <c r="J258" i="20" a="1"/>
  <c r="J258" i="20" s="1"/>
  <c r="R258" i="20" a="1"/>
  <c r="R258" i="20" s="1"/>
  <c r="U258" i="20" a="1"/>
  <c r="U258" i="20" s="1"/>
  <c r="Y258" i="20" a="1"/>
  <c r="Y258" i="20" s="1"/>
  <c r="V265" i="20" a="1"/>
  <c r="V265" i="20" s="1"/>
  <c r="S265" i="20" a="1"/>
  <c r="S265" i="20" s="1"/>
  <c r="N265" i="20" a="1"/>
  <c r="N265" i="20" s="1"/>
  <c r="K265" i="20" a="1"/>
  <c r="K265" i="20" s="1"/>
  <c r="V263" i="20" a="1"/>
  <c r="V263" i="20" s="1"/>
  <c r="S263" i="20" a="1"/>
  <c r="S263" i="20" s="1"/>
  <c r="N263" i="20" a="1"/>
  <c r="N263" i="20" s="1"/>
  <c r="K263" i="20" a="1"/>
  <c r="K263" i="20" s="1"/>
  <c r="V259" i="20" a="1"/>
  <c r="V259" i="20" s="1"/>
  <c r="S259" i="20" a="1"/>
  <c r="S259" i="20" s="1"/>
  <c r="N259" i="20" a="1"/>
  <c r="N259" i="20" s="1"/>
  <c r="H259" i="20" a="1"/>
  <c r="H259" i="20" s="1"/>
  <c r="X257" i="20" a="1"/>
  <c r="X257" i="20" s="1"/>
  <c r="T257" i="20" a="1"/>
  <c r="T257" i="20" s="1"/>
  <c r="M257" i="20" a="1"/>
  <c r="M257" i="20" s="1"/>
  <c r="W237" i="20" a="1"/>
  <c r="W237" i="20" s="1"/>
  <c r="T237" i="20" a="1"/>
  <c r="T237" i="20" s="1"/>
  <c r="I237" i="20" a="1"/>
  <c r="I237" i="20" s="1"/>
  <c r="V236" i="20" a="1"/>
  <c r="V236" i="20" s="1"/>
  <c r="O236" i="20" a="1"/>
  <c r="O236" i="20" s="1"/>
  <c r="K236" i="20" a="1"/>
  <c r="K236" i="20" s="1"/>
  <c r="H236" i="20" a="1"/>
  <c r="H236" i="20" s="1"/>
  <c r="W234" i="20" a="1"/>
  <c r="W234" i="20" s="1"/>
  <c r="S234" i="20" a="1"/>
  <c r="S234" i="20" s="1"/>
  <c r="P234" i="20" a="1"/>
  <c r="P234" i="20" s="1"/>
  <c r="G233" i="20" a="1"/>
  <c r="G233" i="20" s="1"/>
  <c r="I233" i="20" a="1"/>
  <c r="I233" i="20" s="1"/>
  <c r="K233" i="20"/>
  <c r="J233" i="20" a="1"/>
  <c r="J233" i="20" s="1"/>
  <c r="M233" i="20" a="1"/>
  <c r="M233" i="20" s="1"/>
  <c r="P233" i="20" a="1"/>
  <c r="P233" i="20" s="1"/>
  <c r="U233" i="20" a="1"/>
  <c r="U233" i="20" s="1"/>
  <c r="X233" i="20" a="1"/>
  <c r="X233" i="20" s="1"/>
  <c r="G232" i="20" a="1"/>
  <c r="G232" i="20" s="1"/>
  <c r="I232" i="20" a="1"/>
  <c r="I232" i="20" s="1"/>
  <c r="K232" i="20"/>
  <c r="J232" i="20" a="1"/>
  <c r="J232" i="20" s="1"/>
  <c r="M232" i="20" a="1"/>
  <c r="M232" i="20" s="1"/>
  <c r="P232" i="20" a="1"/>
  <c r="P232" i="20" s="1"/>
  <c r="U232" i="20" a="1"/>
  <c r="U232" i="20" s="1"/>
  <c r="X232" i="20" a="1"/>
  <c r="X232" i="20" s="1"/>
  <c r="L232" i="20" a="1"/>
  <c r="L232" i="20" s="1"/>
  <c r="Q232" i="20" a="1"/>
  <c r="Q232" i="20" s="1"/>
  <c r="T232" i="20" a="1"/>
  <c r="T232" i="20" s="1"/>
  <c r="Y232" i="20" a="1"/>
  <c r="Y232" i="20" s="1"/>
  <c r="G231" i="20" a="1"/>
  <c r="G231" i="20" s="1"/>
  <c r="I231" i="20" a="1"/>
  <c r="I231" i="20" s="1"/>
  <c r="K231" i="20"/>
  <c r="L231" i="20" a="1"/>
  <c r="L231" i="20" s="1"/>
  <c r="Q231" i="20" a="1"/>
  <c r="Q231" i="20" s="1"/>
  <c r="T231" i="20" a="1"/>
  <c r="T231" i="20" s="1"/>
  <c r="Y231" i="20" a="1"/>
  <c r="Y231" i="20" s="1"/>
  <c r="J231" i="20" a="1"/>
  <c r="J231" i="20" s="1"/>
  <c r="M231" i="20" a="1"/>
  <c r="M231" i="20" s="1"/>
  <c r="P231" i="20" a="1"/>
  <c r="P231" i="20" s="1"/>
  <c r="U231" i="20" a="1"/>
  <c r="U231" i="20" s="1"/>
  <c r="X231" i="20" a="1"/>
  <c r="X231" i="20" s="1"/>
  <c r="O230" i="20" a="1"/>
  <c r="O230" i="20" s="1"/>
  <c r="R229" i="20" a="1"/>
  <c r="R229" i="20" s="1"/>
  <c r="X265" i="20" a="1"/>
  <c r="X265" i="20" s="1"/>
  <c r="U265" i="20" a="1"/>
  <c r="U265" i="20" s="1"/>
  <c r="P265" i="20" a="1"/>
  <c r="P265" i="20" s="1"/>
  <c r="M265" i="20" a="1"/>
  <c r="M265" i="20" s="1"/>
  <c r="X263" i="20" a="1"/>
  <c r="X263" i="20" s="1"/>
  <c r="U263" i="20" a="1"/>
  <c r="U263" i="20" s="1"/>
  <c r="P263" i="20" a="1"/>
  <c r="P263" i="20" s="1"/>
  <c r="M263" i="20" a="1"/>
  <c r="M263" i="20" s="1"/>
  <c r="X259" i="20" a="1"/>
  <c r="X259" i="20" s="1"/>
  <c r="U259" i="20" a="1"/>
  <c r="U259" i="20" s="1"/>
  <c r="P259" i="20" a="1"/>
  <c r="P259" i="20" s="1"/>
  <c r="M259" i="20" a="1"/>
  <c r="M259" i="20" s="1"/>
  <c r="S257" i="20" a="1"/>
  <c r="S257" i="20" s="1"/>
  <c r="P257" i="20" a="1"/>
  <c r="P257" i="20" s="1"/>
  <c r="L257" i="20" a="1"/>
  <c r="L257" i="20" s="1"/>
  <c r="H257" i="20" a="1"/>
  <c r="H257" i="20" s="1"/>
  <c r="S237" i="20" a="1"/>
  <c r="S237" i="20" s="1"/>
  <c r="O237" i="20" a="1"/>
  <c r="O237" i="20" s="1"/>
  <c r="U236" i="20" a="1"/>
  <c r="U236" i="20" s="1"/>
  <c r="R236" i="20" a="1"/>
  <c r="R236" i="20" s="1"/>
  <c r="N236" i="20" a="1"/>
  <c r="N236" i="20" s="1"/>
  <c r="V234" i="20" a="1"/>
  <c r="V234" i="20" s="1"/>
  <c r="O234" i="20" a="1"/>
  <c r="O234" i="20" s="1"/>
  <c r="K234" i="20" a="1"/>
  <c r="K234" i="20" s="1"/>
  <c r="H234" i="20" a="1"/>
  <c r="H234" i="20" s="1"/>
  <c r="G230" i="20" a="1"/>
  <c r="G230" i="20" s="1"/>
  <c r="I230" i="20" a="1"/>
  <c r="I230" i="20" s="1"/>
  <c r="K230" i="20"/>
  <c r="J230" i="20" a="1"/>
  <c r="J230" i="20" s="1"/>
  <c r="M230" i="20" a="1"/>
  <c r="M230" i="20" s="1"/>
  <c r="P230" i="20" a="1"/>
  <c r="P230" i="20" s="1"/>
  <c r="U230" i="20" a="1"/>
  <c r="U230" i="20" s="1"/>
  <c r="X230" i="20" a="1"/>
  <c r="X230" i="20" s="1"/>
  <c r="T230" i="20" a="1"/>
  <c r="T230" i="20" s="1"/>
  <c r="W230" i="20" a="1"/>
  <c r="W230" i="20" s="1"/>
  <c r="R230" i="20" a="1"/>
  <c r="R230" i="20" s="1"/>
  <c r="V230" i="20" a="1"/>
  <c r="V230" i="20" s="1"/>
  <c r="Y230" i="20" a="1"/>
  <c r="Y230" i="20" s="1"/>
  <c r="N229" i="20" a="1"/>
  <c r="N229" i="20" s="1"/>
  <c r="G259" i="20" a="1"/>
  <c r="G259" i="20" s="1"/>
  <c r="I259" i="20" a="1"/>
  <c r="I259" i="20" s="1"/>
  <c r="K259" i="20"/>
  <c r="Y257" i="20" a="1"/>
  <c r="Y257" i="20" s="1"/>
  <c r="I236" i="20" a="1"/>
  <c r="I236" i="20" s="1"/>
  <c r="L236" i="20" a="1"/>
  <c r="L236" i="20" s="1"/>
  <c r="Q236" i="20" a="1"/>
  <c r="Q236" i="20" s="1"/>
  <c r="T236" i="20" a="1"/>
  <c r="T236" i="20" s="1"/>
  <c r="Y236" i="20" a="1"/>
  <c r="Y236" i="20" s="1"/>
  <c r="U234" i="20" a="1"/>
  <c r="U234" i="20" s="1"/>
  <c r="R234" i="20" a="1"/>
  <c r="R234" i="20" s="1"/>
  <c r="N234" i="20" a="1"/>
  <c r="N234" i="20" s="1"/>
  <c r="W233" i="20" a="1"/>
  <c r="W233" i="20" s="1"/>
  <c r="T233" i="20" a="1"/>
  <c r="T233" i="20" s="1"/>
  <c r="O232" i="20" a="1"/>
  <c r="O232" i="20" s="1"/>
  <c r="O231" i="20" a="1"/>
  <c r="O231" i="20" s="1"/>
  <c r="S230" i="20" a="1"/>
  <c r="S230" i="20" s="1"/>
  <c r="L230" i="20" a="1"/>
  <c r="L230" i="20" s="1"/>
  <c r="G228" i="20" a="1"/>
  <c r="G228" i="20" s="1"/>
  <c r="K228" i="20"/>
  <c r="J228" i="20" a="1"/>
  <c r="J228" i="20" s="1"/>
  <c r="M228" i="20" a="1"/>
  <c r="M228" i="20" s="1"/>
  <c r="P228" i="20" a="1"/>
  <c r="P228" i="20" s="1"/>
  <c r="U228" i="20" a="1"/>
  <c r="U228" i="20" s="1"/>
  <c r="X228" i="20" a="1"/>
  <c r="X228" i="20" s="1"/>
  <c r="R228" i="20" a="1"/>
  <c r="R228" i="20" s="1"/>
  <c r="R243" i="20" s="1" a="1"/>
  <c r="V228" i="20" a="1"/>
  <c r="V228" i="20" s="1"/>
  <c r="Y228" i="20" a="1"/>
  <c r="Y228" i="20" s="1"/>
  <c r="H228" i="20" a="1"/>
  <c r="H228" i="20" s="1"/>
  <c r="L228" i="20" a="1"/>
  <c r="L228" i="20" s="1"/>
  <c r="O228" i="20" a="1"/>
  <c r="O228" i="20" s="1"/>
  <c r="S228" i="20" a="1"/>
  <c r="S228" i="20" s="1"/>
  <c r="T228" i="20" a="1"/>
  <c r="T228" i="20" s="1"/>
  <c r="W228" i="20" a="1"/>
  <c r="W228" i="20" s="1"/>
  <c r="Y259" i="20" a="1"/>
  <c r="Y259" i="20" s="1"/>
  <c r="T259" i="20" a="1"/>
  <c r="T259" i="20" s="1"/>
  <c r="Q259" i="20" a="1"/>
  <c r="Q259" i="20" s="1"/>
  <c r="L259" i="20" a="1"/>
  <c r="L259" i="20" s="1"/>
  <c r="G257" i="20" a="1"/>
  <c r="G257" i="20" s="1"/>
  <c r="I257" i="20" a="1"/>
  <c r="I257" i="20" s="1"/>
  <c r="K257" i="20"/>
  <c r="O257" i="20" a="1"/>
  <c r="O257" i="20" s="1"/>
  <c r="R257" i="20" a="1"/>
  <c r="R257" i="20" s="1"/>
  <c r="W257" i="20" a="1"/>
  <c r="W257" i="20" s="1"/>
  <c r="H237" i="20" a="1"/>
  <c r="H237" i="20" s="1"/>
  <c r="M237" i="20" a="1"/>
  <c r="M237" i="20" s="1"/>
  <c r="P237" i="20" a="1"/>
  <c r="P237" i="20" s="1"/>
  <c r="U237" i="20" a="1"/>
  <c r="U237" i="20" s="1"/>
  <c r="X237" i="20" a="1"/>
  <c r="X237" i="20" s="1"/>
  <c r="W236" i="20" a="1"/>
  <c r="W236" i="20" s="1"/>
  <c r="S236" i="20" a="1"/>
  <c r="S236" i="20" s="1"/>
  <c r="P236" i="20" a="1"/>
  <c r="P236" i="20" s="1"/>
  <c r="I234" i="20" a="1"/>
  <c r="I234" i="20" s="1"/>
  <c r="L234" i="20" a="1"/>
  <c r="L234" i="20" s="1"/>
  <c r="Q234" i="20" a="1"/>
  <c r="Q234" i="20" s="1"/>
  <c r="T234" i="20" a="1"/>
  <c r="T234" i="20" s="1"/>
  <c r="Y234" i="20" a="1"/>
  <c r="Y234" i="20" s="1"/>
  <c r="G229" i="20" a="1"/>
  <c r="G229" i="20" s="1"/>
  <c r="K229" i="20"/>
  <c r="L229" i="20" a="1"/>
  <c r="L229" i="20" s="1"/>
  <c r="Q229" i="20" a="1"/>
  <c r="Q229" i="20" s="1"/>
  <c r="T229" i="20" a="1"/>
  <c r="T229" i="20" s="1"/>
  <c r="Y229" i="20" a="1"/>
  <c r="Y229" i="20" s="1"/>
  <c r="O229" i="20" a="1"/>
  <c r="O229" i="20" s="1"/>
  <c r="V229" i="20" a="1"/>
  <c r="V229" i="20" s="1"/>
  <c r="H229" i="20" a="1"/>
  <c r="H229" i="20" s="1"/>
  <c r="P229" i="20" a="1"/>
  <c r="P229" i="20" s="1"/>
  <c r="S229" i="20" a="1"/>
  <c r="S229" i="20" s="1"/>
  <c r="W229" i="20" a="1"/>
  <c r="W229" i="20" s="1"/>
  <c r="M229" i="20" a="1"/>
  <c r="M229" i="20" s="1"/>
  <c r="X229" i="20" a="1"/>
  <c r="X229" i="20" s="1"/>
  <c r="G209" i="20" a="1"/>
  <c r="G209" i="20" s="1"/>
  <c r="J209" i="20" a="1"/>
  <c r="J209" i="20" s="1"/>
  <c r="O209" i="20" a="1"/>
  <c r="O209" i="20" s="1"/>
  <c r="R209" i="20" a="1"/>
  <c r="R209" i="20" s="1"/>
  <c r="W209" i="20" a="1"/>
  <c r="W209" i="20" s="1"/>
  <c r="K209" i="20" a="1"/>
  <c r="K209" i="20" s="1"/>
  <c r="N209" i="20" a="1"/>
  <c r="N209" i="20" s="1"/>
  <c r="S209" i="20" a="1"/>
  <c r="S209" i="20" s="1"/>
  <c r="V209" i="20" a="1"/>
  <c r="V209" i="20" s="1"/>
  <c r="K208" i="20" a="1"/>
  <c r="K208" i="20" s="1"/>
  <c r="N208" i="20" a="1"/>
  <c r="N208" i="20" s="1"/>
  <c r="S208" i="20" a="1"/>
  <c r="S208" i="20" s="1"/>
  <c r="V208" i="20" a="1"/>
  <c r="V208" i="20" s="1"/>
  <c r="G208" i="20" a="1"/>
  <c r="G208" i="20" s="1"/>
  <c r="J208" i="20" a="1"/>
  <c r="J208" i="20" s="1"/>
  <c r="O208" i="20" a="1"/>
  <c r="O208" i="20" s="1"/>
  <c r="R208" i="20" a="1"/>
  <c r="R208" i="20" s="1"/>
  <c r="W208" i="20" a="1"/>
  <c r="W208" i="20" s="1"/>
  <c r="G207" i="20" a="1"/>
  <c r="G207" i="20" s="1"/>
  <c r="J207" i="20" a="1"/>
  <c r="J207" i="20" s="1"/>
  <c r="O207" i="20" a="1"/>
  <c r="O207" i="20" s="1"/>
  <c r="R207" i="20" a="1"/>
  <c r="R207" i="20" s="1"/>
  <c r="W207" i="20" a="1"/>
  <c r="W207" i="20" s="1"/>
  <c r="K207" i="20" a="1"/>
  <c r="K207" i="20" s="1"/>
  <c r="N207" i="20" a="1"/>
  <c r="N207" i="20" s="1"/>
  <c r="S207" i="20" a="1"/>
  <c r="S207" i="20" s="1"/>
  <c r="V207" i="20" a="1"/>
  <c r="V207" i="20" s="1"/>
  <c r="K206" i="20" a="1"/>
  <c r="K206" i="20" s="1"/>
  <c r="N206" i="20" a="1"/>
  <c r="N206" i="20" s="1"/>
  <c r="S206" i="20" a="1"/>
  <c r="S206" i="20" s="1"/>
  <c r="V206" i="20" a="1"/>
  <c r="V206" i="20" s="1"/>
  <c r="G206" i="20" a="1"/>
  <c r="G206" i="20" s="1"/>
  <c r="J206" i="20" a="1"/>
  <c r="J206" i="20" s="1"/>
  <c r="O206" i="20" a="1"/>
  <c r="O206" i="20" s="1"/>
  <c r="R206" i="20" a="1"/>
  <c r="R206" i="20" s="1"/>
  <c r="W206" i="20" a="1"/>
  <c r="W206" i="20" s="1"/>
  <c r="G205" i="20" a="1"/>
  <c r="G205" i="20" s="1"/>
  <c r="I205" i="20" a="1"/>
  <c r="I205" i="20" s="1"/>
  <c r="K205" i="20"/>
  <c r="O205" i="20" a="1"/>
  <c r="O205" i="20" s="1"/>
  <c r="R205" i="20" a="1"/>
  <c r="R205" i="20" s="1"/>
  <c r="W205" i="20" a="1"/>
  <c r="W205" i="20" s="1"/>
  <c r="H205" i="20" a="1"/>
  <c r="H205" i="20" s="1"/>
  <c r="N205" i="20" a="1"/>
  <c r="N205" i="20" s="1"/>
  <c r="S205" i="20" a="1"/>
  <c r="S205" i="20" s="1"/>
  <c r="V205" i="20" a="1"/>
  <c r="V205" i="20" s="1"/>
  <c r="U204" i="20" a="1"/>
  <c r="U204" i="20" s="1"/>
  <c r="P204" i="20" a="1"/>
  <c r="P204" i="20" s="1"/>
  <c r="J204" i="20" a="1"/>
  <c r="J204" i="20" s="1"/>
  <c r="Y203" i="20" a="1"/>
  <c r="Y203" i="20" s="1"/>
  <c r="T203" i="20" a="1"/>
  <c r="T203" i="20" s="1"/>
  <c r="X202" i="20" a="1"/>
  <c r="X202" i="20" s="1"/>
  <c r="G201" i="20" a="1"/>
  <c r="G201" i="20" s="1"/>
  <c r="K201" i="20"/>
  <c r="O201" i="20" a="1"/>
  <c r="O201" i="20" s="1"/>
  <c r="R201" i="20" a="1"/>
  <c r="R201" i="20" s="1"/>
  <c r="W201" i="20" a="1"/>
  <c r="W201" i="20" s="1"/>
  <c r="H201" i="20" a="1"/>
  <c r="H201" i="20" s="1"/>
  <c r="N201" i="20" a="1"/>
  <c r="N201" i="20" s="1"/>
  <c r="S201" i="20" a="1"/>
  <c r="S201" i="20" s="1"/>
  <c r="V201" i="20" a="1"/>
  <c r="V201" i="20" s="1"/>
  <c r="G200" i="20" a="1"/>
  <c r="G200" i="20" s="1"/>
  <c r="I200" i="20" a="1"/>
  <c r="I200" i="20" s="1"/>
  <c r="K200" i="20"/>
  <c r="J200" i="20" a="1"/>
  <c r="J200" i="20" s="1"/>
  <c r="J215" i="20" s="1" a="1"/>
  <c r="M200" i="20" a="1"/>
  <c r="M200" i="20" s="1"/>
  <c r="P200" i="20" a="1"/>
  <c r="P200" i="20" s="1"/>
  <c r="U200" i="20" a="1"/>
  <c r="U200" i="20" s="1"/>
  <c r="X200" i="20" a="1"/>
  <c r="X200" i="20" s="1"/>
  <c r="H200" i="20" a="1"/>
  <c r="H200" i="20" s="1"/>
  <c r="N200" i="20" a="1"/>
  <c r="N200" i="20" s="1"/>
  <c r="S200" i="20" a="1"/>
  <c r="S200" i="20" s="1"/>
  <c r="V200" i="20" a="1"/>
  <c r="V200" i="20" s="1"/>
  <c r="V215" i="20" s="1" a="1"/>
  <c r="O200" i="20" a="1"/>
  <c r="O200" i="20" s="1"/>
  <c r="R200" i="20" a="1"/>
  <c r="R200" i="20" s="1"/>
  <c r="W200" i="20" a="1"/>
  <c r="W200" i="20" s="1"/>
  <c r="K178" i="20" a="1"/>
  <c r="K178" i="20" s="1"/>
  <c r="N178" i="20" a="1"/>
  <c r="N178" i="20" s="1"/>
  <c r="S178" i="20" a="1"/>
  <c r="S178" i="20" s="1"/>
  <c r="V178" i="20" a="1"/>
  <c r="V178" i="20" s="1"/>
  <c r="I178" i="20" a="1"/>
  <c r="I178" i="20" s="1"/>
  <c r="L178" i="20" a="1"/>
  <c r="L178" i="20" s="1"/>
  <c r="Q178" i="20" a="1"/>
  <c r="Q178" i="20" s="1"/>
  <c r="T178" i="20" a="1"/>
  <c r="T178" i="20" s="1"/>
  <c r="Y178" i="20" a="1"/>
  <c r="Y178" i="20" s="1"/>
  <c r="G178" i="20" a="1"/>
  <c r="G178" i="20" s="1"/>
  <c r="J178" i="20" a="1"/>
  <c r="J178" i="20" s="1"/>
  <c r="O178" i="20" a="1"/>
  <c r="O178" i="20" s="1"/>
  <c r="R178" i="20" a="1"/>
  <c r="R178" i="20" s="1"/>
  <c r="W178" i="20" a="1"/>
  <c r="W178" i="20" s="1"/>
  <c r="H178" i="20" a="1"/>
  <c r="H178" i="20" s="1"/>
  <c r="M178" i="20" a="1"/>
  <c r="M178" i="20" s="1"/>
  <c r="P178" i="20" a="1"/>
  <c r="P178" i="20" s="1"/>
  <c r="U178" i="20" a="1"/>
  <c r="U178" i="20" s="1"/>
  <c r="X178" i="20" a="1"/>
  <c r="X178" i="20" s="1"/>
  <c r="Y204" i="20" a="1"/>
  <c r="Y204" i="20" s="1"/>
  <c r="X203" i="20" a="1"/>
  <c r="X203" i="20" s="1"/>
  <c r="G202" i="20" a="1"/>
  <c r="G202" i="20" s="1"/>
  <c r="I202" i="20" a="1"/>
  <c r="I202" i="20" s="1"/>
  <c r="K202" i="20"/>
  <c r="H202" i="20" a="1"/>
  <c r="H202" i="20" s="1"/>
  <c r="N202" i="20" a="1"/>
  <c r="N202" i="20" s="1"/>
  <c r="S202" i="20" a="1"/>
  <c r="S202" i="20" s="1"/>
  <c r="V202" i="20" a="1"/>
  <c r="V202" i="20" s="1"/>
  <c r="O202" i="20" a="1"/>
  <c r="O202" i="20" s="1"/>
  <c r="R202" i="20" a="1"/>
  <c r="R202" i="20" s="1"/>
  <c r="W202" i="20" a="1"/>
  <c r="W202" i="20" s="1"/>
  <c r="G181" i="20" a="1"/>
  <c r="G181" i="20" s="1"/>
  <c r="J181" i="20" a="1"/>
  <c r="J181" i="20" s="1"/>
  <c r="O181" i="20" a="1"/>
  <c r="O181" i="20" s="1"/>
  <c r="R181" i="20" a="1"/>
  <c r="R181" i="20" s="1"/>
  <c r="W181" i="20" a="1"/>
  <c r="W181" i="20" s="1"/>
  <c r="H181" i="20" a="1"/>
  <c r="H181" i="20" s="1"/>
  <c r="M181" i="20" a="1"/>
  <c r="M181" i="20" s="1"/>
  <c r="P181" i="20" a="1"/>
  <c r="P181" i="20" s="1"/>
  <c r="U181" i="20" a="1"/>
  <c r="U181" i="20" s="1"/>
  <c r="X181" i="20" a="1"/>
  <c r="X181" i="20" s="1"/>
  <c r="K181" i="20" a="1"/>
  <c r="K181" i="20" s="1"/>
  <c r="N181" i="20" a="1"/>
  <c r="N181" i="20" s="1"/>
  <c r="S181" i="20" a="1"/>
  <c r="S181" i="20" s="1"/>
  <c r="V181" i="20" a="1"/>
  <c r="V181" i="20" s="1"/>
  <c r="I181" i="20" a="1"/>
  <c r="I181" i="20" s="1"/>
  <c r="L181" i="20" a="1"/>
  <c r="L181" i="20" s="1"/>
  <c r="Q181" i="20" a="1"/>
  <c r="Q181" i="20" s="1"/>
  <c r="T181" i="20" a="1"/>
  <c r="T181" i="20" s="1"/>
  <c r="Y181" i="20" a="1"/>
  <c r="Y181" i="20" s="1"/>
  <c r="G203" i="20" a="1"/>
  <c r="G203" i="20" s="1"/>
  <c r="I203" i="20" a="1"/>
  <c r="I203" i="20" s="1"/>
  <c r="K203" i="20"/>
  <c r="O203" i="20" a="1"/>
  <c r="O203" i="20" s="1"/>
  <c r="R203" i="20" a="1"/>
  <c r="R203" i="20" s="1"/>
  <c r="W203" i="20" a="1"/>
  <c r="W203" i="20" s="1"/>
  <c r="H203" i="20" a="1"/>
  <c r="H203" i="20" s="1"/>
  <c r="N203" i="20" a="1"/>
  <c r="N203" i="20" s="1"/>
  <c r="S203" i="20" a="1"/>
  <c r="S203" i="20" s="1"/>
  <c r="V203" i="20" a="1"/>
  <c r="V203" i="20" s="1"/>
  <c r="U202" i="20" a="1"/>
  <c r="U202" i="20" s="1"/>
  <c r="P202" i="20" a="1"/>
  <c r="P202" i="20" s="1"/>
  <c r="J202" i="20" a="1"/>
  <c r="J202" i="20" s="1"/>
  <c r="K180" i="20" a="1"/>
  <c r="K180" i="20" s="1"/>
  <c r="N180" i="20" a="1"/>
  <c r="N180" i="20" s="1"/>
  <c r="S180" i="20" a="1"/>
  <c r="S180" i="20" s="1"/>
  <c r="V180" i="20" a="1"/>
  <c r="V180" i="20" s="1"/>
  <c r="I180" i="20" a="1"/>
  <c r="I180" i="20" s="1"/>
  <c r="L180" i="20" a="1"/>
  <c r="L180" i="20" s="1"/>
  <c r="Q180" i="20" a="1"/>
  <c r="Q180" i="20" s="1"/>
  <c r="T180" i="20" a="1"/>
  <c r="T180" i="20" s="1"/>
  <c r="Y180" i="20" a="1"/>
  <c r="Y180" i="20" s="1"/>
  <c r="G180" i="20" a="1"/>
  <c r="G180" i="20" s="1"/>
  <c r="J180" i="20" a="1"/>
  <c r="J180" i="20" s="1"/>
  <c r="O180" i="20" a="1"/>
  <c r="O180" i="20" s="1"/>
  <c r="R180" i="20" a="1"/>
  <c r="R180" i="20" s="1"/>
  <c r="W180" i="20" a="1"/>
  <c r="W180" i="20" s="1"/>
  <c r="H180" i="20" a="1"/>
  <c r="H180" i="20" s="1"/>
  <c r="M180" i="20" a="1"/>
  <c r="M180" i="20" s="1"/>
  <c r="P180" i="20" a="1"/>
  <c r="P180" i="20" s="1"/>
  <c r="U180" i="20" a="1"/>
  <c r="U180" i="20" s="1"/>
  <c r="X180" i="20" a="1"/>
  <c r="X180" i="20" s="1"/>
  <c r="G176" i="20" a="1"/>
  <c r="G176" i="20" s="1"/>
  <c r="I176" i="20" a="1"/>
  <c r="I176" i="20" s="1"/>
  <c r="K176" i="20"/>
  <c r="J176" i="20" a="1"/>
  <c r="J176" i="20" s="1"/>
  <c r="M176" i="20" a="1"/>
  <c r="M176" i="20" s="1"/>
  <c r="P176" i="20" a="1"/>
  <c r="P176" i="20" s="1"/>
  <c r="H176" i="20" a="1"/>
  <c r="H176" i="20" s="1"/>
  <c r="L176" i="20" a="1"/>
  <c r="L176" i="20" s="1"/>
  <c r="O176" i="20" a="1"/>
  <c r="O176" i="20" s="1"/>
  <c r="S176" i="20" a="1"/>
  <c r="S176" i="20" s="1"/>
  <c r="V176" i="20" a="1"/>
  <c r="V176" i="20" s="1"/>
  <c r="T176" i="20" a="1"/>
  <c r="T176" i="20" s="1"/>
  <c r="Y176" i="20" a="1"/>
  <c r="Y176" i="20" s="1"/>
  <c r="N176" i="20" a="1"/>
  <c r="N176" i="20" s="1"/>
  <c r="Q176" i="20" a="1"/>
  <c r="Q176" i="20" s="1"/>
  <c r="W176" i="20" a="1"/>
  <c r="W176" i="20" s="1"/>
  <c r="R176" i="20" a="1"/>
  <c r="R176" i="20" s="1"/>
  <c r="U176" i="20" a="1"/>
  <c r="U176" i="20" s="1"/>
  <c r="X176" i="20" a="1"/>
  <c r="X176" i="20" s="1"/>
  <c r="G204" i="20" a="1"/>
  <c r="G204" i="20" s="1"/>
  <c r="I204" i="20" a="1"/>
  <c r="I204" i="20" s="1"/>
  <c r="K204" i="20"/>
  <c r="H204" i="20" a="1"/>
  <c r="H204" i="20" s="1"/>
  <c r="N204" i="20" a="1"/>
  <c r="N204" i="20" s="1"/>
  <c r="S204" i="20" a="1"/>
  <c r="S204" i="20" s="1"/>
  <c r="V204" i="20" a="1"/>
  <c r="V204" i="20" s="1"/>
  <c r="O204" i="20" a="1"/>
  <c r="O204" i="20" s="1"/>
  <c r="R204" i="20" a="1"/>
  <c r="R204" i="20" s="1"/>
  <c r="W204" i="20" a="1"/>
  <c r="W204" i="20" s="1"/>
  <c r="U203" i="20" a="1"/>
  <c r="U203" i="20" s="1"/>
  <c r="P203" i="20" a="1"/>
  <c r="P203" i="20" s="1"/>
  <c r="J203" i="20" a="1"/>
  <c r="J203" i="20" s="1"/>
  <c r="Y202" i="20" a="1"/>
  <c r="Y202" i="20" s="1"/>
  <c r="T202" i="20" a="1"/>
  <c r="T202" i="20" s="1"/>
  <c r="X201" i="20" a="1"/>
  <c r="X201" i="20" s="1"/>
  <c r="M201" i="20" a="1"/>
  <c r="M201" i="20" s="1"/>
  <c r="G179" i="20" a="1"/>
  <c r="G179" i="20" s="1"/>
  <c r="J179" i="20" a="1"/>
  <c r="J179" i="20" s="1"/>
  <c r="O179" i="20" a="1"/>
  <c r="O179" i="20" s="1"/>
  <c r="R179" i="20" a="1"/>
  <c r="R179" i="20" s="1"/>
  <c r="W179" i="20" a="1"/>
  <c r="W179" i="20" s="1"/>
  <c r="H179" i="20" a="1"/>
  <c r="H179" i="20" s="1"/>
  <c r="M179" i="20" a="1"/>
  <c r="M179" i="20" s="1"/>
  <c r="P179" i="20" a="1"/>
  <c r="P179" i="20" s="1"/>
  <c r="U179" i="20" a="1"/>
  <c r="U179" i="20" s="1"/>
  <c r="X179" i="20" a="1"/>
  <c r="X179" i="20" s="1"/>
  <c r="K179" i="20" a="1"/>
  <c r="K179" i="20" s="1"/>
  <c r="N179" i="20" a="1"/>
  <c r="N179" i="20" s="1"/>
  <c r="S179" i="20" a="1"/>
  <c r="S179" i="20" s="1"/>
  <c r="V179" i="20" a="1"/>
  <c r="V179" i="20" s="1"/>
  <c r="I179" i="20" a="1"/>
  <c r="I179" i="20" s="1"/>
  <c r="L179" i="20" a="1"/>
  <c r="L179" i="20" s="1"/>
  <c r="Q179" i="20" a="1"/>
  <c r="Q179" i="20" s="1"/>
  <c r="T179" i="20" a="1"/>
  <c r="T179" i="20" s="1"/>
  <c r="Y179" i="20" a="1"/>
  <c r="Y179" i="20" s="1"/>
  <c r="Y177" i="20" a="1"/>
  <c r="Y177" i="20" s="1"/>
  <c r="T177" i="20" a="1"/>
  <c r="T177" i="20" s="1"/>
  <c r="Q177" i="20" a="1"/>
  <c r="Q177" i="20" s="1"/>
  <c r="L177" i="20" a="1"/>
  <c r="L177" i="20" s="1"/>
  <c r="X175" i="20" a="1"/>
  <c r="X175" i="20" s="1"/>
  <c r="M175" i="20" a="1"/>
  <c r="M175" i="20" s="1"/>
  <c r="U153" i="20" a="1"/>
  <c r="U153" i="20" s="1"/>
  <c r="P153" i="20" a="1"/>
  <c r="P153" i="20" s="1"/>
  <c r="U152" i="20" a="1"/>
  <c r="U152" i="20" s="1"/>
  <c r="P152" i="20" a="1"/>
  <c r="P152" i="20" s="1"/>
  <c r="U151" i="20" a="1"/>
  <c r="U151" i="20" s="1"/>
  <c r="P151" i="20" a="1"/>
  <c r="P151" i="20" s="1"/>
  <c r="U150" i="20" a="1"/>
  <c r="U150" i="20" s="1"/>
  <c r="P150" i="20" a="1"/>
  <c r="P150" i="20" s="1"/>
  <c r="U149" i="20" a="1"/>
  <c r="U149" i="20" s="1"/>
  <c r="P149" i="20" a="1"/>
  <c r="P149" i="20" s="1"/>
  <c r="J149" i="20" a="1"/>
  <c r="J149" i="20" s="1"/>
  <c r="Y148" i="20" a="1"/>
  <c r="Y148" i="20" s="1"/>
  <c r="G145" i="20" a="1"/>
  <c r="G145" i="20" s="1"/>
  <c r="K145" i="20"/>
  <c r="H145" i="20" a="1"/>
  <c r="H145" i="20" s="1"/>
  <c r="N145" i="20" a="1"/>
  <c r="N145" i="20" s="1"/>
  <c r="S145" i="20" a="1"/>
  <c r="S145" i="20" s="1"/>
  <c r="V145" i="20" a="1"/>
  <c r="V145" i="20" s="1"/>
  <c r="L145" i="20" a="1"/>
  <c r="L145" i="20" s="1"/>
  <c r="Q145" i="20" a="1"/>
  <c r="Q145" i="20" s="1"/>
  <c r="T145" i="20" a="1"/>
  <c r="T145" i="20" s="1"/>
  <c r="Y145" i="20" a="1"/>
  <c r="Y145" i="20" s="1"/>
  <c r="O145" i="20" a="1"/>
  <c r="O145" i="20" s="1"/>
  <c r="R145" i="20" a="1"/>
  <c r="R145" i="20" s="1"/>
  <c r="W145" i="20" a="1"/>
  <c r="W145" i="20" s="1"/>
  <c r="J145" i="20" a="1"/>
  <c r="J145" i="20" s="1"/>
  <c r="M145" i="20" a="1"/>
  <c r="M145" i="20" s="1"/>
  <c r="P145" i="20" a="1"/>
  <c r="P145" i="20" s="1"/>
  <c r="U145" i="20" a="1"/>
  <c r="U145" i="20" s="1"/>
  <c r="X145" i="20" a="1"/>
  <c r="X145" i="20" s="1"/>
  <c r="V177" i="20" a="1"/>
  <c r="V177" i="20" s="1"/>
  <c r="S177" i="20" a="1"/>
  <c r="S177" i="20" s="1"/>
  <c r="N177" i="20" a="1"/>
  <c r="N177" i="20" s="1"/>
  <c r="H177" i="20" a="1"/>
  <c r="H177" i="20" s="1"/>
  <c r="W175" i="20" a="1"/>
  <c r="W175" i="20" s="1"/>
  <c r="S175" i="20" a="1"/>
  <c r="S175" i="20" s="1"/>
  <c r="P175" i="20" a="1"/>
  <c r="P175" i="20" s="1"/>
  <c r="H175" i="20" a="1"/>
  <c r="H175" i="20" s="1"/>
  <c r="Y153" i="20" a="1"/>
  <c r="Y153" i="20" s="1"/>
  <c r="T153" i="20" a="1"/>
  <c r="T153" i="20" s="1"/>
  <c r="I153" i="20" a="1"/>
  <c r="I153" i="20" s="1"/>
  <c r="Y152" i="20" a="1"/>
  <c r="Y152" i="20" s="1"/>
  <c r="T152" i="20" a="1"/>
  <c r="T152" i="20" s="1"/>
  <c r="I152" i="20" a="1"/>
  <c r="I152" i="20" s="1"/>
  <c r="Y151" i="20" a="1"/>
  <c r="Y151" i="20" s="1"/>
  <c r="T151" i="20" a="1"/>
  <c r="T151" i="20" s="1"/>
  <c r="I151" i="20" a="1"/>
  <c r="I151" i="20" s="1"/>
  <c r="Y150" i="20" a="1"/>
  <c r="Y150" i="20" s="1"/>
  <c r="T150" i="20" a="1"/>
  <c r="T150" i="20" s="1"/>
  <c r="I150" i="20" a="1"/>
  <c r="I150" i="20" s="1"/>
  <c r="Y149" i="20" a="1"/>
  <c r="Y149" i="20" s="1"/>
  <c r="T149" i="20" a="1"/>
  <c r="T149" i="20" s="1"/>
  <c r="L148" i="20" a="1"/>
  <c r="L148" i="20" s="1"/>
  <c r="G144" i="20" a="1"/>
  <c r="G144" i="20" s="1"/>
  <c r="I144" i="20" a="1"/>
  <c r="I144" i="20" s="1"/>
  <c r="K144" i="20"/>
  <c r="O144" i="20" a="1"/>
  <c r="O144" i="20" s="1"/>
  <c r="R144" i="20" a="1"/>
  <c r="R144" i="20" s="1"/>
  <c r="W144" i="20" a="1"/>
  <c r="W144" i="20" s="1"/>
  <c r="J144" i="20" a="1"/>
  <c r="J144" i="20" s="1"/>
  <c r="M144" i="20" a="1"/>
  <c r="M144" i="20" s="1"/>
  <c r="P144" i="20" a="1"/>
  <c r="P144" i="20" s="1"/>
  <c r="U144" i="20" a="1"/>
  <c r="U144" i="20" s="1"/>
  <c r="X144" i="20" a="1"/>
  <c r="X144" i="20" s="1"/>
  <c r="H144" i="20" a="1"/>
  <c r="H144" i="20" s="1"/>
  <c r="N144" i="20" a="1"/>
  <c r="N144" i="20" s="1"/>
  <c r="S144" i="20" a="1"/>
  <c r="S144" i="20" s="1"/>
  <c r="V144" i="20" a="1"/>
  <c r="V144" i="20" s="1"/>
  <c r="L144" i="20" a="1"/>
  <c r="L144" i="20" s="1"/>
  <c r="L159" i="20" s="1" a="1"/>
  <c r="Q144" i="20" a="1"/>
  <c r="Q144" i="20" s="1"/>
  <c r="T144" i="20" a="1"/>
  <c r="T144" i="20" s="1"/>
  <c r="Y144" i="20" a="1"/>
  <c r="Y144" i="20" s="1"/>
  <c r="X177" i="20" a="1"/>
  <c r="X177" i="20" s="1"/>
  <c r="U177" i="20" a="1"/>
  <c r="U177" i="20" s="1"/>
  <c r="P177" i="20" a="1"/>
  <c r="P177" i="20" s="1"/>
  <c r="M177" i="20" a="1"/>
  <c r="M177" i="20" s="1"/>
  <c r="V175" i="20" a="1"/>
  <c r="V175" i="20" s="1"/>
  <c r="G174" i="20" a="1"/>
  <c r="G174" i="20" s="1"/>
  <c r="I174" i="20" a="1"/>
  <c r="I174" i="20" s="1"/>
  <c r="K174" i="20"/>
  <c r="J174" i="20" a="1"/>
  <c r="J174" i="20" s="1"/>
  <c r="M174" i="20" a="1"/>
  <c r="M174" i="20" s="1"/>
  <c r="P174" i="20" a="1"/>
  <c r="P174" i="20" s="1"/>
  <c r="U174" i="20" a="1"/>
  <c r="U174" i="20" s="1"/>
  <c r="X174" i="20" a="1"/>
  <c r="X174" i="20" s="1"/>
  <c r="G173" i="20" a="1"/>
  <c r="G173" i="20" s="1"/>
  <c r="K173" i="20"/>
  <c r="J173" i="20" a="1"/>
  <c r="J173" i="20" s="1"/>
  <c r="M173" i="20" a="1"/>
  <c r="M173" i="20" s="1"/>
  <c r="P173" i="20" a="1"/>
  <c r="P173" i="20" s="1"/>
  <c r="U173" i="20" a="1"/>
  <c r="U173" i="20" s="1"/>
  <c r="X173" i="20" a="1"/>
  <c r="X173" i="20" s="1"/>
  <c r="L173" i="20" a="1"/>
  <c r="L173" i="20" s="1"/>
  <c r="Q173" i="20" a="1"/>
  <c r="Q173" i="20" s="1"/>
  <c r="T173" i="20" a="1"/>
  <c r="T173" i="20" s="1"/>
  <c r="Y173" i="20" a="1"/>
  <c r="Y173" i="20" s="1"/>
  <c r="G172" i="20" a="1"/>
  <c r="G172" i="20" s="1"/>
  <c r="K172" i="20"/>
  <c r="L172" i="20" a="1"/>
  <c r="L172" i="20" s="1"/>
  <c r="L187" i="20" s="1" a="1"/>
  <c r="Q172" i="20" a="1"/>
  <c r="Q172" i="20" s="1"/>
  <c r="T172" i="20" a="1"/>
  <c r="T172" i="20" s="1"/>
  <c r="Y172" i="20" a="1"/>
  <c r="Y172" i="20" s="1"/>
  <c r="J172" i="20" a="1"/>
  <c r="J172" i="20" s="1"/>
  <c r="J187" i="20" s="1" a="1"/>
  <c r="M172" i="20" a="1"/>
  <c r="M172" i="20" s="1"/>
  <c r="P172" i="20" a="1"/>
  <c r="P172" i="20" s="1"/>
  <c r="U172" i="20" a="1"/>
  <c r="U172" i="20" s="1"/>
  <c r="X172" i="20" a="1"/>
  <c r="X172" i="20" s="1"/>
  <c r="X187" i="20" s="1" a="1"/>
  <c r="X153" i="20" a="1"/>
  <c r="X153" i="20" s="1"/>
  <c r="M153" i="20" a="1"/>
  <c r="M153" i="20" s="1"/>
  <c r="X152" i="20" a="1"/>
  <c r="X152" i="20" s="1"/>
  <c r="M152" i="20" a="1"/>
  <c r="M152" i="20" s="1"/>
  <c r="X151" i="20" a="1"/>
  <c r="X151" i="20" s="1"/>
  <c r="M151" i="20" a="1"/>
  <c r="M151" i="20" s="1"/>
  <c r="X150" i="20" a="1"/>
  <c r="X150" i="20" s="1"/>
  <c r="M150" i="20" a="1"/>
  <c r="M150" i="20" s="1"/>
  <c r="X149" i="20" a="1"/>
  <c r="X149" i="20" s="1"/>
  <c r="I125" i="20" a="1"/>
  <c r="I125" i="20" s="1"/>
  <c r="L125" i="20" a="1"/>
  <c r="L125" i="20" s="1"/>
  <c r="Q125" i="20" a="1"/>
  <c r="Q125" i="20" s="1"/>
  <c r="T125" i="20" a="1"/>
  <c r="T125" i="20" s="1"/>
  <c r="Y125" i="20" a="1"/>
  <c r="Y125" i="20" s="1"/>
  <c r="G125" i="20" a="1"/>
  <c r="G125" i="20" s="1"/>
  <c r="J125" i="20" a="1"/>
  <c r="J125" i="20" s="1"/>
  <c r="O125" i="20" a="1"/>
  <c r="O125" i="20" s="1"/>
  <c r="R125" i="20" a="1"/>
  <c r="R125" i="20" s="1"/>
  <c r="W125" i="20" a="1"/>
  <c r="W125" i="20" s="1"/>
  <c r="H125" i="20" a="1"/>
  <c r="H125" i="20" s="1"/>
  <c r="M125" i="20" a="1"/>
  <c r="M125" i="20" s="1"/>
  <c r="P125" i="20" a="1"/>
  <c r="P125" i="20" s="1"/>
  <c r="U125" i="20" a="1"/>
  <c r="U125" i="20" s="1"/>
  <c r="X125" i="20" a="1"/>
  <c r="X125" i="20" s="1"/>
  <c r="K125" i="20" a="1"/>
  <c r="K125" i="20" s="1"/>
  <c r="N125" i="20" a="1"/>
  <c r="N125" i="20" s="1"/>
  <c r="S125" i="20" a="1"/>
  <c r="S125" i="20" s="1"/>
  <c r="V125" i="20" a="1"/>
  <c r="V125" i="20" s="1"/>
  <c r="G177" i="20" a="1"/>
  <c r="G177" i="20" s="1"/>
  <c r="I177" i="20" a="1"/>
  <c r="I177" i="20" s="1"/>
  <c r="K177" i="20"/>
  <c r="G175" i="20" a="1"/>
  <c r="G175" i="20" s="1"/>
  <c r="I175" i="20" a="1"/>
  <c r="I175" i="20" s="1"/>
  <c r="K175" i="20"/>
  <c r="L175" i="20" a="1"/>
  <c r="L175" i="20" s="1"/>
  <c r="Q175" i="20" a="1"/>
  <c r="Q175" i="20" s="1"/>
  <c r="T175" i="20" a="1"/>
  <c r="T175" i="20" s="1"/>
  <c r="Y175" i="20" a="1"/>
  <c r="Y175" i="20" s="1"/>
  <c r="K153" i="20" a="1"/>
  <c r="K153" i="20" s="1"/>
  <c r="N153" i="20" a="1"/>
  <c r="N153" i="20" s="1"/>
  <c r="S153" i="20" a="1"/>
  <c r="S153" i="20" s="1"/>
  <c r="V153" i="20" a="1"/>
  <c r="V153" i="20" s="1"/>
  <c r="G153" i="20" a="1"/>
  <c r="G153" i="20" s="1"/>
  <c r="J153" i="20" a="1"/>
  <c r="J153" i="20" s="1"/>
  <c r="O153" i="20" a="1"/>
  <c r="O153" i="20" s="1"/>
  <c r="R153" i="20" a="1"/>
  <c r="R153" i="20" s="1"/>
  <c r="W153" i="20" a="1"/>
  <c r="W153" i="20" s="1"/>
  <c r="G152" i="20" a="1"/>
  <c r="G152" i="20" s="1"/>
  <c r="J152" i="20" a="1"/>
  <c r="J152" i="20" s="1"/>
  <c r="O152" i="20" a="1"/>
  <c r="O152" i="20" s="1"/>
  <c r="R152" i="20" a="1"/>
  <c r="R152" i="20" s="1"/>
  <c r="W152" i="20" a="1"/>
  <c r="W152" i="20" s="1"/>
  <c r="K152" i="20" a="1"/>
  <c r="K152" i="20" s="1"/>
  <c r="N152" i="20" a="1"/>
  <c r="N152" i="20" s="1"/>
  <c r="S152" i="20" a="1"/>
  <c r="S152" i="20" s="1"/>
  <c r="V152" i="20" a="1"/>
  <c r="V152" i="20" s="1"/>
  <c r="K151" i="20" a="1"/>
  <c r="K151" i="20" s="1"/>
  <c r="N151" i="20" a="1"/>
  <c r="N151" i="20" s="1"/>
  <c r="S151" i="20" a="1"/>
  <c r="S151" i="20" s="1"/>
  <c r="V151" i="20" a="1"/>
  <c r="V151" i="20" s="1"/>
  <c r="G151" i="20" a="1"/>
  <c r="G151" i="20" s="1"/>
  <c r="J151" i="20" a="1"/>
  <c r="J151" i="20" s="1"/>
  <c r="O151" i="20" a="1"/>
  <c r="O151" i="20" s="1"/>
  <c r="R151" i="20" a="1"/>
  <c r="R151" i="20" s="1"/>
  <c r="W151" i="20" a="1"/>
  <c r="W151" i="20" s="1"/>
  <c r="G150" i="20" a="1"/>
  <c r="G150" i="20" s="1"/>
  <c r="J150" i="20" a="1"/>
  <c r="J150" i="20" s="1"/>
  <c r="O150" i="20" a="1"/>
  <c r="O150" i="20" s="1"/>
  <c r="R150" i="20" a="1"/>
  <c r="R150" i="20" s="1"/>
  <c r="W150" i="20" a="1"/>
  <c r="W150" i="20" s="1"/>
  <c r="K150" i="20" a="1"/>
  <c r="K150" i="20" s="1"/>
  <c r="N150" i="20" a="1"/>
  <c r="N150" i="20" s="1"/>
  <c r="S150" i="20" a="1"/>
  <c r="S150" i="20" s="1"/>
  <c r="V150" i="20" a="1"/>
  <c r="V150" i="20" s="1"/>
  <c r="G149" i="20" a="1"/>
  <c r="G149" i="20" s="1"/>
  <c r="I149" i="20" a="1"/>
  <c r="I149" i="20" s="1"/>
  <c r="K149" i="20"/>
  <c r="H149" i="20" a="1"/>
  <c r="H149" i="20" s="1"/>
  <c r="N149" i="20" a="1"/>
  <c r="N149" i="20" s="1"/>
  <c r="S149" i="20" a="1"/>
  <c r="S149" i="20" s="1"/>
  <c r="V149" i="20" a="1"/>
  <c r="V149" i="20" s="1"/>
  <c r="O149" i="20" a="1"/>
  <c r="O149" i="20" s="1"/>
  <c r="R149" i="20" a="1"/>
  <c r="R149" i="20" s="1"/>
  <c r="W149" i="20" a="1"/>
  <c r="W149" i="20" s="1"/>
  <c r="G148" i="20" a="1"/>
  <c r="G148" i="20" s="1"/>
  <c r="I148" i="20" a="1"/>
  <c r="I148" i="20" s="1"/>
  <c r="K148" i="20"/>
  <c r="O148" i="20" a="1"/>
  <c r="O148" i="20" s="1"/>
  <c r="R148" i="20" a="1"/>
  <c r="R148" i="20" s="1"/>
  <c r="W148" i="20" a="1"/>
  <c r="W148" i="20" s="1"/>
  <c r="J148" i="20" a="1"/>
  <c r="J148" i="20" s="1"/>
  <c r="M148" i="20" a="1"/>
  <c r="M148" i="20" s="1"/>
  <c r="P148" i="20" a="1"/>
  <c r="P148" i="20" s="1"/>
  <c r="U148" i="20" a="1"/>
  <c r="U148" i="20" s="1"/>
  <c r="X148" i="20" a="1"/>
  <c r="X148" i="20" s="1"/>
  <c r="H148" i="20" a="1"/>
  <c r="H148" i="20" s="1"/>
  <c r="N148" i="20" a="1"/>
  <c r="N148" i="20" s="1"/>
  <c r="S148" i="20" a="1"/>
  <c r="S148" i="20" s="1"/>
  <c r="V148" i="20" a="1"/>
  <c r="V148" i="20" s="1"/>
  <c r="G147" i="20" a="1"/>
  <c r="G147" i="20" s="1"/>
  <c r="I147" i="20" a="1"/>
  <c r="I147" i="20" s="1"/>
  <c r="K147" i="20"/>
  <c r="H147" i="20" a="1"/>
  <c r="H147" i="20" s="1"/>
  <c r="N147" i="20" a="1"/>
  <c r="N147" i="20" s="1"/>
  <c r="S147" i="20" a="1"/>
  <c r="S147" i="20" s="1"/>
  <c r="V147" i="20" a="1"/>
  <c r="V147" i="20" s="1"/>
  <c r="L147" i="20" a="1"/>
  <c r="L147" i="20" s="1"/>
  <c r="Q147" i="20" a="1"/>
  <c r="Q147" i="20" s="1"/>
  <c r="T147" i="20" a="1"/>
  <c r="T147" i="20" s="1"/>
  <c r="Y147" i="20" a="1"/>
  <c r="Y147" i="20" s="1"/>
  <c r="O147" i="20" a="1"/>
  <c r="O147" i="20" s="1"/>
  <c r="R147" i="20" a="1"/>
  <c r="R147" i="20" s="1"/>
  <c r="W147" i="20" a="1"/>
  <c r="W147" i="20" s="1"/>
  <c r="G146" i="20" a="1"/>
  <c r="G146" i="20" s="1"/>
  <c r="I146" i="20" a="1"/>
  <c r="I146" i="20" s="1"/>
  <c r="K146" i="20"/>
  <c r="O146" i="20" a="1"/>
  <c r="O146" i="20" s="1"/>
  <c r="R146" i="20" a="1"/>
  <c r="R146" i="20" s="1"/>
  <c r="W146" i="20" a="1"/>
  <c r="W146" i="20" s="1"/>
  <c r="J146" i="20" a="1"/>
  <c r="J146" i="20" s="1"/>
  <c r="M146" i="20" a="1"/>
  <c r="M146" i="20" s="1"/>
  <c r="P146" i="20" a="1"/>
  <c r="P146" i="20" s="1"/>
  <c r="U146" i="20" a="1"/>
  <c r="U146" i="20" s="1"/>
  <c r="X146" i="20" a="1"/>
  <c r="X146" i="20" s="1"/>
  <c r="H146" i="20" a="1"/>
  <c r="H146" i="20" s="1"/>
  <c r="N146" i="20" a="1"/>
  <c r="N146" i="20" s="1"/>
  <c r="S146" i="20" a="1"/>
  <c r="S146" i="20" s="1"/>
  <c r="V146" i="20" a="1"/>
  <c r="V146" i="20" s="1"/>
  <c r="H124" i="20" a="1"/>
  <c r="H124" i="20" s="1"/>
  <c r="M124" i="20" a="1"/>
  <c r="M124" i="20" s="1"/>
  <c r="P124" i="20" a="1"/>
  <c r="P124" i="20" s="1"/>
  <c r="U124" i="20" a="1"/>
  <c r="U124" i="20" s="1"/>
  <c r="X124" i="20" a="1"/>
  <c r="X124" i="20" s="1"/>
  <c r="K124" i="20" a="1"/>
  <c r="K124" i="20" s="1"/>
  <c r="N124" i="20" a="1"/>
  <c r="N124" i="20" s="1"/>
  <c r="S124" i="20" a="1"/>
  <c r="S124" i="20" s="1"/>
  <c r="V124" i="20" a="1"/>
  <c r="V124" i="20" s="1"/>
  <c r="I124" i="20" a="1"/>
  <c r="I124" i="20" s="1"/>
  <c r="L124" i="20" a="1"/>
  <c r="L124" i="20" s="1"/>
  <c r="Q124" i="20" a="1"/>
  <c r="Q124" i="20" s="1"/>
  <c r="T124" i="20" a="1"/>
  <c r="T124" i="20" s="1"/>
  <c r="Y124" i="20" a="1"/>
  <c r="Y124" i="20" s="1"/>
  <c r="G124" i="20" a="1"/>
  <c r="G124" i="20" s="1"/>
  <c r="J124" i="20" a="1"/>
  <c r="J124" i="20" s="1"/>
  <c r="O124" i="20" a="1"/>
  <c r="O124" i="20" s="1"/>
  <c r="R124" i="20" a="1"/>
  <c r="R124" i="20" s="1"/>
  <c r="W124" i="20" a="1"/>
  <c r="W124" i="20" s="1"/>
  <c r="G122" i="20" a="1"/>
  <c r="G122" i="20" s="1"/>
  <c r="I122" i="20" a="1"/>
  <c r="I122" i="20" s="1"/>
  <c r="K122" i="20" a="1"/>
  <c r="K122" i="20" s="1"/>
  <c r="M122" i="20" a="1"/>
  <c r="M122" i="20" s="1"/>
  <c r="O122" i="20" a="1"/>
  <c r="O122" i="20" s="1"/>
  <c r="Q122" i="20" a="1"/>
  <c r="Q122" i="20" s="1"/>
  <c r="S122" i="20" a="1"/>
  <c r="S122" i="20" s="1"/>
  <c r="U122" i="20" a="1"/>
  <c r="U122" i="20" s="1"/>
  <c r="W122" i="20" a="1"/>
  <c r="W122" i="20" s="1"/>
  <c r="Y122" i="20" a="1"/>
  <c r="Y122" i="20" s="1"/>
  <c r="J122" i="20" a="1"/>
  <c r="J122" i="20" s="1"/>
  <c r="R122" i="20" a="1"/>
  <c r="R122" i="20" s="1"/>
  <c r="M121" i="20" a="1"/>
  <c r="M121" i="20" s="1"/>
  <c r="O121" i="20" a="1"/>
  <c r="O121" i="20" s="1"/>
  <c r="Q121" i="20" a="1"/>
  <c r="Q121" i="20" s="1"/>
  <c r="S121" i="20" a="1"/>
  <c r="S121" i="20" s="1"/>
  <c r="U121" i="20" a="1"/>
  <c r="U121" i="20" s="1"/>
  <c r="W121" i="20" a="1"/>
  <c r="W121" i="20" s="1"/>
  <c r="Y121" i="20" a="1"/>
  <c r="Y121" i="20" s="1"/>
  <c r="H121" i="20" a="1"/>
  <c r="H121" i="20" s="1"/>
  <c r="K121" i="20"/>
  <c r="N121" i="20" a="1"/>
  <c r="N121" i="20" s="1"/>
  <c r="V121" i="20" a="1"/>
  <c r="V121" i="20" s="1"/>
  <c r="G121" i="20" a="1"/>
  <c r="G121" i="20" s="1"/>
  <c r="R121" i="20" a="1"/>
  <c r="R121" i="20" s="1"/>
  <c r="P120" i="20" a="1"/>
  <c r="P120" i="20" s="1"/>
  <c r="J120" i="20" a="1"/>
  <c r="J120" i="20" s="1"/>
  <c r="T119" i="20" a="1"/>
  <c r="T119" i="20" s="1"/>
  <c r="I119" i="20" a="1"/>
  <c r="I119" i="20" s="1"/>
  <c r="L118" i="20" a="1"/>
  <c r="L118" i="20" s="1"/>
  <c r="T116" i="20" a="1"/>
  <c r="T116" i="20" s="1"/>
  <c r="G123" i="20" a="1"/>
  <c r="G123" i="20" s="1"/>
  <c r="I123" i="20" a="1"/>
  <c r="I123" i="20" s="1"/>
  <c r="K123" i="20" a="1"/>
  <c r="K123" i="20" s="1"/>
  <c r="X122" i="20" a="1"/>
  <c r="X122" i="20" s="1"/>
  <c r="T122" i="20" a="1"/>
  <c r="T122" i="20" s="1"/>
  <c r="P121" i="20" a="1"/>
  <c r="P121" i="20" s="1"/>
  <c r="J121" i="20" a="1"/>
  <c r="J121" i="20" s="1"/>
  <c r="T120" i="20" a="1"/>
  <c r="T120" i="20" s="1"/>
  <c r="T118" i="20" a="1"/>
  <c r="T118" i="20" s="1"/>
  <c r="M116" i="20" a="1"/>
  <c r="M116" i="20" s="1"/>
  <c r="O116" i="20" a="1"/>
  <c r="O116" i="20" s="1"/>
  <c r="Q116" i="20" a="1"/>
  <c r="Q116" i="20" s="1"/>
  <c r="S116" i="20" a="1"/>
  <c r="S116" i="20" s="1"/>
  <c r="U116" i="20" a="1"/>
  <c r="U116" i="20" s="1"/>
  <c r="W116" i="20" a="1"/>
  <c r="W116" i="20" s="1"/>
  <c r="Y116" i="20" a="1"/>
  <c r="Y116" i="20" s="1"/>
  <c r="G116" i="20" a="1"/>
  <c r="G116" i="20" s="1"/>
  <c r="R116" i="20" a="1"/>
  <c r="R116" i="20" s="1"/>
  <c r="J116" i="20" a="1"/>
  <c r="J116" i="20" s="1"/>
  <c r="P116" i="20" a="1"/>
  <c r="P116" i="20" s="1"/>
  <c r="X116" i="20" a="1"/>
  <c r="X116" i="20" s="1"/>
  <c r="H116" i="20" a="1"/>
  <c r="H116" i="20" s="1"/>
  <c r="K116" i="20"/>
  <c r="N116" i="20" a="1"/>
  <c r="N116" i="20" s="1"/>
  <c r="V116" i="20" a="1"/>
  <c r="V116" i="20" s="1"/>
  <c r="M119" i="20" a="1"/>
  <c r="M119" i="20" s="1"/>
  <c r="O119" i="20" a="1"/>
  <c r="O119" i="20" s="1"/>
  <c r="Q119" i="20" a="1"/>
  <c r="Q119" i="20" s="1"/>
  <c r="S119" i="20" a="1"/>
  <c r="S119" i="20" s="1"/>
  <c r="U119" i="20" a="1"/>
  <c r="U119" i="20" s="1"/>
  <c r="W119" i="20" a="1"/>
  <c r="W119" i="20" s="1"/>
  <c r="Y119" i="20" a="1"/>
  <c r="Y119" i="20" s="1"/>
  <c r="H119" i="20" a="1"/>
  <c r="H119" i="20" s="1"/>
  <c r="K119" i="20"/>
  <c r="N119" i="20" a="1"/>
  <c r="N119" i="20" s="1"/>
  <c r="V119" i="20" a="1"/>
  <c r="V119" i="20" s="1"/>
  <c r="G119" i="20" a="1"/>
  <c r="G119" i="20" s="1"/>
  <c r="R119" i="20" a="1"/>
  <c r="R119" i="20" s="1"/>
  <c r="M118" i="20" a="1"/>
  <c r="M118" i="20" s="1"/>
  <c r="O118" i="20" a="1"/>
  <c r="O118" i="20" s="1"/>
  <c r="Q118" i="20" a="1"/>
  <c r="Q118" i="20" s="1"/>
  <c r="S118" i="20" a="1"/>
  <c r="S118" i="20" s="1"/>
  <c r="U118" i="20" a="1"/>
  <c r="U118" i="20" s="1"/>
  <c r="W118" i="20" a="1"/>
  <c r="W118" i="20" s="1"/>
  <c r="Y118" i="20" a="1"/>
  <c r="Y118" i="20" s="1"/>
  <c r="G118" i="20" a="1"/>
  <c r="G118" i="20" s="1"/>
  <c r="R118" i="20" a="1"/>
  <c r="R118" i="20" s="1"/>
  <c r="J118" i="20" a="1"/>
  <c r="J118" i="20" s="1"/>
  <c r="P118" i="20" a="1"/>
  <c r="P118" i="20" s="1"/>
  <c r="X118" i="20" a="1"/>
  <c r="X118" i="20" s="1"/>
  <c r="H118" i="20" a="1"/>
  <c r="H118" i="20" s="1"/>
  <c r="K118" i="20"/>
  <c r="N118" i="20" a="1"/>
  <c r="N118" i="20" s="1"/>
  <c r="V118" i="20" a="1"/>
  <c r="V118" i="20" s="1"/>
  <c r="G97" i="20" a="1"/>
  <c r="G97" i="20" s="1"/>
  <c r="I97" i="20" a="1"/>
  <c r="I97" i="20" s="1"/>
  <c r="K97" i="20" a="1"/>
  <c r="K97" i="20" s="1"/>
  <c r="M97" i="20" a="1"/>
  <c r="M97" i="20" s="1"/>
  <c r="O97" i="20" a="1"/>
  <c r="O97" i="20" s="1"/>
  <c r="Q97" i="20" a="1"/>
  <c r="Q97" i="20" s="1"/>
  <c r="S97" i="20" a="1"/>
  <c r="S97" i="20" s="1"/>
  <c r="U97" i="20" a="1"/>
  <c r="U97" i="20" s="1"/>
  <c r="W97" i="20" a="1"/>
  <c r="W97" i="20" s="1"/>
  <c r="Y97" i="20" a="1"/>
  <c r="Y97" i="20" s="1"/>
  <c r="N97" i="20" a="1"/>
  <c r="N97" i="20" s="1"/>
  <c r="V97" i="20" a="1"/>
  <c r="V97" i="20" s="1"/>
  <c r="L97" i="20" a="1"/>
  <c r="L97" i="20" s="1"/>
  <c r="T97" i="20" a="1"/>
  <c r="T97" i="20" s="1"/>
  <c r="J97" i="20" a="1"/>
  <c r="J97" i="20" s="1"/>
  <c r="R97" i="20" a="1"/>
  <c r="R97" i="20" s="1"/>
  <c r="H97" i="20" a="1"/>
  <c r="H97" i="20" s="1"/>
  <c r="P97" i="20" a="1"/>
  <c r="P97" i="20" s="1"/>
  <c r="X97" i="20" a="1"/>
  <c r="X97" i="20" s="1"/>
  <c r="V122" i="20" a="1"/>
  <c r="V122" i="20" s="1"/>
  <c r="H122" i="20" a="1"/>
  <c r="H122" i="20" s="1"/>
  <c r="X121" i="20" a="1"/>
  <c r="X121" i="20" s="1"/>
  <c r="M120" i="20" a="1"/>
  <c r="M120" i="20" s="1"/>
  <c r="O120" i="20" a="1"/>
  <c r="O120" i="20" s="1"/>
  <c r="Q120" i="20" a="1"/>
  <c r="Q120" i="20" s="1"/>
  <c r="S120" i="20" a="1"/>
  <c r="S120" i="20" s="1"/>
  <c r="U120" i="20" a="1"/>
  <c r="U120" i="20" s="1"/>
  <c r="W120" i="20" a="1"/>
  <c r="W120" i="20" s="1"/>
  <c r="Y120" i="20" a="1"/>
  <c r="Y120" i="20" s="1"/>
  <c r="G120" i="20" a="1"/>
  <c r="G120" i="20" s="1"/>
  <c r="R120" i="20" a="1"/>
  <c r="R120" i="20" s="1"/>
  <c r="H120" i="20" a="1"/>
  <c r="H120" i="20" s="1"/>
  <c r="K120" i="20"/>
  <c r="N120" i="20" a="1"/>
  <c r="N120" i="20" s="1"/>
  <c r="V120" i="20" a="1"/>
  <c r="V120" i="20" s="1"/>
  <c r="P119" i="20" a="1"/>
  <c r="P119" i="20" s="1"/>
  <c r="J119" i="20" a="1"/>
  <c r="J119" i="20" s="1"/>
  <c r="L116" i="20" a="1"/>
  <c r="L116" i="20" s="1"/>
  <c r="G95" i="20" a="1"/>
  <c r="G95" i="20" s="1"/>
  <c r="I95" i="20" a="1"/>
  <c r="I95" i="20" s="1"/>
  <c r="K95" i="20" a="1"/>
  <c r="K95" i="20" s="1"/>
  <c r="M95" i="20" a="1"/>
  <c r="M95" i="20" s="1"/>
  <c r="O95" i="20" a="1"/>
  <c r="O95" i="20" s="1"/>
  <c r="Q95" i="20" a="1"/>
  <c r="Q95" i="20" s="1"/>
  <c r="S95" i="20" a="1"/>
  <c r="S95" i="20" s="1"/>
  <c r="U95" i="20" a="1"/>
  <c r="U95" i="20" s="1"/>
  <c r="W95" i="20" a="1"/>
  <c r="W95" i="20" s="1"/>
  <c r="Y95" i="20" a="1"/>
  <c r="Y95" i="20" s="1"/>
  <c r="J95" i="20" a="1"/>
  <c r="J95" i="20" s="1"/>
  <c r="R95" i="20" a="1"/>
  <c r="R95" i="20" s="1"/>
  <c r="N95" i="20" a="1"/>
  <c r="N95" i="20" s="1"/>
  <c r="H95" i="20" a="1"/>
  <c r="H95" i="20" s="1"/>
  <c r="V95" i="20" a="1"/>
  <c r="V95" i="20" s="1"/>
  <c r="L95" i="20" a="1"/>
  <c r="L95" i="20" s="1"/>
  <c r="P95" i="20" a="1"/>
  <c r="P95" i="20" s="1"/>
  <c r="T95" i="20" a="1"/>
  <c r="T95" i="20" s="1"/>
  <c r="X95" i="20" a="1"/>
  <c r="X95" i="20" s="1"/>
  <c r="R117" i="20" a="1"/>
  <c r="R117" i="20" s="1"/>
  <c r="G96" i="20" a="1"/>
  <c r="G96" i="20" s="1"/>
  <c r="I96" i="20" a="1"/>
  <c r="I96" i="20" s="1"/>
  <c r="K96" i="20" a="1"/>
  <c r="K96" i="20" s="1"/>
  <c r="M96" i="20" a="1"/>
  <c r="M96" i="20" s="1"/>
  <c r="O96" i="20" a="1"/>
  <c r="O96" i="20" s="1"/>
  <c r="Q96" i="20" a="1"/>
  <c r="Q96" i="20" s="1"/>
  <c r="S96" i="20" a="1"/>
  <c r="S96" i="20" s="1"/>
  <c r="U96" i="20" a="1"/>
  <c r="U96" i="20" s="1"/>
  <c r="W96" i="20" a="1"/>
  <c r="W96" i="20" s="1"/>
  <c r="Y96" i="20" a="1"/>
  <c r="Y96" i="20" s="1"/>
  <c r="L94" i="20" a="1"/>
  <c r="L94" i="20" s="1"/>
  <c r="H94" i="20" a="1"/>
  <c r="H94" i="20" s="1"/>
  <c r="V93" i="20" a="1"/>
  <c r="V93" i="20" s="1"/>
  <c r="M92" i="20" a="1"/>
  <c r="M92" i="20" s="1"/>
  <c r="O92" i="20" a="1"/>
  <c r="O92" i="20" s="1"/>
  <c r="Q92" i="20" a="1"/>
  <c r="Q92" i="20" s="1"/>
  <c r="S92" i="20" a="1"/>
  <c r="S92" i="20" s="1"/>
  <c r="U92" i="20" a="1"/>
  <c r="U92" i="20" s="1"/>
  <c r="W92" i="20" a="1"/>
  <c r="W92" i="20" s="1"/>
  <c r="Y92" i="20" a="1"/>
  <c r="Y92" i="20" s="1"/>
  <c r="H92" i="20" a="1"/>
  <c r="H92" i="20" s="1"/>
  <c r="K92" i="20"/>
  <c r="N92" i="20" a="1"/>
  <c r="N92" i="20" s="1"/>
  <c r="V92" i="20" a="1"/>
  <c r="V92" i="20" s="1"/>
  <c r="P91" i="20" a="1"/>
  <c r="P91" i="20" s="1"/>
  <c r="L91" i="20" a="1"/>
  <c r="L91" i="20" s="1"/>
  <c r="H91" i="20" a="1"/>
  <c r="H91" i="20" s="1"/>
  <c r="R90" i="20" a="1"/>
  <c r="R90" i="20" s="1"/>
  <c r="J90" i="20" a="1"/>
  <c r="J90" i="20" s="1"/>
  <c r="X89" i="20" a="1"/>
  <c r="X89" i="20" s="1"/>
  <c r="T89" i="20" a="1"/>
  <c r="T89" i="20" s="1"/>
  <c r="I89" i="20" a="1"/>
  <c r="I89" i="20" s="1"/>
  <c r="L88" i="20" a="1"/>
  <c r="L88" i="20" s="1"/>
  <c r="K67" i="20" a="1"/>
  <c r="K67" i="20" s="1"/>
  <c r="N67" i="20" a="1"/>
  <c r="N67" i="20" s="1"/>
  <c r="S67" i="20" a="1"/>
  <c r="S67" i="20" s="1"/>
  <c r="V67" i="20" a="1"/>
  <c r="V67" i="20" s="1"/>
  <c r="I67" i="20" a="1"/>
  <c r="I67" i="20" s="1"/>
  <c r="P67" i="20" a="1"/>
  <c r="P67" i="20" s="1"/>
  <c r="T67" i="20" a="1"/>
  <c r="T67" i="20" s="1"/>
  <c r="W67" i="20" a="1"/>
  <c r="W67" i="20" s="1"/>
  <c r="G67" i="20" a="1"/>
  <c r="G67" i="20" s="1"/>
  <c r="R67" i="20" a="1"/>
  <c r="R67" i="20" s="1"/>
  <c r="U67" i="20" a="1"/>
  <c r="U67" i="20" s="1"/>
  <c r="Y67" i="20" a="1"/>
  <c r="Y67" i="20" s="1"/>
  <c r="H67" i="20" a="1"/>
  <c r="H67" i="20" s="1"/>
  <c r="L67" i="20" a="1"/>
  <c r="L67" i="20" s="1"/>
  <c r="O67" i="20" a="1"/>
  <c r="O67" i="20" s="1"/>
  <c r="G64" i="20" a="1"/>
  <c r="G64" i="20" s="1"/>
  <c r="I64" i="20" a="1"/>
  <c r="I64" i="20" s="1"/>
  <c r="K64" i="20"/>
  <c r="O64" i="20" a="1"/>
  <c r="O64" i="20" s="1"/>
  <c r="R64" i="20" a="1"/>
  <c r="R64" i="20" s="1"/>
  <c r="W64" i="20" a="1"/>
  <c r="W64" i="20" s="1"/>
  <c r="M64" i="20" a="1"/>
  <c r="M64" i="20" s="1"/>
  <c r="T64" i="20" a="1"/>
  <c r="T64" i="20" s="1"/>
  <c r="X64" i="20" a="1"/>
  <c r="X64" i="20" s="1"/>
  <c r="V64" i="20" a="1"/>
  <c r="V64" i="20" s="1"/>
  <c r="Y64" i="20" a="1"/>
  <c r="Y64" i="20" s="1"/>
  <c r="H64" i="20" a="1"/>
  <c r="H64" i="20" s="1"/>
  <c r="L64" i="20" a="1"/>
  <c r="L64" i="20" s="1"/>
  <c r="P64" i="20" a="1"/>
  <c r="P64" i="20" s="1"/>
  <c r="S64" i="20" a="1"/>
  <c r="S64" i="20" s="1"/>
  <c r="M117" i="20" a="1"/>
  <c r="M117" i="20" s="1"/>
  <c r="O117" i="20" a="1"/>
  <c r="O117" i="20" s="1"/>
  <c r="Q117" i="20" a="1"/>
  <c r="Q117" i="20" s="1"/>
  <c r="S117" i="20" a="1"/>
  <c r="S117" i="20" s="1"/>
  <c r="U117" i="20" a="1"/>
  <c r="U117" i="20" s="1"/>
  <c r="W117" i="20" a="1"/>
  <c r="W117" i="20" s="1"/>
  <c r="Y117" i="20" a="1"/>
  <c r="Y117" i="20" s="1"/>
  <c r="V96" i="20" a="1"/>
  <c r="V96" i="20" s="1"/>
  <c r="N96" i="20" a="1"/>
  <c r="N96" i="20" s="1"/>
  <c r="M93" i="20" a="1"/>
  <c r="M93" i="20" s="1"/>
  <c r="O93" i="20" a="1"/>
  <c r="O93" i="20" s="1"/>
  <c r="Q93" i="20" a="1"/>
  <c r="Q93" i="20" s="1"/>
  <c r="S93" i="20" a="1"/>
  <c r="S93" i="20" s="1"/>
  <c r="U93" i="20" a="1"/>
  <c r="U93" i="20" s="1"/>
  <c r="W93" i="20" a="1"/>
  <c r="W93" i="20" s="1"/>
  <c r="Y93" i="20" a="1"/>
  <c r="Y93" i="20" s="1"/>
  <c r="G93" i="20" a="1"/>
  <c r="G93" i="20" s="1"/>
  <c r="R93" i="20" a="1"/>
  <c r="R93" i="20" s="1"/>
  <c r="T92" i="20" a="1"/>
  <c r="T92" i="20" s="1"/>
  <c r="P92" i="20" a="1"/>
  <c r="P92" i="20" s="1"/>
  <c r="I92" i="20" a="1"/>
  <c r="I92" i="20" s="1"/>
  <c r="V91" i="20" a="1"/>
  <c r="V91" i="20" s="1"/>
  <c r="M90" i="20" a="1"/>
  <c r="M90" i="20" s="1"/>
  <c r="O90" i="20" a="1"/>
  <c r="O90" i="20" s="1"/>
  <c r="Q90" i="20" a="1"/>
  <c r="Q90" i="20" s="1"/>
  <c r="S90" i="20" a="1"/>
  <c r="S90" i="20" s="1"/>
  <c r="U90" i="20" a="1"/>
  <c r="U90" i="20" s="1"/>
  <c r="W90" i="20" a="1"/>
  <c r="W90" i="20" s="1"/>
  <c r="Y90" i="20" a="1"/>
  <c r="Y90" i="20" s="1"/>
  <c r="H90" i="20" a="1"/>
  <c r="H90" i="20" s="1"/>
  <c r="K90" i="20"/>
  <c r="N90" i="20" a="1"/>
  <c r="N90" i="20" s="1"/>
  <c r="V90" i="20" a="1"/>
  <c r="V90" i="20" s="1"/>
  <c r="P89" i="20" a="1"/>
  <c r="P89" i="20" s="1"/>
  <c r="L89" i="20" a="1"/>
  <c r="L89" i="20" s="1"/>
  <c r="H89" i="20" a="1"/>
  <c r="H89" i="20" s="1"/>
  <c r="R88" i="20" a="1"/>
  <c r="R88" i="20" s="1"/>
  <c r="J88" i="20" a="1"/>
  <c r="J88" i="20" s="1"/>
  <c r="Q67" i="20" a="1"/>
  <c r="Q67" i="20" s="1"/>
  <c r="M66" i="20" a="1"/>
  <c r="M66" i="20" s="1"/>
  <c r="Q64" i="20" a="1"/>
  <c r="Q64" i="20" s="1"/>
  <c r="V117" i="20" a="1"/>
  <c r="V117" i="20" s="1"/>
  <c r="N117" i="20" a="1"/>
  <c r="N117" i="20" s="1"/>
  <c r="K117" i="20"/>
  <c r="H117" i="20" a="1"/>
  <c r="H117" i="20" s="1"/>
  <c r="X96" i="20" a="1"/>
  <c r="X96" i="20" s="1"/>
  <c r="P96" i="20" a="1"/>
  <c r="P96" i="20" s="1"/>
  <c r="H96" i="20" a="1"/>
  <c r="H96" i="20" s="1"/>
  <c r="G94" i="20" a="1"/>
  <c r="G94" i="20" s="1"/>
  <c r="I94" i="20" a="1"/>
  <c r="I94" i="20" s="1"/>
  <c r="K94" i="20" a="1"/>
  <c r="K94" i="20" s="1"/>
  <c r="M94" i="20" a="1"/>
  <c r="M94" i="20" s="1"/>
  <c r="O94" i="20" a="1"/>
  <c r="O94" i="20" s="1"/>
  <c r="Q94" i="20" a="1"/>
  <c r="Q94" i="20" s="1"/>
  <c r="S94" i="20" a="1"/>
  <c r="S94" i="20" s="1"/>
  <c r="U94" i="20" a="1"/>
  <c r="U94" i="20" s="1"/>
  <c r="W94" i="20" a="1"/>
  <c r="W94" i="20" s="1"/>
  <c r="Y94" i="20" a="1"/>
  <c r="Y94" i="20" s="1"/>
  <c r="N94" i="20" a="1"/>
  <c r="N94" i="20" s="1"/>
  <c r="V94" i="20" a="1"/>
  <c r="V94" i="20" s="1"/>
  <c r="M91" i="20" a="1"/>
  <c r="M91" i="20" s="1"/>
  <c r="O91" i="20" a="1"/>
  <c r="O91" i="20" s="1"/>
  <c r="Q91" i="20" a="1"/>
  <c r="Q91" i="20" s="1"/>
  <c r="S91" i="20" a="1"/>
  <c r="S91" i="20" s="1"/>
  <c r="U91" i="20" a="1"/>
  <c r="U91" i="20" s="1"/>
  <c r="W91" i="20" a="1"/>
  <c r="W91" i="20" s="1"/>
  <c r="Y91" i="20" a="1"/>
  <c r="Y91" i="20" s="1"/>
  <c r="G91" i="20" a="1"/>
  <c r="G91" i="20" s="1"/>
  <c r="R91" i="20" a="1"/>
  <c r="R91" i="20" s="1"/>
  <c r="V89" i="20" a="1"/>
  <c r="V89" i="20" s="1"/>
  <c r="M88" i="20" a="1"/>
  <c r="M88" i="20" s="1"/>
  <c r="O88" i="20" a="1"/>
  <c r="O88" i="20" s="1"/>
  <c r="Q88" i="20" a="1"/>
  <c r="Q88" i="20" s="1"/>
  <c r="S88" i="20" a="1"/>
  <c r="S88" i="20" s="1"/>
  <c r="U88" i="20" a="1"/>
  <c r="U88" i="20" s="1"/>
  <c r="W88" i="20" a="1"/>
  <c r="W88" i="20" s="1"/>
  <c r="Y88" i="20" a="1"/>
  <c r="Y88" i="20" s="1"/>
  <c r="H88" i="20" a="1"/>
  <c r="H88" i="20" s="1"/>
  <c r="K88" i="20"/>
  <c r="K103" i="20" s="1" a="1"/>
  <c r="N88" i="20" a="1"/>
  <c r="N88" i="20" s="1"/>
  <c r="V88" i="20" a="1"/>
  <c r="V88" i="20" s="1"/>
  <c r="G69" i="20" a="1"/>
  <c r="G69" i="20" s="1"/>
  <c r="I69" i="20" a="1"/>
  <c r="I69" i="20" s="1"/>
  <c r="K69" i="20" a="1"/>
  <c r="K69" i="20" s="1"/>
  <c r="M69" i="20" a="1"/>
  <c r="M69" i="20" s="1"/>
  <c r="O69" i="20" a="1"/>
  <c r="O69" i="20" s="1"/>
  <c r="Q69" i="20" a="1"/>
  <c r="Q69" i="20" s="1"/>
  <c r="S69" i="20" a="1"/>
  <c r="S69" i="20" s="1"/>
  <c r="U69" i="20" a="1"/>
  <c r="U69" i="20" s="1"/>
  <c r="W69" i="20" a="1"/>
  <c r="W69" i="20" s="1"/>
  <c r="Y69" i="20" a="1"/>
  <c r="Y69" i="20" s="1"/>
  <c r="L69" i="20" a="1"/>
  <c r="L69" i="20" s="1"/>
  <c r="T69" i="20" a="1"/>
  <c r="T69" i="20" s="1"/>
  <c r="H69" i="20" a="1"/>
  <c r="H69" i="20" s="1"/>
  <c r="P69" i="20" a="1"/>
  <c r="P69" i="20" s="1"/>
  <c r="X69" i="20" a="1"/>
  <c r="X69" i="20" s="1"/>
  <c r="G68" i="20" a="1"/>
  <c r="G68" i="20" s="1"/>
  <c r="J68" i="20" a="1"/>
  <c r="J68" i="20" s="1"/>
  <c r="O68" i="20" a="1"/>
  <c r="O68" i="20" s="1"/>
  <c r="R68" i="20" a="1"/>
  <c r="R68" i="20" s="1"/>
  <c r="W68" i="20" a="1"/>
  <c r="W68" i="20" s="1"/>
  <c r="Y68" i="20" a="1"/>
  <c r="Y68" i="20" s="1"/>
  <c r="N68" i="20" a="1"/>
  <c r="N68" i="20" s="1"/>
  <c r="Q68" i="20" a="1"/>
  <c r="Q68" i="20" s="1"/>
  <c r="U68" i="20" a="1"/>
  <c r="U68" i="20" s="1"/>
  <c r="X68" i="20" a="1"/>
  <c r="X68" i="20" s="1"/>
  <c r="L68" i="20" a="1"/>
  <c r="L68" i="20" s="1"/>
  <c r="P68" i="20" a="1"/>
  <c r="P68" i="20" s="1"/>
  <c r="S68" i="20" a="1"/>
  <c r="S68" i="20" s="1"/>
  <c r="M67" i="20" a="1"/>
  <c r="M67" i="20" s="1"/>
  <c r="X66" i="20" a="1"/>
  <c r="X66" i="20" s="1"/>
  <c r="N64" i="20" a="1"/>
  <c r="N64" i="20" s="1"/>
  <c r="G63" i="20" a="1"/>
  <c r="G63" i="20" s="1"/>
  <c r="I63" i="20" a="1"/>
  <c r="I63" i="20" s="1"/>
  <c r="K63" i="20"/>
  <c r="H63" i="20" a="1"/>
  <c r="H63" i="20" s="1"/>
  <c r="N63" i="20" a="1"/>
  <c r="N63" i="20" s="1"/>
  <c r="S63" i="20" a="1"/>
  <c r="S63" i="20" s="1"/>
  <c r="V63" i="20" a="1"/>
  <c r="V63" i="20" s="1"/>
  <c r="L63" i="20" a="1"/>
  <c r="L63" i="20" s="1"/>
  <c r="O63" i="20" a="1"/>
  <c r="O63" i="20" s="1"/>
  <c r="M63" i="20" a="1"/>
  <c r="M63" i="20" s="1"/>
  <c r="Q63" i="20" a="1"/>
  <c r="Q63" i="20" s="1"/>
  <c r="X63" i="20" a="1"/>
  <c r="X63" i="20" s="1"/>
  <c r="J63" i="20" a="1"/>
  <c r="J63" i="20" s="1"/>
  <c r="R63" i="20" a="1"/>
  <c r="R63" i="20" s="1"/>
  <c r="U63" i="20" a="1"/>
  <c r="U63" i="20" s="1"/>
  <c r="Y63" i="20" a="1"/>
  <c r="Y63" i="20" s="1"/>
  <c r="R96" i="20" a="1"/>
  <c r="R96" i="20" s="1"/>
  <c r="J96" i="20" a="1"/>
  <c r="J96" i="20" s="1"/>
  <c r="T94" i="20" a="1"/>
  <c r="T94" i="20" s="1"/>
  <c r="P94" i="20" a="1"/>
  <c r="P94" i="20" s="1"/>
  <c r="P93" i="20" a="1"/>
  <c r="P93" i="20" s="1"/>
  <c r="L93" i="20" a="1"/>
  <c r="L93" i="20" s="1"/>
  <c r="H93" i="20" a="1"/>
  <c r="H93" i="20" s="1"/>
  <c r="X91" i="20" a="1"/>
  <c r="X91" i="20" s="1"/>
  <c r="T91" i="20" a="1"/>
  <c r="T91" i="20" s="1"/>
  <c r="I91" i="20" a="1"/>
  <c r="I91" i="20" s="1"/>
  <c r="M89" i="20" a="1"/>
  <c r="M89" i="20" s="1"/>
  <c r="O89" i="20" a="1"/>
  <c r="O89" i="20" s="1"/>
  <c r="Q89" i="20" a="1"/>
  <c r="Q89" i="20" s="1"/>
  <c r="S89" i="20" a="1"/>
  <c r="S89" i="20" s="1"/>
  <c r="U89" i="20" a="1"/>
  <c r="U89" i="20" s="1"/>
  <c r="W89" i="20" a="1"/>
  <c r="W89" i="20" s="1"/>
  <c r="Y89" i="20" a="1"/>
  <c r="Y89" i="20" s="1"/>
  <c r="G89" i="20" a="1"/>
  <c r="G89" i="20" s="1"/>
  <c r="G103" i="20" s="1" a="1"/>
  <c r="R89" i="20" a="1"/>
  <c r="R89" i="20" s="1"/>
  <c r="T88" i="20" a="1"/>
  <c r="T88" i="20" s="1"/>
  <c r="P88" i="20" a="1"/>
  <c r="P88" i="20" s="1"/>
  <c r="I88" i="20" a="1"/>
  <c r="I88" i="20" s="1"/>
  <c r="G66" i="20" a="1"/>
  <c r="G66" i="20" s="1"/>
  <c r="J66" i="20" a="1"/>
  <c r="J66" i="20" s="1"/>
  <c r="O66" i="20" a="1"/>
  <c r="O66" i="20" s="1"/>
  <c r="R66" i="20" a="1"/>
  <c r="R66" i="20" s="1"/>
  <c r="W66" i="20" a="1"/>
  <c r="W66" i="20" s="1"/>
  <c r="L66" i="20" a="1"/>
  <c r="L66" i="20" s="1"/>
  <c r="P66" i="20" a="1"/>
  <c r="P66" i="20" s="1"/>
  <c r="S66" i="20" a="1"/>
  <c r="S66" i="20" s="1"/>
  <c r="N66" i="20" a="1"/>
  <c r="N66" i="20" s="1"/>
  <c r="Q66" i="20" a="1"/>
  <c r="Q66" i="20" s="1"/>
  <c r="U66" i="20" a="1"/>
  <c r="U66" i="20" s="1"/>
  <c r="H66" i="20" a="1"/>
  <c r="H66" i="20" s="1"/>
  <c r="K66" i="20" a="1"/>
  <c r="K66" i="20" s="1"/>
  <c r="V66" i="20" a="1"/>
  <c r="V66" i="20" s="1"/>
  <c r="Y66" i="20" a="1"/>
  <c r="Y66" i="20" s="1"/>
  <c r="J64" i="20" a="1"/>
  <c r="J64" i="20" s="1"/>
  <c r="P63" i="20" a="1"/>
  <c r="P63" i="20" s="1"/>
  <c r="G61" i="20" a="1"/>
  <c r="G61" i="20" s="1"/>
  <c r="I61" i="20" a="1"/>
  <c r="I61" i="20" s="1"/>
  <c r="K61" i="20"/>
  <c r="H61" i="20" a="1"/>
  <c r="H61" i="20" s="1"/>
  <c r="H75" i="20" s="1" a="1"/>
  <c r="N61" i="20" a="1"/>
  <c r="N61" i="20" s="1"/>
  <c r="S61" i="20" a="1"/>
  <c r="S61" i="20" s="1"/>
  <c r="V61" i="20" a="1"/>
  <c r="V61" i="20" s="1"/>
  <c r="P61" i="20" a="1"/>
  <c r="P61" i="20" s="1"/>
  <c r="T61" i="20" a="1"/>
  <c r="T61" i="20" s="1"/>
  <c r="W61" i="20" a="1"/>
  <c r="W61" i="20" s="1"/>
  <c r="J61" i="20" a="1"/>
  <c r="J61" i="20" s="1"/>
  <c r="R61" i="20" a="1"/>
  <c r="R61" i="20" s="1"/>
  <c r="U61" i="20" a="1"/>
  <c r="U61" i="20" s="1"/>
  <c r="Y61" i="20" a="1"/>
  <c r="Y61" i="20" s="1"/>
  <c r="L61" i="20" a="1"/>
  <c r="L61" i="20" s="1"/>
  <c r="O61" i="20" a="1"/>
  <c r="O61" i="20" s="1"/>
  <c r="G39" i="20" a="1"/>
  <c r="G39" i="20" s="1"/>
  <c r="I39" i="20" a="1"/>
  <c r="I39" i="20" s="1"/>
  <c r="K39" i="20" a="1"/>
  <c r="K39" i="20" s="1"/>
  <c r="M39" i="20" a="1"/>
  <c r="M39" i="20" s="1"/>
  <c r="H39" i="20" a="1"/>
  <c r="H39" i="20" s="1"/>
  <c r="Q39" i="20" a="1"/>
  <c r="Q39" i="20" s="1"/>
  <c r="T39" i="20" a="1"/>
  <c r="T39" i="20" s="1"/>
  <c r="Y39" i="20" a="1"/>
  <c r="Y39" i="20" s="1"/>
  <c r="L39" i="20" a="1"/>
  <c r="L39" i="20" s="1"/>
  <c r="O39" i="20" a="1"/>
  <c r="O39" i="20" s="1"/>
  <c r="R39" i="20" a="1"/>
  <c r="R39" i="20" s="1"/>
  <c r="W39" i="20" a="1"/>
  <c r="W39" i="20" s="1"/>
  <c r="X39" i="20" a="1"/>
  <c r="X39" i="20" s="1"/>
  <c r="N39" i="20" a="1"/>
  <c r="N39" i="20" s="1"/>
  <c r="S39" i="20" a="1"/>
  <c r="S39" i="20" s="1"/>
  <c r="P39" i="20" a="1"/>
  <c r="P39" i="20" s="1"/>
  <c r="U39" i="20" a="1"/>
  <c r="U39" i="20" s="1"/>
  <c r="J39" i="20" a="1"/>
  <c r="J39" i="20" s="1"/>
  <c r="V39" i="20" a="1"/>
  <c r="V39" i="20" s="1"/>
  <c r="X65" i="20" a="1"/>
  <c r="X65" i="20" s="1"/>
  <c r="Q65" i="20" a="1"/>
  <c r="Q65" i="20" s="1"/>
  <c r="M65" i="20" a="1"/>
  <c r="M65" i="20" s="1"/>
  <c r="X62" i="20" a="1"/>
  <c r="X62" i="20" s="1"/>
  <c r="T62" i="20" a="1"/>
  <c r="T62" i="20" s="1"/>
  <c r="M62" i="20" a="1"/>
  <c r="M62" i="20" s="1"/>
  <c r="G60" i="20" a="1"/>
  <c r="G60" i="20" s="1"/>
  <c r="I60" i="20" a="1"/>
  <c r="I60" i="20" s="1"/>
  <c r="K60" i="20"/>
  <c r="K75" i="20" s="1" a="1"/>
  <c r="O60" i="20" a="1"/>
  <c r="O60" i="20" s="1"/>
  <c r="R60" i="20" a="1"/>
  <c r="R60" i="20" s="1"/>
  <c r="W60" i="20" a="1"/>
  <c r="W60" i="20" s="1"/>
  <c r="V41" i="20" a="1"/>
  <c r="V41" i="20" s="1"/>
  <c r="O41" i="20" a="1"/>
  <c r="O41" i="20" s="1"/>
  <c r="K41" i="20" a="1"/>
  <c r="K41" i="20" s="1"/>
  <c r="H41" i="20" a="1"/>
  <c r="H41" i="20" s="1"/>
  <c r="H40" i="20" a="1"/>
  <c r="H40" i="20" s="1"/>
  <c r="M40" i="20" a="1"/>
  <c r="M40" i="20" s="1"/>
  <c r="P40" i="20" a="1"/>
  <c r="P40" i="20" s="1"/>
  <c r="U40" i="20" a="1"/>
  <c r="U40" i="20" s="1"/>
  <c r="X40" i="20" a="1"/>
  <c r="X40" i="20" s="1"/>
  <c r="W65" i="20" a="1"/>
  <c r="W65" i="20" s="1"/>
  <c r="T65" i="20" a="1"/>
  <c r="T65" i="20" s="1"/>
  <c r="S62" i="20" a="1"/>
  <c r="S62" i="20" s="1"/>
  <c r="P62" i="20" a="1"/>
  <c r="P62" i="20" s="1"/>
  <c r="L62" i="20" a="1"/>
  <c r="L62" i="20" s="1"/>
  <c r="X60" i="20" a="1"/>
  <c r="X60" i="20" s="1"/>
  <c r="T60" i="20" a="1"/>
  <c r="T60" i="20" s="1"/>
  <c r="M60" i="20" a="1"/>
  <c r="M60" i="20" s="1"/>
  <c r="M75" i="20" s="1" a="1"/>
  <c r="U41" i="20" a="1"/>
  <c r="U41" i="20" s="1"/>
  <c r="R41" i="20" a="1"/>
  <c r="R41" i="20" s="1"/>
  <c r="N41" i="20" a="1"/>
  <c r="N41" i="20" s="1"/>
  <c r="L36" i="20" a="1"/>
  <c r="L36" i="20" s="1"/>
  <c r="N36" i="20" a="1"/>
  <c r="N36" i="20" s="1"/>
  <c r="P36" i="20" a="1"/>
  <c r="P36" i="20" s="1"/>
  <c r="R36" i="20" a="1"/>
  <c r="R36" i="20" s="1"/>
  <c r="T36" i="20" a="1"/>
  <c r="T36" i="20" s="1"/>
  <c r="V36" i="20" a="1"/>
  <c r="V36" i="20" s="1"/>
  <c r="X36" i="20" a="1"/>
  <c r="X36" i="20" s="1"/>
  <c r="M36" i="20" a="1"/>
  <c r="M36" i="20" s="1"/>
  <c r="O36" i="20" a="1"/>
  <c r="O36" i="20" s="1"/>
  <c r="Q36" i="20" a="1"/>
  <c r="Q36" i="20" s="1"/>
  <c r="S36" i="20" a="1"/>
  <c r="S36" i="20" s="1"/>
  <c r="U36" i="20" a="1"/>
  <c r="U36" i="20" s="1"/>
  <c r="W36" i="20" a="1"/>
  <c r="W36" i="20" s="1"/>
  <c r="Y36" i="20" a="1"/>
  <c r="Y36" i="20" s="1"/>
  <c r="G36" i="20" a="1"/>
  <c r="G36" i="20" s="1"/>
  <c r="K36" i="20"/>
  <c r="H36" i="20" a="1"/>
  <c r="H36" i="20" s="1"/>
  <c r="I36" i="20" a="1"/>
  <c r="I36" i="20" s="1"/>
  <c r="G34" i="20" a="1"/>
  <c r="G34" i="20" s="1"/>
  <c r="I34" i="20" a="1"/>
  <c r="I34" i="20" s="1"/>
  <c r="K34" i="20"/>
  <c r="H34" i="20" a="1"/>
  <c r="H34" i="20" s="1"/>
  <c r="N34" i="20" a="1"/>
  <c r="N34" i="20" s="1"/>
  <c r="P34" i="20" a="1"/>
  <c r="P34" i="20" s="1"/>
  <c r="R34" i="20" a="1"/>
  <c r="R34" i="20" s="1"/>
  <c r="T34" i="20" a="1"/>
  <c r="T34" i="20" s="1"/>
  <c r="V34" i="20" a="1"/>
  <c r="V34" i="20" s="1"/>
  <c r="X34" i="20" a="1"/>
  <c r="X34" i="20" s="1"/>
  <c r="O34" i="20" a="1"/>
  <c r="O34" i="20" s="1"/>
  <c r="Q34" i="20" a="1"/>
  <c r="Q34" i="20" s="1"/>
  <c r="S34" i="20" a="1"/>
  <c r="S34" i="20" s="1"/>
  <c r="U34" i="20" a="1"/>
  <c r="U34" i="20" s="1"/>
  <c r="W34" i="20" a="1"/>
  <c r="W34" i="20" s="1"/>
  <c r="Y34" i="20" a="1"/>
  <c r="Y34" i="20" s="1"/>
  <c r="J34" i="20" a="1"/>
  <c r="J34" i="20" s="1"/>
  <c r="L34" i="20" a="1"/>
  <c r="L34" i="20" s="1"/>
  <c r="M34" i="20" a="1"/>
  <c r="M34" i="20" s="1"/>
  <c r="I41" i="20" a="1"/>
  <c r="I41" i="20" s="1"/>
  <c r="L41" i="20" a="1"/>
  <c r="L41" i="20" s="1"/>
  <c r="Q41" i="20" a="1"/>
  <c r="Q41" i="20" s="1"/>
  <c r="T41" i="20" a="1"/>
  <c r="T41" i="20" s="1"/>
  <c r="Y41" i="20" a="1"/>
  <c r="Y41" i="20" s="1"/>
  <c r="L37" i="20" a="1"/>
  <c r="L37" i="20" s="1"/>
  <c r="N37" i="20" a="1"/>
  <c r="N37" i="20" s="1"/>
  <c r="P37" i="20" a="1"/>
  <c r="P37" i="20" s="1"/>
  <c r="R37" i="20" a="1"/>
  <c r="R37" i="20" s="1"/>
  <c r="T37" i="20" a="1"/>
  <c r="T37" i="20" s="1"/>
  <c r="V37" i="20" a="1"/>
  <c r="V37" i="20" s="1"/>
  <c r="X37" i="20" a="1"/>
  <c r="X37" i="20" s="1"/>
  <c r="M37" i="20" a="1"/>
  <c r="M37" i="20" s="1"/>
  <c r="O37" i="20" a="1"/>
  <c r="O37" i="20" s="1"/>
  <c r="Q37" i="20" a="1"/>
  <c r="Q37" i="20" s="1"/>
  <c r="S37" i="20" a="1"/>
  <c r="S37" i="20" s="1"/>
  <c r="U37" i="20" a="1"/>
  <c r="U37" i="20" s="1"/>
  <c r="W37" i="20" a="1"/>
  <c r="W37" i="20" s="1"/>
  <c r="Y37" i="20" a="1"/>
  <c r="Y37" i="20" s="1"/>
  <c r="G37" i="20" a="1"/>
  <c r="G37" i="20" s="1"/>
  <c r="K37" i="20"/>
  <c r="I37" i="20" a="1"/>
  <c r="I37" i="20" s="1"/>
  <c r="J37" i="20" a="1"/>
  <c r="J37" i="20" s="1"/>
  <c r="G65" i="20" a="1"/>
  <c r="G65" i="20" s="1"/>
  <c r="I65" i="20" a="1"/>
  <c r="I65" i="20" s="1"/>
  <c r="K65" i="20"/>
  <c r="H65" i="20" a="1"/>
  <c r="H65" i="20" s="1"/>
  <c r="N65" i="20" a="1"/>
  <c r="N65" i="20" s="1"/>
  <c r="S65" i="20" a="1"/>
  <c r="S65" i="20" s="1"/>
  <c r="V65" i="20" a="1"/>
  <c r="V65" i="20" s="1"/>
  <c r="G62" i="20" a="1"/>
  <c r="G62" i="20" s="1"/>
  <c r="I62" i="20" a="1"/>
  <c r="I62" i="20" s="1"/>
  <c r="K62" i="20"/>
  <c r="O62" i="20" a="1"/>
  <c r="O62" i="20" s="1"/>
  <c r="R62" i="20" a="1"/>
  <c r="R62" i="20" s="1"/>
  <c r="W62" i="20" a="1"/>
  <c r="W62" i="20" s="1"/>
  <c r="W41" i="20" a="1"/>
  <c r="W41" i="20" s="1"/>
  <c r="S41" i="20" a="1"/>
  <c r="S41" i="20" s="1"/>
  <c r="P41" i="20" a="1"/>
  <c r="P41" i="20" s="1"/>
  <c r="P33" i="20" a="1"/>
  <c r="P33" i="20" s="1"/>
  <c r="L35" i="20" a="1"/>
  <c r="L35" i="20" s="1"/>
  <c r="N35" i="20" a="1"/>
  <c r="N35" i="20" s="1"/>
  <c r="P35" i="20" a="1"/>
  <c r="P35" i="20" s="1"/>
  <c r="R35" i="20" a="1"/>
  <c r="R35" i="20" s="1"/>
  <c r="T35" i="20" a="1"/>
  <c r="T35" i="20" s="1"/>
  <c r="V35" i="20" a="1"/>
  <c r="V35" i="20" s="1"/>
  <c r="X35" i="20" a="1"/>
  <c r="X35" i="20" s="1"/>
  <c r="M35" i="20" a="1"/>
  <c r="M35" i="20" s="1"/>
  <c r="O35" i="20" a="1"/>
  <c r="O35" i="20" s="1"/>
  <c r="Q35" i="20" a="1"/>
  <c r="Q35" i="20" s="1"/>
  <c r="S35" i="20" a="1"/>
  <c r="S35" i="20" s="1"/>
  <c r="U35" i="20" a="1"/>
  <c r="U35" i="20" s="1"/>
  <c r="W35" i="20" a="1"/>
  <c r="W35" i="20" s="1"/>
  <c r="Y35" i="20" a="1"/>
  <c r="Y35" i="20" s="1"/>
  <c r="G35" i="20" a="1"/>
  <c r="G35" i="20" s="1"/>
  <c r="K35" i="20"/>
  <c r="J35" i="20" a="1"/>
  <c r="J35" i="20" s="1"/>
  <c r="G33" i="20" a="1"/>
  <c r="G33" i="20" s="1"/>
  <c r="I33" i="20" a="1"/>
  <c r="I33" i="20" s="1"/>
  <c r="K33" i="20"/>
  <c r="O33" i="20" a="1"/>
  <c r="O33" i="20" s="1"/>
  <c r="R33" i="20" a="1"/>
  <c r="R33" i="20" s="1"/>
  <c r="W33" i="20" a="1"/>
  <c r="W33" i="20" s="1"/>
  <c r="H33" i="20" a="1"/>
  <c r="H33" i="20" s="1"/>
  <c r="N33" i="20" a="1"/>
  <c r="N33" i="20" s="1"/>
  <c r="S33" i="20" a="1"/>
  <c r="S33" i="20" s="1"/>
  <c r="V33" i="20" a="1"/>
  <c r="V33" i="20" s="1"/>
  <c r="M33" i="20" a="1"/>
  <c r="M33" i="20" s="1"/>
  <c r="X33" i="20" a="1"/>
  <c r="X33" i="20" s="1"/>
  <c r="T33" i="20" a="1"/>
  <c r="T33" i="20" s="1"/>
  <c r="Y33" i="20" a="1"/>
  <c r="Y33" i="20" s="1"/>
  <c r="G38" i="20" a="1"/>
  <c r="G38" i="20" s="1"/>
  <c r="I38" i="20" a="1"/>
  <c r="I38" i="20" s="1"/>
  <c r="K38" i="20" a="1"/>
  <c r="K38" i="20" s="1"/>
  <c r="M38" i="20" a="1"/>
  <c r="M38" i="20" s="1"/>
  <c r="O38" i="20" a="1"/>
  <c r="O38" i="20" s="1"/>
  <c r="Q38" i="20" a="1"/>
  <c r="Q38" i="20" s="1"/>
  <c r="S38" i="20" a="1"/>
  <c r="S38" i="20" s="1"/>
  <c r="U38" i="20" a="1"/>
  <c r="U38" i="20" s="1"/>
  <c r="W38" i="20" a="1"/>
  <c r="W38" i="20" s="1"/>
  <c r="Y38" i="20" a="1"/>
  <c r="Y38" i="20" s="1"/>
  <c r="G32" i="20" a="1"/>
  <c r="G32" i="20" s="1"/>
  <c r="I32" i="20" a="1"/>
  <c r="I32" i="20" s="1"/>
  <c r="K32" i="20"/>
  <c r="H19" i="20" a="1"/>
  <c r="V32" i="20" a="1"/>
  <c r="V32" i="20" s="1"/>
  <c r="S32" i="20" a="1"/>
  <c r="S32" i="20" s="1"/>
  <c r="S47" i="20" s="1" a="1"/>
  <c r="N32" i="20" a="1"/>
  <c r="N32" i="20" s="1"/>
  <c r="H32" i="20" a="1"/>
  <c r="H32" i="20" s="1"/>
  <c r="O19" i="20" a="1"/>
  <c r="W19" i="20" a="1"/>
  <c r="K19" i="20" a="1"/>
  <c r="R19" i="20" a="1"/>
  <c r="I1125" i="20" a="1"/>
  <c r="I1125" i="20" s="1"/>
  <c r="I1124" i="20" a="1"/>
  <c r="I1124" i="20" s="1"/>
  <c r="I1097" i="20" a="1"/>
  <c r="I1097" i="20" s="1"/>
  <c r="I1096" i="20" a="1"/>
  <c r="I1096" i="20" s="1"/>
  <c r="I1069" i="20" a="1"/>
  <c r="I1069" i="20" s="1"/>
  <c r="I1068" i="20" a="1"/>
  <c r="I1068" i="20" s="1"/>
  <c r="I1041" i="20" a="1"/>
  <c r="I1041" i="20" s="1"/>
  <c r="I1040" i="20" a="1"/>
  <c r="I1040" i="20" s="1"/>
  <c r="I1013" i="20" a="1"/>
  <c r="I1013" i="20" s="1"/>
  <c r="I1012" i="20" a="1"/>
  <c r="I1012" i="20" s="1"/>
  <c r="I985" i="20" a="1"/>
  <c r="I985" i="20" s="1"/>
  <c r="I984" i="20" a="1"/>
  <c r="I984" i="20" s="1"/>
  <c r="I957" i="20" a="1"/>
  <c r="I957" i="20" s="1"/>
  <c r="I956" i="20" a="1"/>
  <c r="I956" i="20" s="1"/>
  <c r="I971" i="20" s="1" a="1"/>
  <c r="I929" i="20" a="1"/>
  <c r="I929" i="20" s="1"/>
  <c r="I928" i="20" a="1"/>
  <c r="I928" i="20" s="1"/>
  <c r="I943" i="20" s="1" a="1"/>
  <c r="I901" i="20" a="1"/>
  <c r="I901" i="20" s="1"/>
  <c r="I900" i="20" a="1"/>
  <c r="I900" i="20" s="1"/>
  <c r="I873" i="20" a="1"/>
  <c r="I873" i="20" s="1"/>
  <c r="I872" i="20" a="1"/>
  <c r="I872" i="20" s="1"/>
  <c r="I845" i="20" a="1"/>
  <c r="I845" i="20" s="1"/>
  <c r="I844" i="20" a="1"/>
  <c r="I844" i="20" s="1"/>
  <c r="I789" i="20" a="1"/>
  <c r="I789" i="20" s="1"/>
  <c r="I788" i="20" a="1"/>
  <c r="I788" i="20" s="1"/>
  <c r="I803" i="20" s="1" a="1"/>
  <c r="I761" i="20" a="1"/>
  <c r="I761" i="20" s="1"/>
  <c r="I760" i="20" a="1"/>
  <c r="I760" i="20" s="1"/>
  <c r="I775" i="20" s="1" a="1"/>
  <c r="I733" i="20" a="1"/>
  <c r="I733" i="20" s="1"/>
  <c r="I732" i="20" a="1"/>
  <c r="I732" i="20" s="1"/>
  <c r="I706" i="20" a="1"/>
  <c r="I706" i="20" s="1"/>
  <c r="I705" i="20" a="1"/>
  <c r="I705" i="20" s="1"/>
  <c r="I677" i="20" a="1"/>
  <c r="I677" i="20" s="1"/>
  <c r="I676" i="20" a="1"/>
  <c r="I676" i="20" s="1"/>
  <c r="I649" i="20" a="1"/>
  <c r="I649" i="20" s="1"/>
  <c r="I648" i="20" a="1"/>
  <c r="I648" i="20" s="1"/>
  <c r="I621" i="20" a="1"/>
  <c r="I621" i="20" s="1"/>
  <c r="I620" i="20" a="1"/>
  <c r="I620" i="20" s="1"/>
  <c r="I592" i="20" a="1"/>
  <c r="I592" i="20" s="1"/>
  <c r="I566" i="20" a="1"/>
  <c r="I566" i="20" s="1"/>
  <c r="I565" i="20" a="1"/>
  <c r="I565" i="20" s="1"/>
  <c r="I537" i="20" a="1"/>
  <c r="I537" i="20" s="1"/>
  <c r="I536" i="20" a="1"/>
  <c r="I536" i="20" s="1"/>
  <c r="I551" i="20" s="1" a="1"/>
  <c r="I510" i="20" a="1"/>
  <c r="I510" i="20" s="1"/>
  <c r="I509" i="20" a="1"/>
  <c r="I509" i="20" s="1"/>
  <c r="I508" i="20" a="1"/>
  <c r="I508" i="20" s="1"/>
  <c r="I481" i="20" a="1"/>
  <c r="I481" i="20" s="1"/>
  <c r="I480" i="20" a="1"/>
  <c r="I480" i="20" s="1"/>
  <c r="I453" i="20" a="1"/>
  <c r="I453" i="20" s="1"/>
  <c r="I452" i="20" a="1"/>
  <c r="I452" i="20" s="1"/>
  <c r="I425" i="20" a="1"/>
  <c r="I425" i="20" s="1"/>
  <c r="I424" i="20" a="1"/>
  <c r="I424" i="20" s="1"/>
  <c r="I369" i="20" a="1"/>
  <c r="I369" i="20" s="1"/>
  <c r="I368" i="20" a="1"/>
  <c r="I368" i="20" s="1"/>
  <c r="I343" i="20" a="1"/>
  <c r="I343" i="20" s="1"/>
  <c r="I342" i="20" a="1"/>
  <c r="I342" i="20" s="1"/>
  <c r="I315" i="20" a="1"/>
  <c r="I315" i="20" s="1"/>
  <c r="I314" i="20" a="1"/>
  <c r="I314" i="20" s="1"/>
  <c r="I286" i="20" a="1"/>
  <c r="I286" i="20" s="1"/>
  <c r="I285" i="20" a="1"/>
  <c r="I285" i="20" s="1"/>
  <c r="I229" i="20" a="1"/>
  <c r="I229" i="20" s="1"/>
  <c r="I228" i="20" a="1"/>
  <c r="I228" i="20" s="1"/>
  <c r="I201" i="20" a="1"/>
  <c r="I201" i="20" s="1"/>
  <c r="I173" i="20" a="1"/>
  <c r="I173" i="20" s="1"/>
  <c r="I172" i="20" a="1"/>
  <c r="I172" i="20" s="1"/>
  <c r="I145" i="20" a="1"/>
  <c r="I145" i="20" s="1"/>
  <c r="I117" i="20" a="1"/>
  <c r="I117" i="20" s="1"/>
  <c r="I116" i="20" a="1"/>
  <c r="I116" i="20" s="1"/>
  <c r="Z663" i="20" l="1"/>
  <c r="Z664" i="20" s="1" a="1"/>
  <c r="Z719" i="20"/>
  <c r="Z720" i="20" s="1" a="1"/>
  <c r="Z1083" i="20"/>
  <c r="Z1084" i="20" s="1" a="1"/>
  <c r="Z187" i="20"/>
  <c r="Z188" i="20" s="1" a="1"/>
  <c r="Z188" i="20" s="1"/>
  <c r="Z607" i="20"/>
  <c r="Z608" i="20" s="1" a="1"/>
  <c r="Z775" i="20"/>
  <c r="Z776" i="20" s="1" a="1"/>
  <c r="Z859" i="20"/>
  <c r="Z860" i="20" s="1" a="1"/>
  <c r="Z860" i="20" s="1"/>
  <c r="AB19" i="20"/>
  <c r="AB20" i="20" s="1" a="1"/>
  <c r="AB20" i="20" s="1"/>
  <c r="AB47" i="20"/>
  <c r="AB75" i="20"/>
  <c r="AA103" i="20"/>
  <c r="AA131" i="20"/>
  <c r="AA159" i="20"/>
  <c r="AB187" i="20"/>
  <c r="AA215" i="20"/>
  <c r="AA243" i="20"/>
  <c r="AA271" i="20"/>
  <c r="AA299" i="20"/>
  <c r="AB327" i="20"/>
  <c r="AB355" i="20"/>
  <c r="AB383" i="20"/>
  <c r="AA411" i="20"/>
  <c r="AB439" i="20"/>
  <c r="AA467" i="20"/>
  <c r="AB495" i="20"/>
  <c r="AB523" i="20"/>
  <c r="AA551" i="20"/>
  <c r="AA579" i="20"/>
  <c r="AB607" i="20"/>
  <c r="AB635" i="20"/>
  <c r="AA663" i="20"/>
  <c r="AB691" i="20"/>
  <c r="AA719" i="20"/>
  <c r="AA747" i="20"/>
  <c r="AB775" i="20"/>
  <c r="AA803" i="20"/>
  <c r="AA831" i="20"/>
  <c r="AB859" i="20"/>
  <c r="AA887" i="20"/>
  <c r="AB915" i="20"/>
  <c r="AA943" i="20"/>
  <c r="AB971" i="20"/>
  <c r="AB999" i="20"/>
  <c r="AA1027" i="20"/>
  <c r="AA1055" i="20"/>
  <c r="AB1083" i="20"/>
  <c r="AB1111" i="20"/>
  <c r="AB1139" i="20"/>
  <c r="AA19" i="20"/>
  <c r="AA20" i="20" s="1" a="1"/>
  <c r="AA20" i="20" s="1"/>
  <c r="AA47" i="20"/>
  <c r="AA75" i="20"/>
  <c r="AB103" i="20"/>
  <c r="AB131" i="20"/>
  <c r="AB159" i="20"/>
  <c r="AA187" i="20"/>
  <c r="AB215" i="20"/>
  <c r="AB243" i="20"/>
  <c r="AB271" i="20"/>
  <c r="AB299" i="20"/>
  <c r="AA327" i="20"/>
  <c r="AA355" i="20"/>
  <c r="AA383" i="20"/>
  <c r="AB411" i="20"/>
  <c r="AA439" i="20"/>
  <c r="AB467" i="20"/>
  <c r="AA495" i="20"/>
  <c r="AA523" i="20"/>
  <c r="AB551" i="20"/>
  <c r="AB579" i="20"/>
  <c r="AA607" i="20"/>
  <c r="AA635" i="20"/>
  <c r="AB663" i="20"/>
  <c r="AA691" i="20"/>
  <c r="AB719" i="20"/>
  <c r="AB747" i="20"/>
  <c r="AA775" i="20"/>
  <c r="AB803" i="20"/>
  <c r="AB831" i="20"/>
  <c r="AA859" i="20"/>
  <c r="AB887" i="20"/>
  <c r="AA915" i="20"/>
  <c r="AB943" i="20"/>
  <c r="AA971" i="20"/>
  <c r="AA999" i="20"/>
  <c r="AB1027" i="20"/>
  <c r="AB1055" i="20"/>
  <c r="AA1083" i="20"/>
  <c r="AA1111" i="20"/>
  <c r="AA1139" i="20"/>
  <c r="Z383" i="20"/>
  <c r="Z384" i="20" s="1" a="1"/>
  <c r="Z384" i="20" s="1"/>
  <c r="Z439" i="20"/>
  <c r="Z440" i="20" s="1" a="1"/>
  <c r="Z440" i="20" s="1"/>
  <c r="Z411" i="20"/>
  <c r="Z412" i="20" s="1" a="1"/>
  <c r="Z412" i="20" s="1"/>
  <c r="Z467" i="20"/>
  <c r="Z468" i="20" s="1" a="1"/>
  <c r="Z468" i="20" s="1"/>
  <c r="Z495" i="20"/>
  <c r="Z496" i="20" s="1" a="1"/>
  <c r="Z496" i="20" s="1"/>
  <c r="Z243" i="20"/>
  <c r="Z244" i="20" s="1" a="1"/>
  <c r="Z244" i="20" s="1"/>
  <c r="Z271" i="20"/>
  <c r="Z272" i="20" s="1" a="1"/>
  <c r="Z272" i="20" s="1"/>
  <c r="Z915" i="20"/>
  <c r="Z916" i="20" s="1" a="1"/>
  <c r="Z916" i="20" s="1"/>
  <c r="Z1139" i="20"/>
  <c r="Z1140" i="20" s="1" a="1"/>
  <c r="Z1140" i="20" s="1"/>
  <c r="Z19" i="20"/>
  <c r="Z20" i="20" s="1"/>
  <c r="Z47" i="20"/>
  <c r="Z48" i="20" s="1" a="1"/>
  <c r="Z48" i="20" s="1"/>
  <c r="Z159" i="20"/>
  <c r="Z160" i="20" s="1" a="1"/>
  <c r="Z160" i="20" s="1"/>
  <c r="Z355" i="20" a="1"/>
  <c r="Z355" i="20"/>
  <c r="Z356" i="20" s="1" a="1"/>
  <c r="Z356" i="20" s="1"/>
  <c r="Z523" i="20" a="1"/>
  <c r="Z523" i="20"/>
  <c r="Z524" i="20" s="1" a="1"/>
  <c r="Z524" i="20" s="1"/>
  <c r="Z579" i="20" a="1"/>
  <c r="Z579" i="20"/>
  <c r="Z580" i="20" s="1" a="1"/>
  <c r="Z580" i="20" s="1"/>
  <c r="Z635" i="20" a="1"/>
  <c r="Z635" i="20"/>
  <c r="Z636" i="20" s="1" a="1"/>
  <c r="Z636" i="20" s="1"/>
  <c r="Z691" i="20" a="1"/>
  <c r="Z691" i="20"/>
  <c r="Z692" i="20" s="1" a="1"/>
  <c r="Z692" i="20" s="1"/>
  <c r="Z747" i="20" a="1"/>
  <c r="Z747" i="20"/>
  <c r="Z748" i="20" s="1" a="1"/>
  <c r="Z748" i="20" s="1"/>
  <c r="Z803" i="20" a="1"/>
  <c r="Z803" i="20"/>
  <c r="Z804" i="20" s="1" a="1"/>
  <c r="Z804" i="20" s="1"/>
  <c r="Z215" i="20"/>
  <c r="Z216" i="20" s="1" a="1"/>
  <c r="Z216" i="20" s="1"/>
  <c r="Z131" i="20" a="1"/>
  <c r="Z131" i="20"/>
  <c r="Z132" i="20" s="1" a="1"/>
  <c r="Z132" i="20" s="1"/>
  <c r="Z327" i="20"/>
  <c r="Z328" i="20" s="1" a="1"/>
  <c r="Z328" i="20" s="1"/>
  <c r="Z551" i="20" a="1"/>
  <c r="Z551" i="20"/>
  <c r="Z552" i="20" s="1" a="1"/>
  <c r="Z552" i="20" s="1"/>
  <c r="Z831" i="20"/>
  <c r="Z832" i="20" s="1" a="1"/>
  <c r="Z832" i="20" s="1"/>
  <c r="Z887" i="20"/>
  <c r="Z888" i="20" s="1" a="1"/>
  <c r="Z888" i="20" s="1"/>
  <c r="Z943" i="20"/>
  <c r="Z944" i="20" s="1" a="1"/>
  <c r="Z944" i="20" s="1"/>
  <c r="Z971" i="20" a="1"/>
  <c r="Z971" i="20"/>
  <c r="Z972" i="20" s="1" a="1"/>
  <c r="Z972" i="20" s="1"/>
  <c r="Z999" i="20"/>
  <c r="Z1000" i="20" s="1" a="1"/>
  <c r="Z1000" i="20" s="1"/>
  <c r="Z1027" i="20"/>
  <c r="Z1028" i="20" s="1" a="1"/>
  <c r="Z1028" i="20" s="1"/>
  <c r="Z1055" i="20"/>
  <c r="Z1056" i="20" s="1" a="1"/>
  <c r="Z1056" i="20" s="1"/>
  <c r="Z1111" i="20"/>
  <c r="Z1112" i="20" s="1" a="1"/>
  <c r="Z1112" i="20" s="1"/>
  <c r="Z75" i="20" a="1"/>
  <c r="Z75" i="20"/>
  <c r="Z76" i="20" s="1" a="1"/>
  <c r="Z76" i="20" s="1"/>
  <c r="Z103" i="20"/>
  <c r="Z104" i="20" s="1" a="1"/>
  <c r="Z104" i="20" s="1"/>
  <c r="Z299" i="20" a="1"/>
  <c r="Z299" i="20"/>
  <c r="Z300" i="20" s="1" a="1"/>
  <c r="Z300" i="20" s="1"/>
  <c r="M131" i="20" a="1"/>
  <c r="M159" i="20" a="1"/>
  <c r="P19" i="20" a="1"/>
  <c r="M19" i="20" a="1"/>
  <c r="T19" i="20" a="1"/>
  <c r="L19" i="20" a="1"/>
  <c r="Y19" i="20" a="1"/>
  <c r="Q19" i="20" a="1"/>
  <c r="N47" i="20" a="1"/>
  <c r="G47" i="20" a="1"/>
  <c r="U103" i="20" a="1"/>
  <c r="R131" i="20" a="1"/>
  <c r="X215" i="20" a="1"/>
  <c r="M103" i="20" a="1"/>
  <c r="H131" i="20" a="1"/>
  <c r="O159" i="20" a="1"/>
  <c r="X19" i="20" a="1"/>
  <c r="U19" i="20" a="1"/>
  <c r="T75" i="20" a="1"/>
  <c r="I75" i="20" a="1"/>
  <c r="S103" i="20" a="1"/>
  <c r="J103" i="20" a="1"/>
  <c r="U131" i="20" a="1"/>
  <c r="H159" i="20" a="1"/>
  <c r="I19" i="20" a="1"/>
  <c r="V47" i="20" a="1"/>
  <c r="K47" i="20" a="1"/>
  <c r="W75" i="20" a="1"/>
  <c r="I103" i="20" a="1"/>
  <c r="H103" i="20" a="1"/>
  <c r="L103" i="20" a="1"/>
  <c r="O75" i="20" a="1"/>
  <c r="T103" i="20" a="1"/>
  <c r="N103" i="20" a="1"/>
  <c r="W103" i="20" a="1"/>
  <c r="O103" i="20" a="1"/>
  <c r="K131" i="20" a="1"/>
  <c r="J131" i="20" a="1"/>
  <c r="W131" i="20" a="1"/>
  <c r="O131" i="20" a="1"/>
  <c r="M187" i="20" a="1"/>
  <c r="Q187" i="20" a="1"/>
  <c r="G187" i="20" a="1"/>
  <c r="Q159" i="20" a="1"/>
  <c r="N159" i="20" a="1"/>
  <c r="P159" i="20" a="1"/>
  <c r="R159" i="20" a="1"/>
  <c r="G159" i="20" a="1"/>
  <c r="O215" i="20" a="1"/>
  <c r="H215" i="20" a="1"/>
  <c r="M215" i="20" a="1"/>
  <c r="G215" i="20" a="1"/>
  <c r="O243" i="20" a="1"/>
  <c r="V243" i="20" a="1"/>
  <c r="P243" i="20" a="1"/>
  <c r="I243" i="20" a="1"/>
  <c r="K327" i="20" a="1"/>
  <c r="S327" i="20" a="1"/>
  <c r="U271" i="20" a="1"/>
  <c r="Q271" i="20" a="1"/>
  <c r="P271" i="20" a="1"/>
  <c r="H271" i="20" a="1"/>
  <c r="R327" i="20" a="1"/>
  <c r="L299" i="20" a="1"/>
  <c r="H299" i="20" a="1"/>
  <c r="K299" i="20" a="1"/>
  <c r="J327" i="20" a="1"/>
  <c r="K355" i="20" a="1"/>
  <c r="L355" i="20" a="1"/>
  <c r="T355" i="20" a="1"/>
  <c r="X355" i="20" a="1"/>
  <c r="U355" i="20" a="1"/>
  <c r="M355" i="20" a="1"/>
  <c r="S439" i="20" a="1"/>
  <c r="N467" i="20" a="1"/>
  <c r="S467" i="20" a="1"/>
  <c r="W383" i="20" a="1"/>
  <c r="O383" i="20" a="1"/>
  <c r="P439" i="20" a="1"/>
  <c r="S411" i="20" a="1"/>
  <c r="H439" i="20" a="1"/>
  <c r="J467" i="20" a="1"/>
  <c r="H495" i="20" a="1"/>
  <c r="K551" i="20" a="1"/>
  <c r="P551" i="20" a="1"/>
  <c r="G495" i="20" a="1"/>
  <c r="S495" i="20" a="1"/>
  <c r="S551" i="20" a="1"/>
  <c r="G467" i="20" a="1"/>
  <c r="Y551" i="20" a="1"/>
  <c r="N579" i="20" a="1"/>
  <c r="P579" i="20" a="1"/>
  <c r="R579" i="20" a="1"/>
  <c r="G579" i="20" a="1"/>
  <c r="X607" i="20" a="1"/>
  <c r="J607" i="20" a="1"/>
  <c r="Y607" i="20" a="1"/>
  <c r="V607" i="20" a="1"/>
  <c r="K607" i="20" a="1"/>
  <c r="W523" i="20" a="1"/>
  <c r="T523" i="20" a="1"/>
  <c r="S523" i="20" a="1"/>
  <c r="U523" i="20" a="1"/>
  <c r="K523" i="20" a="1"/>
  <c r="N663" i="20" a="1"/>
  <c r="Y635" i="20" a="1"/>
  <c r="V635" i="20" a="1"/>
  <c r="K635" i="20" a="1"/>
  <c r="M663" i="20" a="1"/>
  <c r="G663" i="20" a="1"/>
  <c r="P719" i="20" a="1"/>
  <c r="P775" i="20" a="1"/>
  <c r="Q719" i="20" a="1"/>
  <c r="N719" i="20" a="1"/>
  <c r="G719" i="20" a="1"/>
  <c r="N691" i="20" a="1"/>
  <c r="P691" i="20" a="1"/>
  <c r="R691" i="20" a="1"/>
  <c r="Q691" i="20" a="1"/>
  <c r="G691" i="20" a="1"/>
  <c r="L775" i="20" a="1"/>
  <c r="W887" i="20" a="1"/>
  <c r="O887" i="20" a="1"/>
  <c r="X747" i="20" a="1"/>
  <c r="J747" i="20" a="1"/>
  <c r="Y747" i="20" a="1"/>
  <c r="V747" i="20" a="1"/>
  <c r="K747" i="20" a="1"/>
  <c r="L803" i="20" a="1"/>
  <c r="H803" i="20" a="1"/>
  <c r="M803" i="20" a="1"/>
  <c r="O803" i="20" a="1"/>
  <c r="P859" i="20" a="1"/>
  <c r="M831" i="20" a="1"/>
  <c r="G831" i="20" a="1"/>
  <c r="K859" i="20" a="1"/>
  <c r="S831" i="20" a="1"/>
  <c r="Y75" i="20" a="1"/>
  <c r="U47" i="20" a="1"/>
  <c r="M47" i="20" a="1"/>
  <c r="N75" i="20" a="1"/>
  <c r="W243" i="20" a="1"/>
  <c r="L243" i="20" a="1"/>
  <c r="M243" i="20" a="1"/>
  <c r="G243" i="20" a="1"/>
  <c r="O271" i="20" a="1"/>
  <c r="V271" i="20" a="1"/>
  <c r="K271" i="20" a="1"/>
  <c r="Y299" i="20" a="1"/>
  <c r="V299" i="20" a="1"/>
  <c r="W299" i="20" a="1"/>
  <c r="I299" i="20" a="1"/>
  <c r="P299" i="20" a="1"/>
  <c r="P327" i="20" a="1"/>
  <c r="P355" i="20" a="1"/>
  <c r="S355" i="20" a="1"/>
  <c r="Y439" i="20" a="1"/>
  <c r="Q439" i="20" a="1"/>
  <c r="U383" i="20" a="1"/>
  <c r="M383" i="20" a="1"/>
  <c r="R383" i="20" a="1"/>
  <c r="Y411" i="20" a="1"/>
  <c r="Q411" i="20" a="1"/>
  <c r="K439" i="20" a="1"/>
  <c r="L495" i="20" a="1"/>
  <c r="Y495" i="20" a="1"/>
  <c r="Q495" i="20" a="1"/>
  <c r="H579" i="20" a="1"/>
  <c r="M579" i="20" a="1"/>
  <c r="U607" i="20" a="1"/>
  <c r="W607" i="20" a="1"/>
  <c r="T607" i="20" a="1"/>
  <c r="S607" i="20" a="1"/>
  <c r="I607" i="20" a="1"/>
  <c r="T663" i="20" a="1"/>
  <c r="R523" i="20" a="1"/>
  <c r="Q523" i="20" a="1"/>
  <c r="N523" i="20" a="1"/>
  <c r="P523" i="20" a="1"/>
  <c r="I523" i="20" a="1"/>
  <c r="Q663" i="20" a="1"/>
  <c r="W635" i="20" a="1"/>
  <c r="T635" i="20" a="1"/>
  <c r="S635" i="20" a="1"/>
  <c r="I635" i="20" a="1"/>
  <c r="U775" i="20" a="1"/>
  <c r="L719" i="20" a="1"/>
  <c r="H719" i="20" a="1"/>
  <c r="H691" i="20" a="1"/>
  <c r="M691" i="20" a="1"/>
  <c r="O691" i="20" a="1"/>
  <c r="L691" i="20" a="1"/>
  <c r="X719" i="20" a="1"/>
  <c r="Q775" i="20" a="1"/>
  <c r="K775" i="20" a="1"/>
  <c r="G859" i="20" a="1"/>
  <c r="U887" i="20" a="1"/>
  <c r="M887" i="20" a="1"/>
  <c r="U747" i="20" a="1"/>
  <c r="W747" i="20" a="1"/>
  <c r="T747" i="20" a="1"/>
  <c r="S747" i="20" a="1"/>
  <c r="I747" i="20" a="1"/>
  <c r="Y803" i="20" a="1"/>
  <c r="V803" i="20" a="1"/>
  <c r="J803" i="20" a="1"/>
  <c r="K803" i="20" a="1"/>
  <c r="X859" i="20" a="1"/>
  <c r="X831" i="20" a="1"/>
  <c r="J831" i="20" a="1"/>
  <c r="N859" i="20" a="1"/>
  <c r="U859" i="20" a="1"/>
  <c r="M859" i="20" a="1"/>
  <c r="W943" i="20" a="1"/>
  <c r="O943" i="20" a="1"/>
  <c r="V1027" i="20" a="1"/>
  <c r="N1111" i="20" a="1"/>
  <c r="J1083" i="20" a="1"/>
  <c r="Y1027" i="20" a="1"/>
  <c r="Q1027" i="20" a="1"/>
  <c r="I1027" i="20" a="1"/>
  <c r="P75" i="20" a="1"/>
  <c r="L75" i="20" a="1"/>
  <c r="W47" i="20" a="1"/>
  <c r="P47" i="20" a="1"/>
  <c r="O47" i="20" a="1"/>
  <c r="V131" i="20" a="1"/>
  <c r="G131" i="20" a="1"/>
  <c r="Y187" i="20" a="1"/>
  <c r="V159" i="20" a="1"/>
  <c r="K159" i="20" a="1"/>
  <c r="U215" i="20" a="1"/>
  <c r="T243" i="20" a="1"/>
  <c r="X243" i="20" a="1"/>
  <c r="J271" i="20" a="1"/>
  <c r="I271" i="20" a="1"/>
  <c r="T299" i="20" a="1"/>
  <c r="R299" i="20" a="1"/>
  <c r="X327" i="20" a="1"/>
  <c r="S383" i="20" a="1"/>
  <c r="G383" i="20" a="1"/>
  <c r="W411" i="20" a="1"/>
  <c r="O411" i="20" a="1"/>
  <c r="N439" i="20" a="1"/>
  <c r="W495" i="20" a="1"/>
  <c r="O495" i="20" a="1"/>
  <c r="J579" i="20" a="1"/>
  <c r="K579" i="20" a="1"/>
  <c r="P607" i="20" a="1"/>
  <c r="G607" i="20" a="1"/>
  <c r="W663" i="20" a="1"/>
  <c r="O523" i="20" a="1"/>
  <c r="H523" i="20" a="1"/>
  <c r="M523" i="20" a="1"/>
  <c r="R635" i="20" a="1"/>
  <c r="G635" i="20" a="1"/>
  <c r="U663" i="20" a="1"/>
  <c r="K663" i="20" a="1"/>
  <c r="K719" i="20" a="1"/>
  <c r="V691" i="20" a="1"/>
  <c r="X691" i="20" a="1"/>
  <c r="J691" i="20" a="1"/>
  <c r="Y691" i="20" a="1"/>
  <c r="K691" i="20" a="1"/>
  <c r="P747" i="20" a="1"/>
  <c r="R747" i="20" a="1"/>
  <c r="G747" i="20" a="1"/>
  <c r="T803" i="20" a="1"/>
  <c r="U831" i="20" a="1"/>
  <c r="K831" i="20" a="1"/>
  <c r="V859" i="20" a="1"/>
  <c r="L831" i="20" a="1"/>
  <c r="S859" i="20" a="1"/>
  <c r="W1027" i="20" a="1"/>
  <c r="O1027" i="20" a="1"/>
  <c r="G1027" i="20" a="1"/>
  <c r="Y1083" i="20" a="1"/>
  <c r="Q1083" i="20" a="1"/>
  <c r="I1083" i="20" a="1"/>
  <c r="U915" i="20" a="1"/>
  <c r="M915" i="20" a="1"/>
  <c r="V915" i="20" a="1"/>
  <c r="N915" i="20" a="1"/>
  <c r="T999" i="20" a="1"/>
  <c r="T999" i="20" s="1"/>
  <c r="T1000" i="20" s="1" a="1"/>
  <c r="T1000" i="20" s="1"/>
  <c r="V75" i="20" a="1"/>
  <c r="X103" i="20" a="1"/>
  <c r="J75" i="20" a="1"/>
  <c r="S75" i="20" a="1"/>
  <c r="J47" i="20" a="1"/>
  <c r="X131" i="20" a="1"/>
  <c r="S131" i="20" a="1"/>
  <c r="U187" i="20" a="1"/>
  <c r="K187" i="20" a="1"/>
  <c r="Y159" i="20" a="1"/>
  <c r="X159" i="20" a="1"/>
  <c r="J159" i="20" a="1"/>
  <c r="W215" i="20" a="1"/>
  <c r="S215" i="20" a="1"/>
  <c r="K215" i="20" a="1"/>
  <c r="H243" i="20" a="1"/>
  <c r="J243" i="20" a="1"/>
  <c r="L271" i="20" a="1"/>
  <c r="W271" i="20" a="1"/>
  <c r="S271" i="20" a="1"/>
  <c r="M299" i="20" a="1"/>
  <c r="S299" i="20" a="1"/>
  <c r="G299" i="20" a="1"/>
  <c r="N355" i="20" a="1"/>
  <c r="V19" i="20" a="1"/>
  <c r="V19" i="20" s="1"/>
  <c r="V20" i="20" s="1" a="1"/>
  <c r="V20" i="20" s="1"/>
  <c r="N19" i="20" a="1"/>
  <c r="N19" i="20" s="1"/>
  <c r="G19" i="20" a="1"/>
  <c r="G19" i="20" s="1"/>
  <c r="B5" i="20" s="1"/>
  <c r="S19" i="20" a="1"/>
  <c r="S19" i="20" s="1"/>
  <c r="S20" i="20" s="1" a="1"/>
  <c r="S20" i="20" s="1"/>
  <c r="H47" i="20" a="1"/>
  <c r="I47" i="20" a="1"/>
  <c r="X75" i="20" a="1"/>
  <c r="R75" i="20" a="1"/>
  <c r="G75" i="20" a="1"/>
  <c r="P103" i="20" a="1"/>
  <c r="V103" i="20" a="1"/>
  <c r="Y103" i="20" a="1"/>
  <c r="Q103" i="20" a="1"/>
  <c r="R103" i="20" a="1"/>
  <c r="L131" i="20" a="1"/>
  <c r="N131" i="20" a="1"/>
  <c r="P131" i="20" a="1"/>
  <c r="Y131" i="20" a="1"/>
  <c r="Q131" i="20" a="1"/>
  <c r="T131" i="20" a="1"/>
  <c r="P187" i="20" a="1"/>
  <c r="T187" i="20" a="1"/>
  <c r="I187" i="20" a="1"/>
  <c r="T159" i="20" a="1"/>
  <c r="S159" i="20" a="1"/>
  <c r="U159" i="20" a="1"/>
  <c r="W159" i="20" a="1"/>
  <c r="I159" i="20" a="1"/>
  <c r="R215" i="20" a="1"/>
  <c r="N215" i="20"/>
  <c r="N215" i="20" a="1"/>
  <c r="P215" i="20" a="1"/>
  <c r="I215" i="20" a="1"/>
  <c r="S243" i="20" a="1"/>
  <c r="Y243" i="20" a="1"/>
  <c r="U243" i="20" a="1"/>
  <c r="K243" i="20" a="1"/>
  <c r="H327" i="20" a="1"/>
  <c r="G327" i="20" a="1"/>
  <c r="U327" i="20" a="1"/>
  <c r="M327" i="20" a="1"/>
  <c r="Y271" i="20" a="1"/>
  <c r="X271" i="20" a="1"/>
  <c r="T271" i="20" a="1"/>
  <c r="N271" i="20" a="1"/>
  <c r="G271" i="20" a="1"/>
  <c r="X299" i="20" a="1"/>
  <c r="N299" i="20" a="1"/>
  <c r="O299" i="20" a="1"/>
  <c r="G355" i="20" a="1"/>
  <c r="Y355" i="20" a="1"/>
  <c r="H355" i="20" a="1"/>
  <c r="I355" i="20" a="1"/>
  <c r="W355" i="20" a="1"/>
  <c r="O355" i="20" a="1"/>
  <c r="H411" i="20" a="1"/>
  <c r="U439" i="20" a="1"/>
  <c r="M439" i="20" a="1"/>
  <c r="G439" i="20" a="1"/>
  <c r="K467" i="20" a="1"/>
  <c r="U467" i="20" a="1"/>
  <c r="M467" i="20" a="1"/>
  <c r="Y383" i="20" a="1"/>
  <c r="Q383" i="20" a="1"/>
  <c r="J439" i="20" a="1"/>
  <c r="U411" i="20" a="1"/>
  <c r="M411" i="20" a="1"/>
  <c r="V439" i="20" a="1"/>
  <c r="M551" i="20" a="1"/>
  <c r="R495" i="20" a="1"/>
  <c r="U495" i="20" a="1"/>
  <c r="M495" i="20" a="1"/>
  <c r="N551" i="20" a="1"/>
  <c r="T551" i="20" a="1"/>
  <c r="S579" i="20" a="1"/>
  <c r="U579" i="20" a="1"/>
  <c r="W579" i="20" a="1"/>
  <c r="T579" i="20" a="1"/>
  <c r="I579" i="20" a="1"/>
  <c r="M607" i="20" a="1"/>
  <c r="O607" i="20" a="1"/>
  <c r="L607" i="20" a="1"/>
  <c r="H607" i="20" a="1"/>
  <c r="S663" i="20" a="1"/>
  <c r="Y523" i="20" a="1"/>
  <c r="V523" i="20" a="1"/>
  <c r="X523" i="20" a="1"/>
  <c r="J523" i="20" a="1"/>
  <c r="O635" i="20" a="1"/>
  <c r="L635" i="20" a="1"/>
  <c r="H635" i="20" a="1"/>
  <c r="P663" i="20" a="1"/>
  <c r="I663" i="20" a="1"/>
  <c r="J719" i="20" a="1"/>
  <c r="M775" i="20" a="1"/>
  <c r="T719" i="20" a="1"/>
  <c r="S719" i="20" a="1"/>
  <c r="I719" i="20" a="1"/>
  <c r="S691" i="20" a="1"/>
  <c r="U691" i="20" a="1"/>
  <c r="W691" i="20" a="1"/>
  <c r="T691" i="20" a="1"/>
  <c r="I691" i="20" a="1"/>
  <c r="Y775" i="20" a="1"/>
  <c r="G775" i="20" a="1"/>
  <c r="W831" i="20" a="1"/>
  <c r="Y887" i="20" a="1"/>
  <c r="Y887" i="20" s="1"/>
  <c r="C895" i="20" s="1" a="1"/>
  <c r="C895" i="20" s="1"/>
  <c r="Q887" i="20" a="1"/>
  <c r="M747" i="20" a="1"/>
  <c r="O747" i="20" a="1"/>
  <c r="L747" i="20" a="1"/>
  <c r="H747" i="20" a="1"/>
  <c r="Q803" i="20" a="1"/>
  <c r="N803" i="20" a="1"/>
  <c r="P803" i="20" a="1"/>
  <c r="R803" i="20" a="1"/>
  <c r="G803" i="20" a="1"/>
  <c r="Q831" i="20" a="1"/>
  <c r="J859" i="20" a="1"/>
  <c r="P831" i="20" a="1"/>
  <c r="I831" i="20" a="1"/>
  <c r="H859" i="20" a="1"/>
  <c r="O831" i="20" a="1"/>
  <c r="Y859" i="20" a="1"/>
  <c r="Q859" i="20" a="1"/>
  <c r="S943" i="20" a="1"/>
  <c r="T943" i="20" a="1"/>
  <c r="L943" i="20" a="1"/>
  <c r="N1027" i="20" a="1"/>
  <c r="V1111" i="20" a="1"/>
  <c r="U971" i="20" a="1"/>
  <c r="M971" i="20" a="1"/>
  <c r="U1027" i="20" a="1"/>
  <c r="M1027" i="20" a="1"/>
  <c r="Q75" i="20" a="1"/>
  <c r="L47" i="20" a="1"/>
  <c r="Y47" i="20" a="1"/>
  <c r="R47" i="20" a="1"/>
  <c r="U75" i="20" a="1"/>
  <c r="S1083" i="20" a="1"/>
  <c r="K1083" i="20" a="1"/>
  <c r="R1139" i="20" a="1"/>
  <c r="W915" i="20" a="1"/>
  <c r="O915" i="20" a="1"/>
  <c r="X915" i="20" a="1"/>
  <c r="P915" i="20" a="1"/>
  <c r="I915" i="20" a="1"/>
  <c r="L971" i="20" a="1"/>
  <c r="X1027" i="20" a="1"/>
  <c r="L1027" i="20" a="1"/>
  <c r="H971" i="20" a="1"/>
  <c r="H1027" i="20" a="1"/>
  <c r="H1083" i="20" a="1"/>
  <c r="M1139" i="20" a="1"/>
  <c r="V971" i="20" a="1"/>
  <c r="N1055" i="20" a="1"/>
  <c r="J999" i="20" a="1"/>
  <c r="R999" i="20" a="1"/>
  <c r="R1083" i="20" a="1"/>
  <c r="S999" i="20" a="1"/>
  <c r="K999" i="20" a="1"/>
  <c r="U1055" i="20" a="1"/>
  <c r="M1055" i="20" a="1"/>
  <c r="W1111" i="20" a="1"/>
  <c r="O1111" i="20" a="1"/>
  <c r="G1111" i="20" a="1"/>
  <c r="T215" i="20" a="1"/>
  <c r="V383" i="20" a="1"/>
  <c r="L439" i="20" a="1"/>
  <c r="N187" i="20" a="1"/>
  <c r="W187" i="20" a="1"/>
  <c r="N243" i="20" a="1"/>
  <c r="I411" i="20" a="1"/>
  <c r="X635" i="20" a="1"/>
  <c r="P635" i="20" a="1"/>
  <c r="O551" i="20" a="1"/>
  <c r="O775" i="20" a="1"/>
  <c r="W1139" i="20" a="1"/>
  <c r="N383" i="20" a="1"/>
  <c r="K411" i="20" a="1"/>
  <c r="V495" i="20" a="1"/>
  <c r="X383" i="20" a="1"/>
  <c r="H887" i="20" a="1"/>
  <c r="J635" i="20" a="1"/>
  <c r="S775" i="20" a="1"/>
  <c r="H943" i="20" a="1"/>
  <c r="I131" i="20" a="1"/>
  <c r="N495" i="20" a="1"/>
  <c r="T887" i="20" a="1"/>
  <c r="R1055" i="20" a="1"/>
  <c r="J1055" i="20" a="1"/>
  <c r="V999" i="20" a="1"/>
  <c r="V1083" i="20" a="1"/>
  <c r="Y999" i="20" a="1"/>
  <c r="Q999" i="20" a="1"/>
  <c r="I999" i="20" a="1"/>
  <c r="S1055" i="20" a="1"/>
  <c r="K1055" i="20" a="1"/>
  <c r="U1111" i="20" a="1"/>
  <c r="M1111" i="20" a="1"/>
  <c r="S187" i="20" a="1"/>
  <c r="O187" i="20" a="1"/>
  <c r="J383" i="20" a="1"/>
  <c r="L411" i="20" a="1"/>
  <c r="I495" i="20" a="1"/>
  <c r="Q47" i="20" a="1"/>
  <c r="X47" i="20" a="1"/>
  <c r="Q243" i="20" a="1"/>
  <c r="J299" i="20" a="1"/>
  <c r="N411" i="20" a="1"/>
  <c r="W551" i="20" a="1"/>
  <c r="I887" i="20" a="1"/>
  <c r="R775" i="20" a="1"/>
  <c r="I859" i="20" a="1"/>
  <c r="N887" i="20" a="1"/>
  <c r="V663" i="20" a="1"/>
  <c r="Y831" i="20" a="1"/>
  <c r="V775" i="20" a="1"/>
  <c r="W719" i="20" a="1"/>
  <c r="S1139" i="20" a="1"/>
  <c r="K383" i="20" a="1"/>
  <c r="I327" i="20" a="1"/>
  <c r="P887" i="20" a="1"/>
  <c r="H775" i="20" a="1"/>
  <c r="J971" i="20" a="1"/>
  <c r="T327" i="20" a="1"/>
  <c r="L887" i="20" a="1"/>
  <c r="W1083" i="20" a="1"/>
  <c r="O1083" i="20" a="1"/>
  <c r="G1083" i="20" a="1"/>
  <c r="K1139" i="20"/>
  <c r="K1139" i="20" a="1"/>
  <c r="V1139" i="20"/>
  <c r="V1139" i="20" a="1"/>
  <c r="N1139" i="20"/>
  <c r="N1139" i="20" a="1"/>
  <c r="S915" i="20" a="1"/>
  <c r="J915" i="20" a="1"/>
  <c r="T915" i="20" a="1"/>
  <c r="L915" i="20" a="1"/>
  <c r="T971" i="20" a="1"/>
  <c r="X999" i="20" a="1"/>
  <c r="X999" i="20" s="1"/>
  <c r="C1005" i="20" s="1" a="1"/>
  <c r="C1005" i="20" s="1"/>
  <c r="P1027" i="20" a="1"/>
  <c r="L1055" i="20" a="1"/>
  <c r="T1083" i="20" a="1"/>
  <c r="T1083" i="20" s="1"/>
  <c r="T1084" i="20" s="1" a="1"/>
  <c r="T1084" i="20" s="1"/>
  <c r="P1111" i="20" a="1"/>
  <c r="H999" i="20"/>
  <c r="B986" i="20" s="1"/>
  <c r="H999" i="20" a="1"/>
  <c r="H1055" i="20" a="1"/>
  <c r="H1111" i="20" a="1"/>
  <c r="U1139" i="20"/>
  <c r="U1139" i="20" a="1"/>
  <c r="V943" i="20" a="1"/>
  <c r="N971" i="20" a="1"/>
  <c r="V1055" i="20" a="1"/>
  <c r="J1139" i="20" a="1"/>
  <c r="J1111" i="20" a="1"/>
  <c r="W999" i="20" a="1"/>
  <c r="O999" i="20" a="1"/>
  <c r="G999" i="20" a="1"/>
  <c r="Y1055" i="20" a="1"/>
  <c r="Q1055" i="20" a="1"/>
  <c r="I1055" i="20" a="1"/>
  <c r="S1111" i="20" a="1"/>
  <c r="K1111" i="20" a="1"/>
  <c r="Q215" i="20" a="1"/>
  <c r="J19" i="20" a="1"/>
  <c r="H383" i="20" a="1"/>
  <c r="I467" i="20" a="1"/>
  <c r="H187" i="20" a="1"/>
  <c r="P383" i="20" a="1"/>
  <c r="T411" i="20" a="1"/>
  <c r="V411" i="20" a="1"/>
  <c r="I439" i="20" a="1"/>
  <c r="M635" i="20" a="1"/>
  <c r="R551" i="20" a="1"/>
  <c r="J943" i="20" a="1"/>
  <c r="V831" i="20" a="1"/>
  <c r="V887" i="20" a="1"/>
  <c r="R663" i="20" a="1"/>
  <c r="R719" i="20" a="1"/>
  <c r="O1139" i="20" a="1"/>
  <c r="J411" i="20" a="1"/>
  <c r="T467" i="20" a="1"/>
  <c r="G411" i="20" a="1"/>
  <c r="J887" i="20" a="1"/>
  <c r="Y215" i="20" a="1"/>
  <c r="X495" i="20" a="1"/>
  <c r="L859" i="20" a="1"/>
  <c r="G887" i="20" a="1"/>
  <c r="T383" i="20" a="1"/>
  <c r="T859" i="20" a="1"/>
  <c r="W859" i="20" a="1"/>
  <c r="O859" i="20" a="1"/>
  <c r="Y943" i="20" a="1"/>
  <c r="Y943" i="20" s="1"/>
  <c r="C951" i="20" s="1" a="1"/>
  <c r="C951" i="20" s="1"/>
  <c r="Q943" i="20" a="1"/>
  <c r="R943" i="20" a="1"/>
  <c r="R943" i="20" s="1"/>
  <c r="R944" i="20" s="1" a="1"/>
  <c r="R944" i="20" s="1"/>
  <c r="K943" i="20" a="1"/>
  <c r="R1027" i="20" a="1"/>
  <c r="J1027" i="20" a="1"/>
  <c r="S971" i="20" a="1"/>
  <c r="K971" i="20" a="1"/>
  <c r="S1027" i="20" a="1"/>
  <c r="S1027" i="20" s="1"/>
  <c r="S1028" i="20" s="1" a="1"/>
  <c r="S1028" i="20" s="1"/>
  <c r="K1027" i="20" a="1"/>
  <c r="U1083" i="20" a="1"/>
  <c r="M1083" i="20" a="1"/>
  <c r="I1139" i="20"/>
  <c r="B1128" i="20" s="1"/>
  <c r="I1139" i="20" a="1"/>
  <c r="T1139" i="20" a="1"/>
  <c r="L1139" i="20" a="1"/>
  <c r="Y915" i="20" a="1"/>
  <c r="Y915" i="20" s="1"/>
  <c r="C923" i="20" s="1" a="1"/>
  <c r="C923" i="20" s="1"/>
  <c r="Q915" i="20" a="1"/>
  <c r="H915" i="20" a="1"/>
  <c r="R915" i="20" a="1"/>
  <c r="K915" i="20" a="1"/>
  <c r="K915" i="20" s="1"/>
  <c r="X971" i="20" a="1"/>
  <c r="L999" i="20" a="1"/>
  <c r="L999" i="20" s="1"/>
  <c r="T1027" i="20" a="1"/>
  <c r="P1055" i="20" a="1"/>
  <c r="X1083" i="20" a="1"/>
  <c r="T1111" i="20" a="1"/>
  <c r="Y1139" i="20" a="1"/>
  <c r="R971" i="20" a="1"/>
  <c r="N999" i="20" a="1"/>
  <c r="N1083" i="20" a="1"/>
  <c r="U999" i="20" a="1"/>
  <c r="M999" i="20" a="1"/>
  <c r="M999" i="20" s="1"/>
  <c r="W1055" i="20" a="1"/>
  <c r="O1055" i="20" a="1"/>
  <c r="G1055" i="20" a="1"/>
  <c r="Y1111" i="20" a="1"/>
  <c r="Y1111" i="20" s="1"/>
  <c r="C1119" i="20" s="1" a="1"/>
  <c r="C1119" i="20" s="1"/>
  <c r="Q1111" i="20" a="1"/>
  <c r="I1111" i="20" a="1"/>
  <c r="L383" i="20" a="1"/>
  <c r="V187" i="20" a="1"/>
  <c r="R187" i="20" a="1"/>
  <c r="T47" i="20" a="1"/>
  <c r="J551" i="20" a="1"/>
  <c r="N775" i="20" a="1"/>
  <c r="N775" i="20" s="1"/>
  <c r="R831" i="20" a="1"/>
  <c r="W775" i="20" a="1"/>
  <c r="W775" i="20" s="1"/>
  <c r="M719" i="20" a="1"/>
  <c r="H1139" i="20" a="1"/>
  <c r="H1139" i="20" s="1"/>
  <c r="B1126" i="20" s="1"/>
  <c r="X411" i="20" a="1"/>
  <c r="T495" i="20" a="1"/>
  <c r="U299" i="20" a="1"/>
  <c r="T439" i="20" a="1"/>
  <c r="J495" i="20" a="1"/>
  <c r="I383" i="20" a="1"/>
  <c r="I383" i="20" s="1"/>
  <c r="B372" i="20" s="1"/>
  <c r="R411" i="20" a="1"/>
  <c r="U635" i="20" a="1"/>
  <c r="R887" i="20" a="1"/>
  <c r="H831" i="20" a="1"/>
  <c r="K495" i="20" a="1"/>
  <c r="L215" i="20" a="1"/>
  <c r="P411" i="20" a="1"/>
  <c r="X887" i="20" a="1"/>
  <c r="L467" i="20" a="1"/>
  <c r="L327" i="20" a="1"/>
  <c r="L327" i="20" s="1"/>
  <c r="K887" i="20" a="1"/>
  <c r="L1083" i="20" a="1"/>
  <c r="X19" i="20"/>
  <c r="P19" i="20"/>
  <c r="I19" i="20"/>
  <c r="B8" i="20" s="1"/>
  <c r="U19" i="20"/>
  <c r="U20" i="20" s="1" a="1"/>
  <c r="U20" i="20" s="1"/>
  <c r="M19" i="20"/>
  <c r="I103" i="20"/>
  <c r="B92" i="20" s="1"/>
  <c r="Y159" i="20"/>
  <c r="X159" i="20"/>
  <c r="Y1083" i="20"/>
  <c r="Q1083" i="20"/>
  <c r="I1083" i="20"/>
  <c r="B1072" i="20" s="1"/>
  <c r="X1139" i="20"/>
  <c r="P1139" i="20"/>
  <c r="P1083" i="20"/>
  <c r="Q1139" i="20"/>
  <c r="V1083" i="20"/>
  <c r="Q47" i="20"/>
  <c r="X47" i="20"/>
  <c r="S1139" i="20"/>
  <c r="Y47" i="20"/>
  <c r="U47" i="20"/>
  <c r="H47" i="20"/>
  <c r="B34" i="20" s="1"/>
  <c r="L47" i="20"/>
  <c r="P75" i="20"/>
  <c r="K75" i="20"/>
  <c r="Q75" i="20"/>
  <c r="Y75" i="20"/>
  <c r="N103" i="20"/>
  <c r="R103" i="20"/>
  <c r="S103" i="20"/>
  <c r="W103" i="20"/>
  <c r="H131" i="20"/>
  <c r="B118" i="20" s="1"/>
  <c r="L131" i="20"/>
  <c r="P131" i="20"/>
  <c r="U159" i="20"/>
  <c r="Q131" i="20"/>
  <c r="W1083" i="20"/>
  <c r="O1083" i="20"/>
  <c r="G1083" i="20"/>
  <c r="B1069" i="20" s="1"/>
  <c r="T915" i="20"/>
  <c r="J1139" i="20"/>
  <c r="W999" i="20"/>
  <c r="O999" i="20"/>
  <c r="G999" i="20"/>
  <c r="B985" i="20" s="1"/>
  <c r="J19" i="20"/>
  <c r="J20" i="20" s="1"/>
  <c r="V887" i="20"/>
  <c r="O1139" i="20"/>
  <c r="T859" i="20"/>
  <c r="J47" i="20"/>
  <c r="N47" i="20"/>
  <c r="W47" i="20"/>
  <c r="U75" i="20"/>
  <c r="H75" i="20"/>
  <c r="B62" i="20" s="1"/>
  <c r="V75" i="20"/>
  <c r="I75" i="20"/>
  <c r="B64" i="20" s="1"/>
  <c r="O75" i="20"/>
  <c r="C79" i="20" s="1" a="1"/>
  <c r="C79" i="20" s="1"/>
  <c r="K103" i="20"/>
  <c r="O103" i="20"/>
  <c r="P103" i="20"/>
  <c r="T103" i="20"/>
  <c r="X131" i="20"/>
  <c r="J131" i="20"/>
  <c r="N131" i="20"/>
  <c r="K159" i="20"/>
  <c r="O159" i="20"/>
  <c r="S159" i="20"/>
  <c r="G159" i="20"/>
  <c r="B145" i="20" s="1"/>
  <c r="U1111" i="20"/>
  <c r="H1111" i="20"/>
  <c r="B1098" i="20" s="1"/>
  <c r="V1111" i="20"/>
  <c r="G1111" i="20"/>
  <c r="B1097" i="20" s="1"/>
  <c r="O1111" i="20"/>
  <c r="H1055" i="20"/>
  <c r="B1042" i="20" s="1"/>
  <c r="J1055" i="20"/>
  <c r="N1055" i="20"/>
  <c r="R1055" i="20"/>
  <c r="S1055" i="20"/>
  <c r="L1027" i="20"/>
  <c r="Q103" i="20"/>
  <c r="Y131" i="20"/>
  <c r="X299" i="20"/>
  <c r="N299" i="20"/>
  <c r="T19" i="20"/>
  <c r="Y19" i="20"/>
  <c r="N579" i="20"/>
  <c r="U1083" i="20"/>
  <c r="M1083" i="20"/>
  <c r="T1139" i="20"/>
  <c r="T1140" i="20" s="1" a="1"/>
  <c r="T1140" i="20" s="1"/>
  <c r="L1139" i="20"/>
  <c r="T1027" i="20"/>
  <c r="X1083" i="20"/>
  <c r="L1083" i="20"/>
  <c r="Y1139" i="20"/>
  <c r="N1083" i="20"/>
  <c r="W1055" i="20"/>
  <c r="T47" i="20"/>
  <c r="X887" i="20"/>
  <c r="O47" i="20"/>
  <c r="I47" i="20"/>
  <c r="B36" i="20" s="1"/>
  <c r="M47" i="20"/>
  <c r="R47" i="20"/>
  <c r="M75" i="20"/>
  <c r="W75" i="20"/>
  <c r="N75" i="20"/>
  <c r="T75" i="20"/>
  <c r="R75" i="20"/>
  <c r="H103" i="20"/>
  <c r="B90" i="20" s="1"/>
  <c r="L103" i="20"/>
  <c r="J103" i="20"/>
  <c r="R131" i="20"/>
  <c r="V131" i="20"/>
  <c r="G131" i="20"/>
  <c r="B117" i="20" s="1"/>
  <c r="K131" i="20"/>
  <c r="Y103" i="20"/>
  <c r="L19" i="20"/>
  <c r="Q19" i="20"/>
  <c r="Q20" i="20" s="1"/>
  <c r="R19" i="20"/>
  <c r="R20" i="20" s="1"/>
  <c r="K19" i="20"/>
  <c r="W19" i="20"/>
  <c r="O19" i="20"/>
  <c r="S47" i="20"/>
  <c r="H19" i="20"/>
  <c r="B6" i="20" s="1"/>
  <c r="U103" i="20"/>
  <c r="M103" i="20"/>
  <c r="C105" i="20" s="1" a="1"/>
  <c r="C105" i="20" s="1"/>
  <c r="U131" i="20"/>
  <c r="M131" i="20"/>
  <c r="L243" i="20"/>
  <c r="V299" i="20"/>
  <c r="H579" i="20"/>
  <c r="B566" i="20" s="1"/>
  <c r="U887" i="20"/>
  <c r="J1083" i="20"/>
  <c r="I1027" i="20"/>
  <c r="B1016" i="20" s="1"/>
  <c r="S1083" i="20"/>
  <c r="K1083" i="20"/>
  <c r="G1139" i="20"/>
  <c r="B1125" i="20" s="1"/>
  <c r="R1139" i="20"/>
  <c r="I915" i="20"/>
  <c r="B904" i="20" s="1"/>
  <c r="L971" i="20"/>
  <c r="H1083" i="20"/>
  <c r="B1070" i="20" s="1"/>
  <c r="M1139" i="20"/>
  <c r="R1083" i="20"/>
  <c r="W1139" i="20"/>
  <c r="I131" i="20"/>
  <c r="B120" i="20" s="1"/>
  <c r="P47" i="20"/>
  <c r="V47" i="20"/>
  <c r="G47" i="20"/>
  <c r="B33" i="20" s="1"/>
  <c r="K47" i="20"/>
  <c r="X75" i="20"/>
  <c r="S75" i="20"/>
  <c r="G75" i="20"/>
  <c r="B61" i="20" s="1"/>
  <c r="L75" i="20"/>
  <c r="J75" i="20"/>
  <c r="X103" i="20"/>
  <c r="V103" i="20"/>
  <c r="G103" i="20"/>
  <c r="B89" i="20" s="1"/>
  <c r="O131" i="20"/>
  <c r="S131" i="20"/>
  <c r="W131" i="20"/>
  <c r="T131" i="20"/>
  <c r="N159" i="20"/>
  <c r="R159" i="20"/>
  <c r="V159" i="20"/>
  <c r="T159" i="20"/>
  <c r="X1111" i="20"/>
  <c r="S1111" i="20"/>
  <c r="L1111" i="20"/>
  <c r="J1111" i="20"/>
  <c r="M1055" i="20"/>
  <c r="Q1055" i="20"/>
  <c r="U1055" i="20"/>
  <c r="I1055" i="20"/>
  <c r="B1044" i="20" s="1"/>
  <c r="U1027" i="20"/>
  <c r="I159" i="20"/>
  <c r="B148" i="20" s="1"/>
  <c r="M159" i="20"/>
  <c r="Q159" i="20"/>
  <c r="J159" i="20"/>
  <c r="P1111" i="20"/>
  <c r="I1111" i="20"/>
  <c r="B1100" i="20" s="1"/>
  <c r="Q1111" i="20"/>
  <c r="W1111" i="20"/>
  <c r="V1055" i="20"/>
  <c r="G1055" i="20"/>
  <c r="B1041" i="20" s="1"/>
  <c r="K1055" i="20"/>
  <c r="O1055" i="20"/>
  <c r="Y1055" i="20"/>
  <c r="G1027" i="20"/>
  <c r="B1013" i="20" s="1"/>
  <c r="N1027" i="20"/>
  <c r="K1027" i="20"/>
  <c r="W1027" i="20"/>
  <c r="U999" i="20"/>
  <c r="K999" i="20"/>
  <c r="I999" i="20"/>
  <c r="B988" i="20" s="1"/>
  <c r="X971" i="20"/>
  <c r="R971" i="20"/>
  <c r="T971" i="20"/>
  <c r="H971" i="20"/>
  <c r="B958" i="20" s="1"/>
  <c r="P971" i="20"/>
  <c r="V943" i="20"/>
  <c r="M943" i="20"/>
  <c r="S943" i="20"/>
  <c r="S944" i="20" s="1" a="1"/>
  <c r="S944" i="20" s="1"/>
  <c r="H943" i="20"/>
  <c r="B930" i="20" s="1"/>
  <c r="P915" i="20"/>
  <c r="M915" i="20"/>
  <c r="R915" i="20"/>
  <c r="N887" i="20"/>
  <c r="R887" i="20"/>
  <c r="R888" i="20" s="1" a="1"/>
  <c r="R888" i="20" s="1"/>
  <c r="G887" i="20"/>
  <c r="B873" i="20" s="1"/>
  <c r="I887" i="20"/>
  <c r="B876" i="20" s="1"/>
  <c r="O859" i="20"/>
  <c r="R859" i="20"/>
  <c r="V859" i="20"/>
  <c r="I859" i="20"/>
  <c r="B848" i="20" s="1"/>
  <c r="K831" i="20"/>
  <c r="Q831" i="20"/>
  <c r="W831" i="20"/>
  <c r="J831" i="20"/>
  <c r="P831" i="20"/>
  <c r="V803" i="20"/>
  <c r="Q803" i="20"/>
  <c r="I803" i="20"/>
  <c r="B792" i="20" s="1"/>
  <c r="O803" i="20"/>
  <c r="H803" i="20"/>
  <c r="B790" i="20" s="1"/>
  <c r="T775" i="20"/>
  <c r="I775" i="20"/>
  <c r="B764" i="20" s="1"/>
  <c r="Q775" i="20"/>
  <c r="S747" i="20"/>
  <c r="Y747" i="20"/>
  <c r="X747" i="20"/>
  <c r="L747" i="20"/>
  <c r="V747" i="20"/>
  <c r="K719" i="20"/>
  <c r="Y719" i="20"/>
  <c r="N719" i="20"/>
  <c r="T719" i="20"/>
  <c r="R719" i="20"/>
  <c r="R720" i="20" s="1" a="1"/>
  <c r="R720" i="20" s="1"/>
  <c r="V691" i="20"/>
  <c r="I691" i="20"/>
  <c r="B680" i="20" s="1"/>
  <c r="O691" i="20"/>
  <c r="U691" i="20"/>
  <c r="H691" i="20"/>
  <c r="B678" i="20" s="1"/>
  <c r="P663" i="20"/>
  <c r="I663" i="20"/>
  <c r="B652" i="20" s="1"/>
  <c r="O663" i="20"/>
  <c r="U663" i="20"/>
  <c r="S635" i="20"/>
  <c r="Y635" i="20"/>
  <c r="L635" i="20"/>
  <c r="R635" i="20"/>
  <c r="X635" i="20"/>
  <c r="C641" i="20" s="1" a="1"/>
  <c r="K607" i="20"/>
  <c r="Q607" i="20"/>
  <c r="Q608" i="20" s="1" a="1"/>
  <c r="Q608" i="20" s="1"/>
  <c r="W607" i="20"/>
  <c r="J607" i="20"/>
  <c r="B597" i="20" s="1"/>
  <c r="P607" i="20"/>
  <c r="H1027" i="20"/>
  <c r="B1014" i="20" s="1"/>
  <c r="V1027" i="20"/>
  <c r="O1027" i="20"/>
  <c r="N999" i="20"/>
  <c r="V999" i="20"/>
  <c r="W971" i="20"/>
  <c r="V971" i="20"/>
  <c r="S971" i="20"/>
  <c r="S972" i="20" s="1" a="1"/>
  <c r="S972" i="20" s="1"/>
  <c r="Y971" i="20"/>
  <c r="J971" i="20"/>
  <c r="N943" i="20"/>
  <c r="T943" i="20"/>
  <c r="I943" i="20"/>
  <c r="B932" i="20" s="1"/>
  <c r="Q943" i="20"/>
  <c r="H915" i="20"/>
  <c r="B902" i="20" s="1"/>
  <c r="V915" i="20"/>
  <c r="L915" i="20"/>
  <c r="J915" i="20"/>
  <c r="M887" i="20"/>
  <c r="Q887" i="20"/>
  <c r="W887" i="20"/>
  <c r="S859" i="20"/>
  <c r="Q859" i="20"/>
  <c r="Y859" i="20"/>
  <c r="P859" i="20"/>
  <c r="G859" i="20"/>
  <c r="B845" i="20" s="1"/>
  <c r="V831" i="20"/>
  <c r="V832" i="20" s="1" a="1"/>
  <c r="V832" i="20" s="1"/>
  <c r="I831" i="20"/>
  <c r="B820" i="20" s="1"/>
  <c r="O831" i="20"/>
  <c r="U831" i="20"/>
  <c r="H831" i="20"/>
  <c r="B818" i="20" s="1"/>
  <c r="N803" i="20"/>
  <c r="T803" i="20"/>
  <c r="G803" i="20"/>
  <c r="B789" i="20" s="1"/>
  <c r="Y803" i="20"/>
  <c r="C811" i="20" s="1" a="1"/>
  <c r="C811" i="20" s="1"/>
  <c r="M775" i="20"/>
  <c r="L775" i="20"/>
  <c r="R775" i="20"/>
  <c r="R776" i="20" s="1" a="1"/>
  <c r="R776" i="20" s="1"/>
  <c r="X775" i="20"/>
  <c r="K747" i="20"/>
  <c r="Q747" i="20"/>
  <c r="W747" i="20"/>
  <c r="R747" i="20"/>
  <c r="H747" i="20"/>
  <c r="B734" i="20" s="1"/>
  <c r="X719" i="20"/>
  <c r="Q719" i="20"/>
  <c r="W719" i="20"/>
  <c r="L719" i="20"/>
  <c r="J719" i="20"/>
  <c r="N691" i="20"/>
  <c r="T691" i="20"/>
  <c r="G691" i="20"/>
  <c r="B677" i="20" s="1"/>
  <c r="M691" i="20"/>
  <c r="S663" i="20"/>
  <c r="S664" i="20" s="1" a="1"/>
  <c r="S664" i="20" s="1"/>
  <c r="H663" i="20"/>
  <c r="B650" i="20" s="1"/>
  <c r="V663" i="20"/>
  <c r="G663" i="20"/>
  <c r="B649" i="20" s="1"/>
  <c r="M663" i="20"/>
  <c r="K635" i="20"/>
  <c r="Q635" i="20"/>
  <c r="W635" i="20"/>
  <c r="J635" i="20"/>
  <c r="B625" i="20" s="1"/>
  <c r="P635" i="20"/>
  <c r="V607" i="20"/>
  <c r="I607" i="20"/>
  <c r="B596" i="20" s="1"/>
  <c r="O607" i="20"/>
  <c r="U607" i="20"/>
  <c r="H607" i="20"/>
  <c r="B594" i="20" s="1"/>
  <c r="P579" i="20"/>
  <c r="V579" i="20"/>
  <c r="T579" i="20"/>
  <c r="R579" i="20"/>
  <c r="H159" i="20"/>
  <c r="B146" i="20" s="1"/>
  <c r="L159" i="20"/>
  <c r="P159" i="20"/>
  <c r="W159" i="20"/>
  <c r="K1111" i="20"/>
  <c r="M1111" i="20"/>
  <c r="N1111" i="20"/>
  <c r="T1111" i="20"/>
  <c r="R1111" i="20"/>
  <c r="X1055" i="20"/>
  <c r="C1061" i="20" s="1" a="1"/>
  <c r="C1061" i="20" s="1"/>
  <c r="L1055" i="20"/>
  <c r="P1055" i="20"/>
  <c r="T1055" i="20"/>
  <c r="R1027" i="20"/>
  <c r="Y1027" i="20"/>
  <c r="P1027" i="20"/>
  <c r="X1027" i="20"/>
  <c r="C1033" i="20" s="1" a="1"/>
  <c r="C1033" i="20" s="1"/>
  <c r="Y999" i="20"/>
  <c r="P999" i="20"/>
  <c r="O971" i="20"/>
  <c r="U971" i="20"/>
  <c r="K971" i="20"/>
  <c r="Q971" i="20"/>
  <c r="W943" i="20"/>
  <c r="C948" i="20" s="1" a="1"/>
  <c r="C948" i="20" s="1"/>
  <c r="K943" i="20"/>
  <c r="L943" i="20"/>
  <c r="X943" i="20"/>
  <c r="C949" i="20" s="1" a="1"/>
  <c r="C949" i="20" s="1"/>
  <c r="Q915" i="20"/>
  <c r="W915" i="20"/>
  <c r="N915" i="20"/>
  <c r="O915" i="20"/>
  <c r="K887" i="20"/>
  <c r="O887" i="20"/>
  <c r="S887" i="20"/>
  <c r="L887" i="20"/>
  <c r="W859" i="20"/>
  <c r="N859" i="20"/>
  <c r="M859" i="20"/>
  <c r="L859" i="20"/>
  <c r="X859" i="20"/>
  <c r="N831" i="20"/>
  <c r="T831" i="20"/>
  <c r="G831" i="20"/>
  <c r="B817" i="20" s="1"/>
  <c r="C819" i="20" s="1"/>
  <c r="M831" i="20"/>
  <c r="M803" i="20"/>
  <c r="W803" i="20"/>
  <c r="L803" i="20"/>
  <c r="R803" i="20"/>
  <c r="X803" i="20"/>
  <c r="O775" i="20"/>
  <c r="U775" i="20"/>
  <c r="G775" i="20"/>
  <c r="B761" i="20" s="1"/>
  <c r="J775" i="20"/>
  <c r="P775" i="20"/>
  <c r="T747" i="20"/>
  <c r="T748" i="20" s="1" a="1"/>
  <c r="T748" i="20" s="1"/>
  <c r="I747" i="20"/>
  <c r="B736" i="20" s="1"/>
  <c r="O747" i="20"/>
  <c r="U747" i="20"/>
  <c r="P747" i="20"/>
  <c r="P719" i="20"/>
  <c r="I719" i="20"/>
  <c r="B708" i="20" s="1"/>
  <c r="O719" i="20"/>
  <c r="U719" i="20"/>
  <c r="U720" i="20" s="1" a="1"/>
  <c r="U720" i="20" s="1"/>
  <c r="S691" i="20"/>
  <c r="Y691" i="20"/>
  <c r="L691" i="20"/>
  <c r="R691" i="20"/>
  <c r="R692" i="20" s="1" a="1"/>
  <c r="R692" i="20" s="1"/>
  <c r="X691" i="20"/>
  <c r="K663" i="20"/>
  <c r="Y663" i="20"/>
  <c r="N663" i="20"/>
  <c r="T663" i="20"/>
  <c r="R663" i="20"/>
  <c r="R664" i="20" s="1" a="1"/>
  <c r="R664" i="20" s="1"/>
  <c r="V635" i="20"/>
  <c r="I635" i="20"/>
  <c r="B624" i="20" s="1"/>
  <c r="O635" i="20"/>
  <c r="U635" i="20"/>
  <c r="U636" i="20" s="1" a="1"/>
  <c r="U636" i="20" s="1"/>
  <c r="H635" i="20"/>
  <c r="B622" i="20" s="1"/>
  <c r="N607" i="20"/>
  <c r="T607" i="20"/>
  <c r="G607" i="20"/>
  <c r="B593" i="20" s="1"/>
  <c r="M607" i="20"/>
  <c r="M1027" i="20"/>
  <c r="Q1027" i="20"/>
  <c r="J1027" i="20"/>
  <c r="R999" i="20"/>
  <c r="S999" i="20"/>
  <c r="Q999" i="20"/>
  <c r="J999" i="20"/>
  <c r="G971" i="20"/>
  <c r="B957" i="20" s="1"/>
  <c r="M971" i="20"/>
  <c r="N971" i="20"/>
  <c r="I971" i="20"/>
  <c r="B960" i="20" s="1"/>
  <c r="O943" i="20"/>
  <c r="U943" i="20"/>
  <c r="U944" i="20" s="1" a="1"/>
  <c r="U944" i="20" s="1"/>
  <c r="G943" i="20"/>
  <c r="B929" i="20" s="1"/>
  <c r="J943" i="20"/>
  <c r="J944" i="20" s="1" a="1"/>
  <c r="P943" i="20"/>
  <c r="X915" i="20"/>
  <c r="G915" i="20"/>
  <c r="B901" i="20" s="1"/>
  <c r="S915" i="20"/>
  <c r="U915" i="20"/>
  <c r="P887" i="20"/>
  <c r="T887" i="20"/>
  <c r="T888" i="20" s="1"/>
  <c r="H887" i="20"/>
  <c r="B874" i="20" s="1"/>
  <c r="J887" i="20"/>
  <c r="J859" i="20"/>
  <c r="H859" i="20"/>
  <c r="B846" i="20" s="1"/>
  <c r="K859" i="20"/>
  <c r="U859" i="20"/>
  <c r="S831" i="20"/>
  <c r="Y831" i="20"/>
  <c r="L831" i="20"/>
  <c r="R831" i="20"/>
  <c r="X831" i="20"/>
  <c r="U803" i="20"/>
  <c r="K803" i="20"/>
  <c r="S803" i="20"/>
  <c r="J803" i="20"/>
  <c r="P803" i="20"/>
  <c r="V775" i="20"/>
  <c r="K775" i="20"/>
  <c r="S775" i="20"/>
  <c r="S776" i="20" s="1" a="1"/>
  <c r="S776" i="20" s="1"/>
  <c r="Y775" i="20"/>
  <c r="H775" i="20"/>
  <c r="B762" i="20" s="1"/>
  <c r="J747" i="20"/>
  <c r="N747" i="20"/>
  <c r="G747" i="20"/>
  <c r="B733" i="20" s="1"/>
  <c r="M747" i="20"/>
  <c r="S719" i="20"/>
  <c r="H719" i="20"/>
  <c r="B706" i="20" s="1"/>
  <c r="V719" i="20"/>
  <c r="G719" i="20"/>
  <c r="B705" i="20" s="1"/>
  <c r="M719" i="20"/>
  <c r="K691" i="20"/>
  <c r="Q691" i="20"/>
  <c r="W691" i="20"/>
  <c r="J691" i="20"/>
  <c r="P691" i="20"/>
  <c r="X663" i="20"/>
  <c r="Q663" i="20"/>
  <c r="W663" i="20"/>
  <c r="L663" i="20"/>
  <c r="J663" i="20"/>
  <c r="N635" i="20"/>
  <c r="T635" i="20"/>
  <c r="G635" i="20"/>
  <c r="B621" i="20" s="1"/>
  <c r="M635" i="20"/>
  <c r="S607" i="20"/>
  <c r="Y607" i="20"/>
  <c r="L607" i="20"/>
  <c r="R607" i="20"/>
  <c r="X607" i="20"/>
  <c r="X608" i="20" s="1" a="1"/>
  <c r="K579" i="20"/>
  <c r="Q579" i="20"/>
  <c r="O579" i="20"/>
  <c r="U579" i="20"/>
  <c r="X579" i="20"/>
  <c r="I579" i="20"/>
  <c r="B568" i="20" s="1"/>
  <c r="G579" i="20"/>
  <c r="B565" i="20" s="1"/>
  <c r="M579" i="20"/>
  <c r="J551" i="20"/>
  <c r="B541" i="20" s="1"/>
  <c r="P551" i="20"/>
  <c r="V551" i="20"/>
  <c r="I551" i="20"/>
  <c r="B540" i="20" s="1"/>
  <c r="O551" i="20"/>
  <c r="V523" i="20"/>
  <c r="O523" i="20"/>
  <c r="Y523" i="20"/>
  <c r="M523" i="20"/>
  <c r="H523" i="20"/>
  <c r="B510" i="20" s="1"/>
  <c r="N495" i="20"/>
  <c r="T495" i="20"/>
  <c r="G495" i="20"/>
  <c r="B481" i="20" s="1"/>
  <c r="M495" i="20"/>
  <c r="U467" i="20"/>
  <c r="J467" i="20"/>
  <c r="B457" i="20" s="1"/>
  <c r="O467" i="20"/>
  <c r="L467" i="20"/>
  <c r="V467" i="20"/>
  <c r="K439" i="20"/>
  <c r="Q439" i="20"/>
  <c r="W439" i="20"/>
  <c r="J439" i="20"/>
  <c r="B429" i="20" s="1"/>
  <c r="P439" i="20"/>
  <c r="X411" i="20"/>
  <c r="Q411" i="20"/>
  <c r="W411" i="20"/>
  <c r="L411" i="20"/>
  <c r="J411" i="20"/>
  <c r="N383" i="20"/>
  <c r="T383" i="20"/>
  <c r="G383" i="20"/>
  <c r="B369" i="20" s="1"/>
  <c r="M383" i="20"/>
  <c r="S355" i="20"/>
  <c r="S356" i="20" s="1" a="1"/>
  <c r="S356" i="20" s="1"/>
  <c r="Y355" i="20"/>
  <c r="L355" i="20"/>
  <c r="R355" i="20"/>
  <c r="R356" i="20" s="1" a="1"/>
  <c r="R356" i="20" s="1"/>
  <c r="X355" i="20"/>
  <c r="K327" i="20"/>
  <c r="Q327" i="20"/>
  <c r="W327" i="20"/>
  <c r="J327" i="20"/>
  <c r="B317" i="20" s="1"/>
  <c r="P327" i="20"/>
  <c r="P299" i="20"/>
  <c r="T299" i="20"/>
  <c r="R299" i="20"/>
  <c r="L299" i="20"/>
  <c r="V271" i="20"/>
  <c r="I271" i="20"/>
  <c r="B260" i="20" s="1"/>
  <c r="O271" i="20"/>
  <c r="U271" i="20"/>
  <c r="H271" i="20"/>
  <c r="B258" i="20" s="1"/>
  <c r="P243" i="20"/>
  <c r="I243" i="20"/>
  <c r="B232" i="20" s="1"/>
  <c r="O243" i="20"/>
  <c r="M243" i="20"/>
  <c r="K215" i="20"/>
  <c r="Y215" i="20"/>
  <c r="C223" i="20" s="1" a="1"/>
  <c r="C223" i="20" s="1"/>
  <c r="W215" i="20"/>
  <c r="L215" i="20"/>
  <c r="J215" i="20"/>
  <c r="P187" i="20"/>
  <c r="I187" i="20"/>
  <c r="B176" i="20" s="1"/>
  <c r="O187" i="20"/>
  <c r="U187" i="20"/>
  <c r="U551" i="20"/>
  <c r="H551" i="20"/>
  <c r="B538" i="20" s="1"/>
  <c r="N551" i="20"/>
  <c r="T551" i="20"/>
  <c r="G551" i="20"/>
  <c r="B537" i="20" s="1"/>
  <c r="N523" i="20"/>
  <c r="T523" i="20"/>
  <c r="T524" i="20" s="1" a="1"/>
  <c r="T524" i="20" s="1"/>
  <c r="G523" i="20"/>
  <c r="B509" i="20" s="1"/>
  <c r="W523" i="20"/>
  <c r="S495" i="20"/>
  <c r="Y495" i="20"/>
  <c r="C503" i="20" s="1" a="1"/>
  <c r="C503" i="20" s="1"/>
  <c r="L495" i="20"/>
  <c r="R495" i="20"/>
  <c r="R496" i="20" s="1" a="1"/>
  <c r="X495" i="20"/>
  <c r="I467" i="20"/>
  <c r="B456" i="20" s="1"/>
  <c r="S467" i="20"/>
  <c r="Y467" i="20"/>
  <c r="W467" i="20"/>
  <c r="P467" i="20"/>
  <c r="V439" i="20"/>
  <c r="I439" i="20"/>
  <c r="B428" i="20" s="1"/>
  <c r="O439" i="20"/>
  <c r="U439" i="20"/>
  <c r="H439" i="20"/>
  <c r="B426" i="20" s="1"/>
  <c r="P411" i="20"/>
  <c r="I411" i="20"/>
  <c r="B400" i="20" s="1"/>
  <c r="O411" i="20"/>
  <c r="U411" i="20"/>
  <c r="S383" i="20"/>
  <c r="S384" i="20" s="1" a="1"/>
  <c r="S384" i="20" s="1"/>
  <c r="Y383" i="20"/>
  <c r="L383" i="20"/>
  <c r="R383" i="20"/>
  <c r="X383" i="20"/>
  <c r="X384" i="20" s="1" a="1"/>
  <c r="K355" i="20"/>
  <c r="Q355" i="20"/>
  <c r="Q356" i="20" s="1" a="1"/>
  <c r="Q356" i="20" s="1"/>
  <c r="W355" i="20"/>
  <c r="J355" i="20"/>
  <c r="P355" i="20"/>
  <c r="V327" i="20"/>
  <c r="I327" i="20"/>
  <c r="B316" i="20" s="1"/>
  <c r="O327" i="20"/>
  <c r="U327" i="20"/>
  <c r="H327" i="20"/>
  <c r="B314" i="20" s="1"/>
  <c r="J299" i="20"/>
  <c r="U299" i="20"/>
  <c r="I299" i="20"/>
  <c r="B288" i="20" s="1"/>
  <c r="M299" i="20"/>
  <c r="N271" i="20"/>
  <c r="T271" i="20"/>
  <c r="G271" i="20"/>
  <c r="B257" i="20" s="1"/>
  <c r="M271" i="20"/>
  <c r="S243" i="20"/>
  <c r="H243" i="20"/>
  <c r="B230" i="20" s="1"/>
  <c r="V243" i="20"/>
  <c r="G243" i="20"/>
  <c r="B229" i="20" s="1"/>
  <c r="R243" i="20"/>
  <c r="X215" i="20"/>
  <c r="Q215" i="20"/>
  <c r="O215" i="20"/>
  <c r="U215" i="20"/>
  <c r="S187" i="20"/>
  <c r="H187" i="20"/>
  <c r="B174" i="20" s="1"/>
  <c r="V187" i="20"/>
  <c r="G187" i="20"/>
  <c r="B173" i="20" s="1"/>
  <c r="M187" i="20"/>
  <c r="S579" i="20"/>
  <c r="Y579" i="20"/>
  <c r="W579" i="20"/>
  <c r="L579" i="20"/>
  <c r="J579" i="20"/>
  <c r="M551" i="20"/>
  <c r="S551" i="20"/>
  <c r="Y551" i="20"/>
  <c r="C559" i="20" s="1" a="1"/>
  <c r="C559" i="20" s="1"/>
  <c r="L551" i="20"/>
  <c r="K523" i="20"/>
  <c r="U523" i="20"/>
  <c r="L523" i="20"/>
  <c r="R523" i="20"/>
  <c r="X523" i="20"/>
  <c r="K495" i="20"/>
  <c r="Q495" i="20"/>
  <c r="W495" i="20"/>
  <c r="J495" i="20"/>
  <c r="B485" i="20" s="1"/>
  <c r="P495" i="20"/>
  <c r="K467" i="20"/>
  <c r="G467" i="20"/>
  <c r="B453" i="20" s="1"/>
  <c r="N467" i="20"/>
  <c r="M467" i="20"/>
  <c r="T467" i="20"/>
  <c r="N439" i="20"/>
  <c r="T439" i="20"/>
  <c r="T440" i="20" s="1" a="1"/>
  <c r="T440" i="20" s="1"/>
  <c r="G439" i="20"/>
  <c r="B425" i="20" s="1"/>
  <c r="M439" i="20"/>
  <c r="S411" i="20"/>
  <c r="H411" i="20"/>
  <c r="B398" i="20" s="1"/>
  <c r="V411" i="20"/>
  <c r="G411" i="20"/>
  <c r="B397" i="20" s="1"/>
  <c r="M411" i="20"/>
  <c r="K383" i="20"/>
  <c r="Q383" i="20"/>
  <c r="W383" i="20"/>
  <c r="J383" i="20"/>
  <c r="P383" i="20"/>
  <c r="V355" i="20"/>
  <c r="V356" i="20" s="1" a="1"/>
  <c r="V356" i="20" s="1"/>
  <c r="I355" i="20"/>
  <c r="O355" i="20"/>
  <c r="C359" i="20" s="1" a="1"/>
  <c r="C359" i="20" s="1"/>
  <c r="U355" i="20"/>
  <c r="U356" i="20" s="1" a="1"/>
  <c r="U356" i="20" s="1"/>
  <c r="H355" i="20"/>
  <c r="N327" i="20"/>
  <c r="T327" i="20"/>
  <c r="G327" i="20"/>
  <c r="B313" i="20" s="1"/>
  <c r="M327" i="20"/>
  <c r="G299" i="20"/>
  <c r="B285" i="20" s="1"/>
  <c r="Q299" i="20"/>
  <c r="O299" i="20"/>
  <c r="Y299" i="20"/>
  <c r="S271" i="20"/>
  <c r="Y271" i="20"/>
  <c r="L271" i="20"/>
  <c r="R271" i="20"/>
  <c r="X271" i="20"/>
  <c r="K243" i="20"/>
  <c r="Y243" i="20"/>
  <c r="N243" i="20"/>
  <c r="T243" i="20"/>
  <c r="J243" i="20"/>
  <c r="B233" i="20" s="1"/>
  <c r="P215" i="20"/>
  <c r="I215" i="20"/>
  <c r="B204" i="20" s="1"/>
  <c r="G215" i="20"/>
  <c r="B201" i="20" s="1"/>
  <c r="M215" i="20"/>
  <c r="K187" i="20"/>
  <c r="Y187" i="20"/>
  <c r="N187" i="20"/>
  <c r="T187" i="20"/>
  <c r="R187" i="20"/>
  <c r="R551" i="20"/>
  <c r="X551" i="20"/>
  <c r="X552" i="20" s="1" a="1"/>
  <c r="K551" i="20"/>
  <c r="Q551" i="20"/>
  <c r="W551" i="20"/>
  <c r="S523" i="20"/>
  <c r="I523" i="20"/>
  <c r="B512" i="20" s="1"/>
  <c r="Q523" i="20"/>
  <c r="Q524" i="20" s="1" a="1"/>
  <c r="Q524" i="20" s="1"/>
  <c r="J523" i="20"/>
  <c r="P523" i="20"/>
  <c r="V495" i="20"/>
  <c r="I495" i="20"/>
  <c r="B484" i="20" s="1"/>
  <c r="O495" i="20"/>
  <c r="U495" i="20"/>
  <c r="U496" i="20" s="1" a="1"/>
  <c r="U496" i="20" s="1"/>
  <c r="H495" i="20"/>
  <c r="B482" i="20" s="1"/>
  <c r="X467" i="20"/>
  <c r="R467" i="20"/>
  <c r="H467" i="20"/>
  <c r="B454" i="20" s="1"/>
  <c r="Q467" i="20"/>
  <c r="S439" i="20"/>
  <c r="Y439" i="20"/>
  <c r="L439" i="20"/>
  <c r="R439" i="20"/>
  <c r="X439" i="20"/>
  <c r="K411" i="20"/>
  <c r="Y411" i="20"/>
  <c r="C419" i="20" s="1" a="1"/>
  <c r="N411" i="20"/>
  <c r="C413" i="20" s="1" a="1"/>
  <c r="C413" i="20" s="1"/>
  <c r="T411" i="20"/>
  <c r="T412" i="20" s="1" a="1"/>
  <c r="T412" i="20" s="1"/>
  <c r="R411" i="20"/>
  <c r="V383" i="20"/>
  <c r="V384" i="20" s="1" a="1"/>
  <c r="V384" i="20" s="1"/>
  <c r="O383" i="20"/>
  <c r="U383" i="20"/>
  <c r="H383" i="20"/>
  <c r="B370" i="20" s="1"/>
  <c r="N355" i="20"/>
  <c r="T355" i="20"/>
  <c r="T356" i="20" s="1" a="1"/>
  <c r="T356" i="20" s="1"/>
  <c r="G355" i="20"/>
  <c r="M355" i="20"/>
  <c r="S327" i="20"/>
  <c r="Y327" i="20"/>
  <c r="R327" i="20"/>
  <c r="X327" i="20"/>
  <c r="W299" i="20"/>
  <c r="K299" i="20"/>
  <c r="H299" i="20"/>
  <c r="B286" i="20" s="1"/>
  <c r="S299" i="20"/>
  <c r="K271" i="20"/>
  <c r="Q271" i="20"/>
  <c r="W271" i="20"/>
  <c r="C276" i="20" s="1" a="1"/>
  <c r="J271" i="20"/>
  <c r="P271" i="20"/>
  <c r="X243" i="20"/>
  <c r="Q243" i="20"/>
  <c r="W243" i="20"/>
  <c r="U243" i="20"/>
  <c r="S215" i="20"/>
  <c r="H215" i="20"/>
  <c r="B202" i="20" s="1"/>
  <c r="V215" i="20"/>
  <c r="T215" i="20"/>
  <c r="R215" i="20"/>
  <c r="X187" i="20"/>
  <c r="Q187" i="20"/>
  <c r="W187" i="20"/>
  <c r="L187" i="20"/>
  <c r="J187" i="20"/>
  <c r="T888" i="20" a="1"/>
  <c r="C1144" i="20" a="1"/>
  <c r="S1140" i="20" a="1"/>
  <c r="T832" i="20" a="1"/>
  <c r="T384" i="20" a="1"/>
  <c r="T944" i="20" a="1"/>
  <c r="U1140" i="20" a="1"/>
  <c r="U1140" i="20" s="1"/>
  <c r="R468" i="20" a="1"/>
  <c r="U776" i="20" a="1"/>
  <c r="T1056" i="20" a="1"/>
  <c r="C1117" i="20" a="1"/>
  <c r="T468" i="20" a="1"/>
  <c r="T496" i="20" a="1"/>
  <c r="C671" i="20" a="1"/>
  <c r="Q720" i="20" a="1"/>
  <c r="R1112" i="20" a="1"/>
  <c r="C979" i="20" a="1"/>
  <c r="Q972" i="20" a="1"/>
  <c r="Q1140" i="20" a="1"/>
  <c r="X20" i="20" a="1"/>
  <c r="V496" i="20" a="1"/>
  <c r="R412" i="20" a="1"/>
  <c r="Q888" i="20" a="1"/>
  <c r="V412" i="20" a="1"/>
  <c r="C55" i="20" a="1"/>
  <c r="R552" i="20" a="1"/>
  <c r="V888" i="20" a="1"/>
  <c r="Q580" i="20" a="1"/>
  <c r="V664" i="20" a="1"/>
  <c r="T804" i="20" a="1"/>
  <c r="S804" i="20" a="1"/>
  <c r="U804" i="20" a="1"/>
  <c r="U440" i="20" a="1"/>
  <c r="U468" i="20" a="1"/>
  <c r="X412" i="20" a="1"/>
  <c r="U552" i="20" a="1"/>
  <c r="T552" i="20" a="1"/>
  <c r="V776" i="20" a="1"/>
  <c r="Q804" i="20" a="1"/>
  <c r="C417" i="20" a="1"/>
  <c r="X636" i="20" a="1"/>
  <c r="J636" i="20" a="1"/>
  <c r="C389" i="20" a="1"/>
  <c r="C192" i="20" a="1"/>
  <c r="J552" i="20" a="1"/>
  <c r="X496" i="20" a="1"/>
  <c r="C501" i="20" a="1"/>
  <c r="C25" i="20" a="1"/>
  <c r="C83" i="20" a="1"/>
  <c r="C111" i="20" a="1"/>
  <c r="C139" i="20" a="1"/>
  <c r="C195" i="20" a="1"/>
  <c r="R440" i="20" a="1"/>
  <c r="R384" i="20" a="1"/>
  <c r="Q412" i="20" a="1"/>
  <c r="J468" i="20" a="1"/>
  <c r="W552" i="20" a="1"/>
  <c r="C556" i="20" a="1"/>
  <c r="Q496" i="20" a="1"/>
  <c r="V552" i="20" a="1"/>
  <c r="Q552" i="20" a="1"/>
  <c r="R580" i="20" a="1"/>
  <c r="T580" i="20" a="1"/>
  <c r="T664" i="20" a="1"/>
  <c r="R524" i="20" a="1"/>
  <c r="S524" i="20" a="1"/>
  <c r="U524" i="20" a="1"/>
  <c r="U664" i="20" a="1"/>
  <c r="T720" i="20" a="1"/>
  <c r="S720" i="20" a="1"/>
  <c r="T692" i="20" a="1"/>
  <c r="C783" i="20" a="1"/>
  <c r="R860" i="20" a="1"/>
  <c r="S888" i="20" a="1"/>
  <c r="R748" i="20" a="1"/>
  <c r="S748" i="20" a="1"/>
  <c r="V804" i="20" a="1"/>
  <c r="S860" i="20" a="1"/>
  <c r="V1028" i="20" a="1"/>
  <c r="U972" i="20" a="1"/>
  <c r="U1028" i="20" a="1"/>
  <c r="C1088" i="20" a="1"/>
  <c r="V1140" i="20" a="1"/>
  <c r="V972" i="20" a="1"/>
  <c r="R1000" i="20" a="1"/>
  <c r="R1084" i="20" a="1"/>
  <c r="C1004" i="20" a="1"/>
  <c r="C1063" i="20" a="1"/>
  <c r="Q1056" i="20" a="1"/>
  <c r="U1112" i="20" a="1"/>
  <c r="C307" i="20" a="1"/>
  <c r="C391" i="20" a="1"/>
  <c r="Q384" i="20" a="1"/>
  <c r="C613" i="20" a="1"/>
  <c r="J608" i="20" a="1"/>
  <c r="C643" i="20" a="1"/>
  <c r="V636" i="20" a="1"/>
  <c r="Q692" i="20" a="1"/>
  <c r="W832" i="20" a="1"/>
  <c r="C836" i="20" a="1"/>
  <c r="Q748" i="20" a="1"/>
  <c r="C808" i="20" a="1"/>
  <c r="W804" i="20" a="1"/>
  <c r="C867" i="20" a="1"/>
  <c r="Q860" i="20" a="1"/>
  <c r="U1084" i="20" a="1"/>
  <c r="U916" i="20" a="1"/>
  <c r="V916" i="20" a="1"/>
  <c r="R1056" i="20" a="1"/>
  <c r="V1000" i="20" a="1"/>
  <c r="V1084" i="20" a="1"/>
  <c r="U1000" i="20" a="1"/>
  <c r="C1060" i="20" a="1"/>
  <c r="S1112" i="20" a="1"/>
  <c r="C248" i="20" a="1"/>
  <c r="T20" i="20" a="1"/>
  <c r="C27" i="20" a="1"/>
  <c r="C279" i="20" a="1"/>
  <c r="S440" i="20" a="1"/>
  <c r="S468" i="20" a="1"/>
  <c r="J440" i="20" a="1"/>
  <c r="U412" i="20" a="1"/>
  <c r="C557" i="20" a="1"/>
  <c r="J496" i="20" a="1"/>
  <c r="V580" i="20" a="1"/>
  <c r="X580" i="20" a="1"/>
  <c r="C585" i="20" a="1"/>
  <c r="U608" i="20" a="1"/>
  <c r="C615" i="20" a="1"/>
  <c r="V608" i="20" a="1"/>
  <c r="T636" i="20" a="1"/>
  <c r="S636" i="20" a="1"/>
  <c r="W720" i="20" a="1"/>
  <c r="C724" i="20" a="1"/>
  <c r="V692" i="20" a="1"/>
  <c r="Q776" i="20" a="1"/>
  <c r="W888" i="20" a="1"/>
  <c r="C892" i="20" a="1"/>
  <c r="X888" i="20" a="1"/>
  <c r="C893" i="20" a="1"/>
  <c r="R804" i="20" a="1"/>
  <c r="Q832" i="20" a="1"/>
  <c r="U832" i="20" a="1"/>
  <c r="V860" i="20" a="1"/>
  <c r="S832" i="20" a="1"/>
  <c r="R832" i="20" a="1"/>
  <c r="T860" i="20" a="1"/>
  <c r="V1112" i="20" a="1"/>
  <c r="C1035" i="20" a="1"/>
  <c r="Q1028" i="20" a="1"/>
  <c r="S1084" i="20" a="1"/>
  <c r="R1140" i="20" a="1"/>
  <c r="S916" i="20" a="1"/>
  <c r="T916" i="20" a="1"/>
  <c r="T972" i="20" a="1"/>
  <c r="V944" i="20" a="1"/>
  <c r="V1056" i="20" a="1"/>
  <c r="S1000" i="20" a="1"/>
  <c r="U1056" i="20" a="1"/>
  <c r="Q1112" i="20" a="1"/>
  <c r="C80" i="20" a="1"/>
  <c r="C167" i="20" a="1"/>
  <c r="C251" i="20" a="1"/>
  <c r="C335" i="20" a="1"/>
  <c r="C447" i="20" a="1"/>
  <c r="Q440" i="20" a="1"/>
  <c r="V468" i="20" a="1"/>
  <c r="C475" i="20" a="1"/>
  <c r="Q468" i="20" a="1"/>
  <c r="U384" i="20" a="1"/>
  <c r="S412" i="20" a="1"/>
  <c r="V440" i="20" a="1"/>
  <c r="S496" i="20" a="1"/>
  <c r="S552" i="20" a="1"/>
  <c r="S580" i="20" a="1"/>
  <c r="U580" i="20" a="1"/>
  <c r="C587" i="20" a="1"/>
  <c r="R608" i="20" a="1"/>
  <c r="T608" i="20" a="1"/>
  <c r="S608" i="20" a="1"/>
  <c r="C531" i="20" a="1"/>
  <c r="V524" i="20" a="1"/>
  <c r="Q664" i="20" a="1"/>
  <c r="R636" i="20" a="1"/>
  <c r="Q636" i="20" a="1"/>
  <c r="C727" i="20" a="1"/>
  <c r="V720" i="20" a="1"/>
  <c r="S692" i="20" a="1"/>
  <c r="U692" i="20" a="1"/>
  <c r="C699" i="20" a="1"/>
  <c r="T776" i="20" a="1"/>
  <c r="U888" i="20" a="1"/>
  <c r="U748" i="20" a="1"/>
  <c r="C755" i="20" a="1"/>
  <c r="V748" i="20" a="1"/>
  <c r="C839" i="20" a="1"/>
  <c r="U860" i="20" a="1"/>
  <c r="Q944" i="20" a="1"/>
  <c r="R1028" i="20" a="1"/>
  <c r="C976" i="20" a="1"/>
  <c r="C1032" i="20" a="1"/>
  <c r="C1091" i="20" a="1"/>
  <c r="Q1084" i="20" a="1"/>
  <c r="C1145" i="20" a="1"/>
  <c r="Q916" i="20" a="1"/>
  <c r="R916" i="20" a="1"/>
  <c r="C977" i="20" a="1"/>
  <c r="T1028" i="20" a="1"/>
  <c r="C1089" i="20" a="1"/>
  <c r="T1112" i="20" a="1"/>
  <c r="C1147" i="20" a="1"/>
  <c r="R972" i="20" a="1"/>
  <c r="C1007" i="20" a="1"/>
  <c r="Q1000" i="20" a="1"/>
  <c r="S1056" i="20" a="1"/>
  <c r="C1116" i="20" a="1"/>
  <c r="Q636" i="20" l="1"/>
  <c r="U1084" i="20"/>
  <c r="C889" i="20" a="1"/>
  <c r="C889" i="20" s="1"/>
  <c r="Q1084" i="20"/>
  <c r="U804" i="20"/>
  <c r="R384" i="20"/>
  <c r="R860" i="20"/>
  <c r="R580" i="20"/>
  <c r="C111" i="20"/>
  <c r="Q916" i="20"/>
  <c r="V748" i="20"/>
  <c r="T608" i="20"/>
  <c r="V916" i="20"/>
  <c r="C867" i="20"/>
  <c r="C135" i="20" a="1"/>
  <c r="C135" i="20" s="1"/>
  <c r="C83" i="20"/>
  <c r="T664" i="20"/>
  <c r="J608" i="20"/>
  <c r="Z720" i="20"/>
  <c r="C839" i="20"/>
  <c r="U1056" i="20"/>
  <c r="V1112" i="20"/>
  <c r="J440" i="20"/>
  <c r="V636" i="20"/>
  <c r="V888" i="20"/>
  <c r="Q888" i="20"/>
  <c r="Q1028" i="20"/>
  <c r="Q832" i="20"/>
  <c r="V720" i="20"/>
  <c r="S580" i="20"/>
  <c r="V468" i="20"/>
  <c r="Q692" i="20"/>
  <c r="V552" i="20"/>
  <c r="U468" i="20"/>
  <c r="Q1000" i="20"/>
  <c r="T1112" i="20"/>
  <c r="R608" i="20"/>
  <c r="V944" i="20"/>
  <c r="R804" i="20"/>
  <c r="V608" i="20"/>
  <c r="X580" i="20"/>
  <c r="U412" i="20"/>
  <c r="C391" i="20"/>
  <c r="U1028" i="20"/>
  <c r="V804" i="20"/>
  <c r="S888" i="20"/>
  <c r="T552" i="20"/>
  <c r="V664" i="20"/>
  <c r="C301" i="20" a="1"/>
  <c r="C301" i="20" s="1"/>
  <c r="C805" i="20" a="1"/>
  <c r="C805" i="20" s="1"/>
  <c r="C1116" i="20"/>
  <c r="R972" i="20"/>
  <c r="T1028" i="20"/>
  <c r="U888" i="20"/>
  <c r="S692" i="20"/>
  <c r="U1000" i="20"/>
  <c r="C643" i="20"/>
  <c r="C1004" i="20"/>
  <c r="S748" i="20"/>
  <c r="C783" i="20"/>
  <c r="T720" i="20"/>
  <c r="R524" i="20"/>
  <c r="T944" i="20"/>
  <c r="C1144" i="20"/>
  <c r="C695" i="20" a="1"/>
  <c r="C695" i="20" s="1"/>
  <c r="Z664" i="20"/>
  <c r="S496" i="20"/>
  <c r="C23" i="20" a="1"/>
  <c r="C23" i="20" s="1"/>
  <c r="C1031" i="20" a="1"/>
  <c r="C1031" i="20" s="1"/>
  <c r="C972" i="20" a="1"/>
  <c r="C972" i="20" s="1"/>
  <c r="C51" i="20" a="1"/>
  <c r="C51" i="20" s="1"/>
  <c r="C49" i="20" a="1"/>
  <c r="C49" i="20" s="1"/>
  <c r="T776" i="20"/>
  <c r="W888" i="20"/>
  <c r="W832" i="20"/>
  <c r="Q1140" i="20"/>
  <c r="C161" i="20" a="1"/>
  <c r="C161" i="20" s="1"/>
  <c r="C1007" i="20"/>
  <c r="Q440" i="20"/>
  <c r="J468" i="20"/>
  <c r="V1084" i="20"/>
  <c r="U664" i="20"/>
  <c r="C976" i="20"/>
  <c r="R832" i="20"/>
  <c r="C1147" i="20"/>
  <c r="C977" i="20"/>
  <c r="C1088" i="20"/>
  <c r="R748" i="20"/>
  <c r="B9" i="20"/>
  <c r="C525" i="20" a="1"/>
  <c r="C525" i="20" s="1"/>
  <c r="V440" i="20"/>
  <c r="T636" i="20"/>
  <c r="W804" i="20"/>
  <c r="V1140" i="20"/>
  <c r="V1028" i="20"/>
  <c r="S720" i="20"/>
  <c r="J552" i="20"/>
  <c r="S804" i="20"/>
  <c r="C1117" i="20"/>
  <c r="R916" i="20"/>
  <c r="U860" i="20"/>
  <c r="U748" i="20"/>
  <c r="C727" i="20"/>
  <c r="T916" i="20"/>
  <c r="T860" i="20"/>
  <c r="U832" i="20"/>
  <c r="C585" i="20"/>
  <c r="S468" i="20"/>
  <c r="C27" i="20"/>
  <c r="C808" i="20"/>
  <c r="R1000" i="20"/>
  <c r="S860" i="20"/>
  <c r="C139" i="20"/>
  <c r="C55" i="20"/>
  <c r="C639" i="20" a="1"/>
  <c r="C639" i="20" s="1"/>
  <c r="C721" i="20" a="1"/>
  <c r="C721" i="20" s="1"/>
  <c r="C807" i="20" a="1"/>
  <c r="C807" i="20" s="1"/>
  <c r="C975" i="20" a="1"/>
  <c r="C975" i="20" s="1"/>
  <c r="Z776" i="20"/>
  <c r="C1145" i="20"/>
  <c r="R1028" i="20"/>
  <c r="R636" i="20"/>
  <c r="C447" i="20"/>
  <c r="R1140" i="20"/>
  <c r="V692" i="20"/>
  <c r="C615" i="20"/>
  <c r="V580" i="20"/>
  <c r="U916" i="20"/>
  <c r="U1112" i="20"/>
  <c r="V496" i="20"/>
  <c r="Q720" i="20"/>
  <c r="C471" i="20" a="1"/>
  <c r="C471" i="20" s="1"/>
  <c r="Q944" i="20"/>
  <c r="R1056" i="20"/>
  <c r="C671" i="20"/>
  <c r="X888" i="20"/>
  <c r="C1035" i="20"/>
  <c r="C1091" i="20"/>
  <c r="C581" i="20" a="1"/>
  <c r="C581" i="20" s="1"/>
  <c r="C1143" i="20" a="1"/>
  <c r="C1143" i="20" s="1"/>
  <c r="C163" i="20" a="1"/>
  <c r="C163" i="20" s="1"/>
  <c r="S832" i="20"/>
  <c r="V972" i="20"/>
  <c r="Q412" i="20"/>
  <c r="V1056" i="20"/>
  <c r="V524" i="20"/>
  <c r="S552" i="20"/>
  <c r="U608" i="20"/>
  <c r="Q1056" i="20"/>
  <c r="R1084" i="20"/>
  <c r="U524" i="20"/>
  <c r="U552" i="20"/>
  <c r="S1056" i="20"/>
  <c r="C531" i="20"/>
  <c r="C80" i="20"/>
  <c r="S1000" i="20"/>
  <c r="S916" i="20"/>
  <c r="Q776" i="20"/>
  <c r="C1063" i="20"/>
  <c r="T692" i="20"/>
  <c r="T804" i="20"/>
  <c r="Q972" i="20"/>
  <c r="U776" i="20"/>
  <c r="C1032" i="20"/>
  <c r="C475" i="20"/>
  <c r="S1084" i="20"/>
  <c r="S636" i="20"/>
  <c r="S1112" i="20"/>
  <c r="Q860" i="20"/>
  <c r="Q580" i="20"/>
  <c r="X20" i="20"/>
  <c r="R1112" i="20"/>
  <c r="Z1084" i="20"/>
  <c r="Z608" i="20"/>
  <c r="C248" i="20"/>
  <c r="C749" i="20" a="1"/>
  <c r="C749" i="20" s="1"/>
  <c r="C637" i="20" a="1"/>
  <c r="C637" i="20" s="1"/>
  <c r="C833" i="20" a="1"/>
  <c r="C833" i="20" s="1"/>
  <c r="C861" i="20" a="1"/>
  <c r="C861" i="20" s="1"/>
  <c r="C583" i="20" a="1"/>
  <c r="C583" i="20" s="1"/>
  <c r="C133" i="20" a="1"/>
  <c r="C133" i="20" s="1"/>
  <c r="C107" i="20" a="1"/>
  <c r="C107" i="20" s="1"/>
  <c r="C1003" i="20" a="1"/>
  <c r="C1003" i="20" s="1"/>
  <c r="R412" i="20"/>
  <c r="Q664" i="20"/>
  <c r="S608" i="20"/>
  <c r="U580" i="20"/>
  <c r="C251" i="20"/>
  <c r="Q1112" i="20"/>
  <c r="T972" i="20"/>
  <c r="T20" i="20"/>
  <c r="C1060" i="20"/>
  <c r="Q748" i="20"/>
  <c r="V776" i="20"/>
  <c r="T1056" i="20"/>
  <c r="C1089" i="20"/>
  <c r="C755" i="20"/>
  <c r="C167" i="20"/>
  <c r="V860" i="20"/>
  <c r="C892" i="20"/>
  <c r="C836" i="20"/>
  <c r="C613" i="20"/>
  <c r="U972" i="20"/>
  <c r="U440" i="20"/>
  <c r="C979" i="20"/>
  <c r="T496" i="20"/>
  <c r="C699" i="20"/>
  <c r="C587" i="20"/>
  <c r="U384" i="20"/>
  <c r="S440" i="20"/>
  <c r="V1000" i="20"/>
  <c r="Q804" i="20"/>
  <c r="B933" i="20"/>
  <c r="C943" i="20" s="1"/>
  <c r="S1140" i="20"/>
  <c r="C387" i="20" a="1"/>
  <c r="C387" i="20" s="1"/>
  <c r="U692" i="20"/>
  <c r="R552" i="20"/>
  <c r="Q468" i="20"/>
  <c r="S412" i="20"/>
  <c r="R440" i="20"/>
  <c r="C189" i="20" a="1"/>
  <c r="C189" i="20" s="1"/>
  <c r="C335" i="20"/>
  <c r="C279" i="20"/>
  <c r="T468" i="20"/>
  <c r="R468" i="20"/>
  <c r="Q552" i="20"/>
  <c r="C192" i="20"/>
  <c r="C875" i="20"/>
  <c r="C636" i="20" a="1"/>
  <c r="C636" i="20" s="1"/>
  <c r="C777" i="20" a="1"/>
  <c r="C777" i="20" s="1"/>
  <c r="C903" i="20"/>
  <c r="C21" i="20" a="1"/>
  <c r="C21" i="20" s="1"/>
  <c r="C357" i="20" a="1"/>
  <c r="C357" i="20" s="1"/>
  <c r="W776" i="20" a="1"/>
  <c r="C780" i="20" a="1"/>
  <c r="C231" i="20"/>
  <c r="C329" i="20" a="1"/>
  <c r="C329" i="20" s="1"/>
  <c r="C469" i="20" a="1"/>
  <c r="C469" i="20" s="1"/>
  <c r="C1127" i="20"/>
  <c r="C551" i="20"/>
  <c r="C203" i="20"/>
  <c r="J188" i="20" a="1"/>
  <c r="J188" i="20" s="1"/>
  <c r="W188" i="20" a="1"/>
  <c r="W188" i="20" s="1"/>
  <c r="Q188" i="20" a="1"/>
  <c r="Q188" i="20" s="1"/>
  <c r="X188" i="20" a="1"/>
  <c r="X188" i="20" s="1"/>
  <c r="R216" i="20" a="1"/>
  <c r="R216" i="20" s="1"/>
  <c r="T216" i="20" a="1"/>
  <c r="T216" i="20" s="1"/>
  <c r="V216" i="20" a="1"/>
  <c r="V216" i="20" s="1"/>
  <c r="S216" i="20" a="1"/>
  <c r="S216" i="20" s="1"/>
  <c r="U244" i="20" a="1"/>
  <c r="U244" i="20" s="1"/>
  <c r="W244" i="20" a="1"/>
  <c r="W244" i="20" s="1"/>
  <c r="Q244" i="20" a="1"/>
  <c r="Q244" i="20" s="1"/>
  <c r="X244" i="20" a="1"/>
  <c r="X244" i="20" s="1"/>
  <c r="J272" i="20" a="1"/>
  <c r="J272" i="20" s="1"/>
  <c r="W272" i="20" a="1"/>
  <c r="W272" i="20" s="1"/>
  <c r="Q272" i="20" a="1"/>
  <c r="Q272" i="20" s="1"/>
  <c r="S300" i="20" a="1"/>
  <c r="S300" i="20" s="1"/>
  <c r="W300" i="20" a="1"/>
  <c r="W300" i="20" s="1"/>
  <c r="X328" i="20" a="1"/>
  <c r="X328" i="20" s="1"/>
  <c r="R328" i="20" a="1"/>
  <c r="R328" i="20" s="1"/>
  <c r="S328" i="20" a="1"/>
  <c r="S328" i="20" s="1"/>
  <c r="B341" i="20" a="1"/>
  <c r="B341" i="20" s="1"/>
  <c r="R188" i="20" a="1"/>
  <c r="R188" i="20" s="1"/>
  <c r="T188" i="20" a="1"/>
  <c r="T188" i="20" s="1"/>
  <c r="J244" i="20" a="1"/>
  <c r="J244" i="20" s="1"/>
  <c r="T244" i="20" a="1"/>
  <c r="T244" i="20" s="1"/>
  <c r="X272" i="20" a="1"/>
  <c r="X272" i="20" s="1"/>
  <c r="R272" i="20" a="1"/>
  <c r="R272" i="20" s="1"/>
  <c r="S272" i="20" a="1"/>
  <c r="S272" i="20" s="1"/>
  <c r="Q300" i="20" a="1"/>
  <c r="Q300" i="20" s="1"/>
  <c r="T328" i="20" a="1"/>
  <c r="T328" i="20" s="1"/>
  <c r="B342" i="20" a="1"/>
  <c r="B342" i="20" s="1"/>
  <c r="B344" i="20" a="1"/>
  <c r="B344" i="20" s="1"/>
  <c r="V188" i="20" a="1"/>
  <c r="V188" i="20" s="1"/>
  <c r="S188" i="20" a="1"/>
  <c r="S188" i="20" s="1"/>
  <c r="U216" i="20" a="1"/>
  <c r="U216" i="20" s="1"/>
  <c r="Q216" i="20" a="1"/>
  <c r="Q216" i="20" s="1"/>
  <c r="X216" i="20" a="1"/>
  <c r="X216" i="20" s="1"/>
  <c r="R244" i="20" a="1"/>
  <c r="R244" i="20" s="1"/>
  <c r="V244" i="20" a="1"/>
  <c r="V244" i="20" s="1"/>
  <c r="S244" i="20" a="1"/>
  <c r="S244" i="20" s="1"/>
  <c r="T272" i="20" a="1"/>
  <c r="T272" i="20" s="1"/>
  <c r="U300" i="20" a="1"/>
  <c r="U300" i="20" s="1"/>
  <c r="J300" i="20" a="1"/>
  <c r="J300" i="20" s="1"/>
  <c r="U328" i="20" a="1"/>
  <c r="U328" i="20" s="1"/>
  <c r="V328" i="20" a="1"/>
  <c r="V328" i="20" s="1"/>
  <c r="J356" i="20" a="1"/>
  <c r="J356" i="20" s="1"/>
  <c r="B345" i="20" a="1"/>
  <c r="B345" i="20" s="1"/>
  <c r="C360" i="20"/>
  <c r="W356" i="20" a="1"/>
  <c r="W356" i="20" s="1"/>
  <c r="C360" i="20" a="1"/>
  <c r="U188" i="20" a="1"/>
  <c r="U188" i="20" s="1"/>
  <c r="J216" i="20" a="1"/>
  <c r="J216" i="20" s="1"/>
  <c r="W216" i="20" a="1"/>
  <c r="W216" i="20" s="1"/>
  <c r="U272" i="20" a="1"/>
  <c r="U272" i="20" s="1"/>
  <c r="V272" i="20" a="1"/>
  <c r="V272" i="20" s="1"/>
  <c r="R300" i="20" a="1"/>
  <c r="R300" i="20" s="1"/>
  <c r="T300" i="20" a="1"/>
  <c r="T300" i="20" s="1"/>
  <c r="J328" i="20" a="1"/>
  <c r="J328" i="20" s="1"/>
  <c r="W328" i="20" a="1"/>
  <c r="W328" i="20" s="1"/>
  <c r="Q328" i="20" a="1"/>
  <c r="Q328" i="20" s="1"/>
  <c r="X356" i="20" a="1"/>
  <c r="X356" i="20" s="1"/>
  <c r="C361" i="20" a="1"/>
  <c r="C361" i="20" s="1"/>
  <c r="C363" i="20"/>
  <c r="C363" i="20" a="1"/>
  <c r="W160" i="20"/>
  <c r="W160" i="20" a="1"/>
  <c r="J160" i="20"/>
  <c r="J160" i="20" a="1"/>
  <c r="Q160" i="20"/>
  <c r="Q160" i="20" a="1"/>
  <c r="T160" i="20"/>
  <c r="T160" i="20" a="1"/>
  <c r="V160" i="20"/>
  <c r="V160" i="20" a="1"/>
  <c r="R160" i="20"/>
  <c r="R160" i="20" a="1"/>
  <c r="T132" i="20"/>
  <c r="T132" i="20" a="1"/>
  <c r="W132" i="20"/>
  <c r="W132" i="20" a="1"/>
  <c r="S132" i="20"/>
  <c r="S132" i="20" a="1"/>
  <c r="V104" i="20"/>
  <c r="V104" i="20" a="1"/>
  <c r="X104" i="20"/>
  <c r="X104" i="20" a="1"/>
  <c r="J76" i="20"/>
  <c r="J76" i="20" a="1"/>
  <c r="S76" i="20"/>
  <c r="S76" i="20" a="1"/>
  <c r="X76" i="20"/>
  <c r="X76" i="20" a="1"/>
  <c r="V48" i="20"/>
  <c r="V48" i="20" a="1"/>
  <c r="V300" i="20"/>
  <c r="V300" i="20" a="1"/>
  <c r="U132" i="20"/>
  <c r="U132" i="20" a="1"/>
  <c r="U104" i="20"/>
  <c r="U104" i="20" a="1"/>
  <c r="S48" i="20"/>
  <c r="S48" i="20" a="1"/>
  <c r="V132" i="20"/>
  <c r="V132" i="20" a="1"/>
  <c r="R132" i="20"/>
  <c r="R132" i="20" a="1"/>
  <c r="J104" i="20"/>
  <c r="J104" i="20" a="1"/>
  <c r="R76" i="20"/>
  <c r="R76" i="20" a="1"/>
  <c r="T76" i="20"/>
  <c r="T76" i="20" a="1"/>
  <c r="W76" i="20"/>
  <c r="W76" i="20" a="1"/>
  <c r="R48" i="20"/>
  <c r="R48" i="20" a="1"/>
  <c r="T48" i="20"/>
  <c r="T48" i="20" a="1"/>
  <c r="X300" i="20"/>
  <c r="X300" i="20" a="1"/>
  <c r="Q104" i="20"/>
  <c r="Q104" i="20" a="1"/>
  <c r="S160" i="20"/>
  <c r="S160" i="20" a="1"/>
  <c r="J132" i="20"/>
  <c r="J132" i="20" a="1"/>
  <c r="X132" i="20"/>
  <c r="X132" i="20" a="1"/>
  <c r="T104" i="20"/>
  <c r="T104" i="20" a="1"/>
  <c r="V76" i="20"/>
  <c r="V76" i="20" a="1"/>
  <c r="U76" i="20"/>
  <c r="U76" i="20" a="1"/>
  <c r="W48" i="20"/>
  <c r="W48" i="20" a="1"/>
  <c r="J48" i="20"/>
  <c r="J48" i="20" a="1"/>
  <c r="Q132" i="20"/>
  <c r="Q132" i="20" a="1"/>
  <c r="U160" i="20"/>
  <c r="U160" i="20" a="1"/>
  <c r="W104" i="20" a="1"/>
  <c r="W104" i="20" s="1"/>
  <c r="S104" i="20"/>
  <c r="S104" i="20" a="1"/>
  <c r="R104" i="20" a="1"/>
  <c r="R104" i="20" s="1"/>
  <c r="Q76" i="20"/>
  <c r="Q76" i="20" a="1"/>
  <c r="U48" i="20" a="1"/>
  <c r="U48" i="20" s="1"/>
  <c r="X48" i="20"/>
  <c r="X48" i="20" a="1"/>
  <c r="Q48" i="20" a="1"/>
  <c r="Q48" i="20" s="1"/>
  <c r="X160" i="20"/>
  <c r="X160" i="20" a="1"/>
  <c r="C427" i="20"/>
  <c r="C557" i="20"/>
  <c r="C567" i="20"/>
  <c r="Q384" i="20"/>
  <c r="C307" i="20"/>
  <c r="C1071" i="20"/>
  <c r="S524" i="20"/>
  <c r="Q496" i="20"/>
  <c r="C315" i="20"/>
  <c r="C195" i="20"/>
  <c r="R496" i="20"/>
  <c r="C327" i="20"/>
  <c r="C539" i="20"/>
  <c r="C558" i="20" s="1" a="1"/>
  <c r="X552" i="20"/>
  <c r="C439" i="20"/>
  <c r="C419" i="20"/>
  <c r="V412" i="20"/>
  <c r="C358" i="20" a="1"/>
  <c r="C358" i="20" s="1"/>
  <c r="C356" i="20" a="1"/>
  <c r="C356" i="20" s="1"/>
  <c r="C35" i="20"/>
  <c r="C328" i="20" a="1"/>
  <c r="C328" i="20" s="1"/>
  <c r="C19" i="20"/>
  <c r="C303" i="20" a="1"/>
  <c r="C303" i="20" s="1"/>
  <c r="C91" i="20"/>
  <c r="C735" i="20"/>
  <c r="C893" i="20"/>
  <c r="C707" i="20"/>
  <c r="C497" i="20" a="1"/>
  <c r="C497" i="20" s="1"/>
  <c r="C371" i="20"/>
  <c r="C217" i="20" a="1"/>
  <c r="C217" i="20" s="1"/>
  <c r="C947" i="20" a="1"/>
  <c r="C947" i="20" s="1"/>
  <c r="T580" i="20"/>
  <c r="C245" i="20" a="1"/>
  <c r="C245" i="20" s="1"/>
  <c r="C496" i="20" a="1"/>
  <c r="C496" i="20" s="1"/>
  <c r="C1115" i="20" a="1"/>
  <c r="C1115" i="20" s="1"/>
  <c r="C553" i="20" a="1"/>
  <c r="C553" i="20" s="1"/>
  <c r="C987" i="20"/>
  <c r="J496" i="20"/>
  <c r="C751" i="20" a="1"/>
  <c r="C751" i="20" s="1"/>
  <c r="C455" i="20"/>
  <c r="C385" i="20" a="1"/>
  <c r="C385" i="20" s="1"/>
  <c r="C651" i="20"/>
  <c r="C931" i="20"/>
  <c r="C950" i="20" s="1" a="1"/>
  <c r="C399" i="20"/>
  <c r="C243" i="20"/>
  <c r="C48" i="20" a="1"/>
  <c r="C48" i="20" s="1"/>
  <c r="C1057" i="20" a="1"/>
  <c r="C1057" i="20" s="1"/>
  <c r="W720" i="20"/>
  <c r="C495" i="20"/>
  <c r="C219" i="20" a="1"/>
  <c r="C219" i="20" s="1"/>
  <c r="C945" i="20" a="1"/>
  <c r="C945" i="20" s="1"/>
  <c r="T832" i="20"/>
  <c r="X608" i="20"/>
  <c r="C415" i="20" a="1"/>
  <c r="C415" i="20" s="1"/>
  <c r="C1087" i="20" a="1"/>
  <c r="C1087" i="20" s="1"/>
  <c r="C780" i="20"/>
  <c r="X636" i="20"/>
  <c r="T384" i="20"/>
  <c r="C1043" i="20"/>
  <c r="C974" i="20" a="1"/>
  <c r="C974" i="20" s="1"/>
  <c r="C724" i="20"/>
  <c r="C441" i="20" a="1"/>
  <c r="C441" i="20" s="1"/>
  <c r="C276" i="20"/>
  <c r="C779" i="20" a="1"/>
  <c r="C779" i="20" s="1"/>
  <c r="C7" i="20"/>
  <c r="C25" i="20"/>
  <c r="J944" i="20"/>
  <c r="C417" i="20"/>
  <c r="C891" i="20" a="1"/>
  <c r="C891" i="20" s="1"/>
  <c r="C555" i="20" a="1"/>
  <c r="C555" i="20" s="1"/>
  <c r="W552" i="20"/>
  <c r="C595" i="20"/>
  <c r="X496" i="20"/>
  <c r="C389" i="20"/>
  <c r="C468" i="20" a="1"/>
  <c r="C468" i="20" s="1"/>
  <c r="C556" i="20"/>
  <c r="C77" i="20" a="1"/>
  <c r="C77" i="20" s="1"/>
  <c r="C693" i="20" a="1"/>
  <c r="C693" i="20" s="1"/>
  <c r="C501" i="20"/>
  <c r="C791" i="20"/>
  <c r="X384" i="20"/>
  <c r="C259" i="20"/>
  <c r="C641" i="20"/>
  <c r="C723" i="20" a="1"/>
  <c r="C723" i="20" s="1"/>
  <c r="C467" i="20"/>
  <c r="W776" i="20"/>
  <c r="C1113" i="20" a="1"/>
  <c r="C1113" i="20" s="1"/>
  <c r="C275" i="20" a="1"/>
  <c r="C275" i="20" s="1"/>
  <c r="C498" i="20" a="1"/>
  <c r="C498" i="20" s="1"/>
  <c r="C763" i="20"/>
  <c r="C147" i="20"/>
  <c r="C63" i="20"/>
  <c r="C191" i="20" a="1"/>
  <c r="C191" i="20" s="1"/>
  <c r="C917" i="20" a="1"/>
  <c r="C917" i="20" s="1"/>
  <c r="J636" i="20"/>
  <c r="X412" i="20"/>
  <c r="C946" i="20" a="1"/>
  <c r="C946" i="20" s="1"/>
  <c r="C944" i="20" a="1"/>
  <c r="C944" i="20" s="1"/>
  <c r="C694" i="20" a="1"/>
  <c r="C694" i="20" s="1"/>
  <c r="C692" i="20" a="1"/>
  <c r="C692" i="20" s="1"/>
  <c r="C582" i="20" a="1"/>
  <c r="C582" i="20" s="1"/>
  <c r="C580" i="20" a="1"/>
  <c r="C580" i="20" s="1"/>
  <c r="C220" i="20" a="1"/>
  <c r="C220" i="20" s="1"/>
  <c r="C165" i="20" a="1"/>
  <c r="C165" i="20" s="1"/>
  <c r="B177" i="20"/>
  <c r="C187" i="20" s="1"/>
  <c r="C137" i="20" a="1"/>
  <c r="C137" i="20" s="1"/>
  <c r="C53" i="20" a="1"/>
  <c r="C53" i="20" s="1"/>
  <c r="W20" i="20" a="1"/>
  <c r="W20" i="20" s="1"/>
  <c r="C24" i="20" a="1"/>
  <c r="C24" i="20" s="1"/>
  <c r="C50" i="20" a="1"/>
  <c r="C50" i="20" s="1"/>
  <c r="X692" i="20" a="1"/>
  <c r="X692" i="20" s="1"/>
  <c r="C697" i="20" a="1"/>
  <c r="C697" i="20" s="1"/>
  <c r="C665" i="20" a="1"/>
  <c r="C665" i="20" s="1"/>
  <c r="C640" i="20" a="1"/>
  <c r="C640" i="20" s="1"/>
  <c r="W636" i="20" a="1"/>
  <c r="W636" i="20" s="1"/>
  <c r="C511" i="20"/>
  <c r="C108" i="20" a="1"/>
  <c r="C108" i="20" s="1"/>
  <c r="C1001" i="20" a="1"/>
  <c r="C1001" i="20" s="1"/>
  <c r="C1085" i="20" a="1"/>
  <c r="C1085" i="20" s="1"/>
  <c r="C835" i="20" a="1"/>
  <c r="C835" i="20" s="1"/>
  <c r="C890" i="20" a="1"/>
  <c r="C890" i="20" s="1"/>
  <c r="C888" i="20" a="1"/>
  <c r="C888" i="20" s="1"/>
  <c r="W664" i="20" a="1"/>
  <c r="W664" i="20" s="1"/>
  <c r="C668" i="20" a="1"/>
  <c r="C668" i="20" s="1"/>
  <c r="C500" i="20" a="1"/>
  <c r="C500" i="20" s="1"/>
  <c r="W496" i="20" a="1"/>
  <c r="W496" i="20" s="1"/>
  <c r="C470" i="20" a="1"/>
  <c r="C470" i="20" s="1"/>
  <c r="C330" i="20" a="1"/>
  <c r="C330" i="20" s="1"/>
  <c r="C136" i="20" a="1"/>
  <c r="C136" i="20" s="1"/>
  <c r="J1000" i="20" a="1"/>
  <c r="J1000" i="20" s="1"/>
  <c r="B989" i="20"/>
  <c r="C999" i="20" s="1"/>
  <c r="C1006" i="20" s="1" a="1"/>
  <c r="C920" i="20" a="1"/>
  <c r="C920" i="20" s="1"/>
  <c r="W916" i="20" a="1"/>
  <c r="W916" i="20" s="1"/>
  <c r="J804" i="20" a="1"/>
  <c r="J804" i="20" s="1"/>
  <c r="B793" i="20"/>
  <c r="C803" i="20" s="1"/>
  <c r="J888" i="20" a="1"/>
  <c r="J888" i="20" s="1"/>
  <c r="B877" i="20"/>
  <c r="C887" i="20" s="1"/>
  <c r="C666" i="20" a="1"/>
  <c r="C666" i="20" s="1"/>
  <c r="C664" i="20" a="1"/>
  <c r="C664" i="20" s="1"/>
  <c r="C609" i="20" a="1"/>
  <c r="C609" i="20" s="1"/>
  <c r="C554" i="20" a="1"/>
  <c r="C554" i="20" s="1"/>
  <c r="C552" i="20" a="1"/>
  <c r="C552" i="20" s="1"/>
  <c r="B289" i="20"/>
  <c r="C299" i="20" s="1"/>
  <c r="C274" i="20" a="1"/>
  <c r="C274" i="20" s="1"/>
  <c r="C272" i="20" a="1"/>
  <c r="C272" i="20" s="1"/>
  <c r="C109" i="20" a="1"/>
  <c r="C109" i="20" s="1"/>
  <c r="C76" i="20" a="1"/>
  <c r="C76" i="20" s="1"/>
  <c r="C78" i="20" a="1"/>
  <c r="C78" i="20" s="1"/>
  <c r="C810" i="20" a="1"/>
  <c r="C752" i="20" a="1"/>
  <c r="C752" i="20" s="1"/>
  <c r="W748" i="20" a="1"/>
  <c r="W748" i="20" s="1"/>
  <c r="C722" i="20" a="1"/>
  <c r="C722" i="20" s="1"/>
  <c r="C720" i="20" a="1"/>
  <c r="C720" i="20" s="1"/>
  <c r="J720" i="20" a="1"/>
  <c r="J720" i="20" s="1"/>
  <c r="B709" i="20"/>
  <c r="C719" i="20" s="1"/>
  <c r="C726" i="20" s="1" a="1"/>
  <c r="C726" i="20" s="1"/>
  <c r="J524" i="20" a="1"/>
  <c r="J524" i="20" s="1"/>
  <c r="B513" i="20"/>
  <c r="C523" i="20" s="1"/>
  <c r="W524" i="20" a="1"/>
  <c r="W524" i="20" s="1"/>
  <c r="C528" i="20" a="1"/>
  <c r="C528" i="20" s="1"/>
  <c r="C333" i="20" a="1"/>
  <c r="C333" i="20" s="1"/>
  <c r="C246" i="20" a="1"/>
  <c r="C246" i="20" s="1"/>
  <c r="C244" i="20" a="1"/>
  <c r="C244" i="20" s="1"/>
  <c r="C218" i="20" a="1"/>
  <c r="C218" i="20" s="1"/>
  <c r="C216" i="20" a="1"/>
  <c r="C216" i="20" s="1"/>
  <c r="C193" i="20" a="1"/>
  <c r="C193" i="20" s="1"/>
  <c r="B65" i="20"/>
  <c r="C75" i="20" s="1"/>
  <c r="C22" i="20" a="1"/>
  <c r="C22" i="20" s="1"/>
  <c r="C20" i="20"/>
  <c r="C104" i="20" a="1"/>
  <c r="C104" i="20" s="1"/>
  <c r="C106" i="20" a="1"/>
  <c r="C106" i="20" s="1"/>
  <c r="C81" i="20" a="1"/>
  <c r="C81" i="20" s="1"/>
  <c r="J1112" i="20" a="1"/>
  <c r="J1112" i="20" s="1"/>
  <c r="B1101" i="20"/>
  <c r="C1111" i="20" s="1"/>
  <c r="J916" i="20" a="1"/>
  <c r="J916" i="20" s="1"/>
  <c r="B905" i="20"/>
  <c r="C915" i="20" s="1"/>
  <c r="C922" i="20" s="1" a="1"/>
  <c r="B849" i="20"/>
  <c r="C859" i="20" s="1"/>
  <c r="J860" i="20" a="1"/>
  <c r="J860" i="20" s="1"/>
  <c r="J748" i="20" a="1"/>
  <c r="J748" i="20" s="1"/>
  <c r="B737" i="20"/>
  <c r="C747" i="20" s="1"/>
  <c r="X720" i="20" a="1"/>
  <c r="X720" i="20" s="1"/>
  <c r="C725" i="20" a="1"/>
  <c r="C725" i="20" s="1"/>
  <c r="X776" i="20" a="1"/>
  <c r="X776" i="20" s="1"/>
  <c r="C781" i="20" a="1"/>
  <c r="C781" i="20" s="1"/>
  <c r="J580" i="20" a="1"/>
  <c r="J580" i="20" s="1"/>
  <c r="B569" i="20"/>
  <c r="C579" i="20" s="1"/>
  <c r="C586" i="20" s="1" a="1"/>
  <c r="B205" i="20"/>
  <c r="C215" i="20" s="1"/>
  <c r="J1056" i="20" a="1"/>
  <c r="J1056" i="20" s="1"/>
  <c r="B1045" i="20"/>
  <c r="C1055" i="20" s="1"/>
  <c r="C440" i="20" a="1"/>
  <c r="C440" i="20" s="1"/>
  <c r="C442" i="20" a="1"/>
  <c r="C442" i="20" s="1"/>
  <c r="C52" i="20" a="1"/>
  <c r="C52" i="20" s="1"/>
  <c r="C1015" i="20"/>
  <c r="C973" i="20" a="1"/>
  <c r="C973" i="20" s="1"/>
  <c r="C894" i="20" a="1"/>
  <c r="X804" i="20" a="1"/>
  <c r="X804" i="20" s="1"/>
  <c r="C809" i="20" a="1"/>
  <c r="C809" i="20" s="1"/>
  <c r="C526" i="20" a="1"/>
  <c r="C526" i="20" s="1"/>
  <c r="C524" i="20" a="1"/>
  <c r="C524" i="20" s="1"/>
  <c r="C474" i="20" a="1"/>
  <c r="C300" i="20" a="1"/>
  <c r="C300" i="20" s="1"/>
  <c r="C302" i="20" a="1"/>
  <c r="C302" i="20" s="1"/>
  <c r="C331" i="20" a="1"/>
  <c r="C331" i="20" s="1"/>
  <c r="C164" i="20" a="1"/>
  <c r="C164" i="20" s="1"/>
  <c r="C190" i="20" a="1"/>
  <c r="C190" i="20" s="1"/>
  <c r="C188" i="20" a="1"/>
  <c r="C188" i="20" s="1"/>
  <c r="B93" i="20"/>
  <c r="C103" i="20" s="1"/>
  <c r="C918" i="20" a="1"/>
  <c r="C918" i="20" s="1"/>
  <c r="C916" i="20" a="1"/>
  <c r="C916" i="20" s="1"/>
  <c r="J1028" i="20" a="1"/>
  <c r="J1028" i="20" s="1"/>
  <c r="B1017" i="20"/>
  <c r="C1027" i="20" s="1"/>
  <c r="C847" i="20"/>
  <c r="C750" i="20" a="1"/>
  <c r="C750" i="20" s="1"/>
  <c r="C748" i="20" a="1"/>
  <c r="C748" i="20" s="1"/>
  <c r="C778" i="20" a="1"/>
  <c r="C778" i="20" s="1"/>
  <c r="C776" i="20" a="1"/>
  <c r="C776" i="20" s="1"/>
  <c r="W692" i="20" a="1"/>
  <c r="W692" i="20" s="1"/>
  <c r="C696" i="20" a="1"/>
  <c r="C696" i="20" s="1"/>
  <c r="J664" i="20" a="1"/>
  <c r="J664" i="20" s="1"/>
  <c r="B653" i="20"/>
  <c r="C663" i="20" s="1"/>
  <c r="X524" i="20" a="1"/>
  <c r="X524" i="20" s="1"/>
  <c r="C529" i="20" a="1"/>
  <c r="C529" i="20" s="1"/>
  <c r="W580" i="20" a="1"/>
  <c r="W580" i="20" s="1"/>
  <c r="C584" i="20" a="1"/>
  <c r="C584" i="20" s="1"/>
  <c r="C162" i="20" a="1"/>
  <c r="C162" i="20" s="1"/>
  <c r="C160" i="20" a="1"/>
  <c r="C160" i="20" s="1"/>
  <c r="C277" i="20" a="1"/>
  <c r="C277" i="20" s="1"/>
  <c r="C82" i="20" a="1"/>
  <c r="B37" i="20"/>
  <c r="C47" i="20" s="1"/>
  <c r="C54" i="20" s="1" a="1"/>
  <c r="C222" i="20" a="1"/>
  <c r="B1129" i="20"/>
  <c r="C1139" i="20" s="1"/>
  <c r="C1146" i="20" s="1" a="1"/>
  <c r="J1140" i="20" a="1"/>
  <c r="J1140" i="20" s="1"/>
  <c r="C1099" i="20"/>
  <c r="C1118" i="20" s="1" a="1"/>
  <c r="C1086" i="20" a="1"/>
  <c r="C1086" i="20" s="1"/>
  <c r="C1084" i="20" a="1"/>
  <c r="C1084" i="20" s="1"/>
  <c r="C863" i="20" a="1"/>
  <c r="C863" i="20" s="1"/>
  <c r="X748" i="20" a="1"/>
  <c r="X748" i="20" s="1"/>
  <c r="C753" i="20" a="1"/>
  <c r="C753" i="20" s="1"/>
  <c r="J776" i="20" a="1"/>
  <c r="J776" i="20" s="1"/>
  <c r="B765" i="20"/>
  <c r="C775" i="20" s="1"/>
  <c r="C782" i="20" s="1" a="1"/>
  <c r="C670" i="20" a="1"/>
  <c r="W608" i="20" a="1"/>
  <c r="W608" i="20" s="1"/>
  <c r="C612" i="20" a="1"/>
  <c r="C612" i="20" s="1"/>
  <c r="X468" i="20" a="1"/>
  <c r="X468" i="20" s="1"/>
  <c r="C473" i="20" a="1"/>
  <c r="C473" i="20" s="1"/>
  <c r="C384" i="20" a="1"/>
  <c r="C384" i="20" s="1"/>
  <c r="C386" i="20" a="1"/>
  <c r="C386" i="20" s="1"/>
  <c r="W384" i="20" a="1"/>
  <c r="W384" i="20" s="1"/>
  <c r="C388" i="20" a="1"/>
  <c r="C388" i="20" s="1"/>
  <c r="C412" i="20" a="1"/>
  <c r="C412" i="20" s="1"/>
  <c r="C414" i="20" a="1"/>
  <c r="C414" i="20" s="1"/>
  <c r="C175" i="20"/>
  <c r="C194" i="20" s="1" a="1"/>
  <c r="C1059" i="20" a="1"/>
  <c r="C1059" i="20" s="1"/>
  <c r="J972" i="20" a="1"/>
  <c r="J972" i="20" s="1"/>
  <c r="B961" i="20"/>
  <c r="C971" i="20" s="1"/>
  <c r="C1030" i="20" a="1"/>
  <c r="C1030" i="20" s="1"/>
  <c r="C1028" i="20" a="1"/>
  <c r="C1028" i="20" s="1"/>
  <c r="J832" i="20" a="1"/>
  <c r="J832" i="20" s="1"/>
  <c r="B821" i="20"/>
  <c r="C831" i="20" s="1"/>
  <c r="C838" i="20" s="1" a="1"/>
  <c r="C838" i="20" s="1"/>
  <c r="C679" i="20"/>
  <c r="C638" i="20" a="1"/>
  <c r="C638" i="20" s="1"/>
  <c r="C607" i="20"/>
  <c r="C614" i="20" s="1" a="1"/>
  <c r="B261" i="20"/>
  <c r="C271" i="20" s="1"/>
  <c r="C278" i="20" s="1" a="1"/>
  <c r="C278" i="20" s="1"/>
  <c r="C959" i="20"/>
  <c r="C978" i="20" s="1" a="1"/>
  <c r="X916" i="20" a="1"/>
  <c r="X916" i="20" s="1"/>
  <c r="C921" i="20" a="1"/>
  <c r="C921" i="20" s="1"/>
  <c r="C860" i="20" a="1"/>
  <c r="C860" i="20" s="1"/>
  <c r="C862" i="20" a="1"/>
  <c r="C862" i="20" s="1"/>
  <c r="X860" i="20" a="1"/>
  <c r="X860" i="20" s="1"/>
  <c r="C865" i="20" a="1"/>
  <c r="C865" i="20" s="1"/>
  <c r="C623" i="20"/>
  <c r="C483" i="20"/>
  <c r="C502" i="20" s="1" a="1"/>
  <c r="C446" i="20" a="1"/>
  <c r="C445" i="20" a="1"/>
  <c r="C445" i="20" s="1"/>
  <c r="X440" i="20" a="1"/>
  <c r="X440" i="20" s="1"/>
  <c r="C443" i="20" a="1"/>
  <c r="C443" i="20" s="1"/>
  <c r="C287" i="20"/>
  <c r="C306" i="20" s="1" a="1"/>
  <c r="C273" i="20" a="1"/>
  <c r="C273" i="20" s="1"/>
  <c r="C332" i="20" a="1"/>
  <c r="C332" i="20" s="1"/>
  <c r="C635" i="20"/>
  <c r="C1058" i="20" a="1"/>
  <c r="C1058" i="20" s="1"/>
  <c r="C1056" i="20" a="1"/>
  <c r="C1056" i="20" s="1"/>
  <c r="X664" i="20" a="1"/>
  <c r="X664" i="20" s="1"/>
  <c r="C669" i="20" a="1"/>
  <c r="C669" i="20" s="1"/>
  <c r="B401" i="20"/>
  <c r="C411" i="20" s="1"/>
  <c r="C418" i="20" s="1" a="1"/>
  <c r="C418" i="20" s="1"/>
  <c r="J412" i="20" a="1"/>
  <c r="J412" i="20" s="1"/>
  <c r="B149" i="20"/>
  <c r="C159" i="20" s="1"/>
  <c r="C166" i="20" s="1" a="1"/>
  <c r="C110" i="20" a="1"/>
  <c r="C305" i="20" a="1"/>
  <c r="C305" i="20" s="1"/>
  <c r="C249" i="20" a="1"/>
  <c r="C249" i="20" s="1"/>
  <c r="C221" i="20" a="1"/>
  <c r="C221" i="20" s="1"/>
  <c r="C119" i="20"/>
  <c r="C138" i="20" s="1" a="1"/>
  <c r="B121" i="20"/>
  <c r="C131" i="20" s="1"/>
  <c r="C1002" i="20" a="1"/>
  <c r="C1002" i="20" s="1"/>
  <c r="C1000" i="20" a="1"/>
  <c r="C1000" i="20" s="1"/>
  <c r="C1062" i="20" a="1"/>
  <c r="W860" i="20" a="1"/>
  <c r="W860" i="20" s="1"/>
  <c r="C864" i="20" a="1"/>
  <c r="C864" i="20" s="1"/>
  <c r="C832" i="20" a="1"/>
  <c r="C832" i="20" s="1"/>
  <c r="C834" i="20" a="1"/>
  <c r="C834" i="20" s="1"/>
  <c r="C754" i="20" a="1"/>
  <c r="J692" i="20" a="1"/>
  <c r="J692" i="20" s="1"/>
  <c r="B681" i="20"/>
  <c r="C691" i="20" s="1"/>
  <c r="C610" i="20" a="1"/>
  <c r="C610" i="20" s="1"/>
  <c r="C608" i="20" a="1"/>
  <c r="C608" i="20" s="1"/>
  <c r="C134" i="20" a="1"/>
  <c r="C134" i="20" s="1"/>
  <c r="C132" i="20" a="1"/>
  <c r="C132" i="20" s="1"/>
  <c r="C1114" i="20" a="1"/>
  <c r="C1114" i="20" s="1"/>
  <c r="C1112" i="20" a="1"/>
  <c r="C1112" i="20" s="1"/>
  <c r="X832" i="20" a="1"/>
  <c r="X832" i="20" s="1"/>
  <c r="C837" i="20" a="1"/>
  <c r="C837" i="20" s="1"/>
  <c r="C527" i="20" a="1"/>
  <c r="C527" i="20" s="1"/>
  <c r="C499" i="20" a="1"/>
  <c r="C499" i="20" s="1"/>
  <c r="W412" i="20" a="1"/>
  <c r="W412" i="20" s="1"/>
  <c r="C416" i="20" a="1"/>
  <c r="C416" i="20" s="1"/>
  <c r="C304" i="20" a="1"/>
  <c r="C304" i="20" s="1"/>
  <c r="C1141" i="20" a="1"/>
  <c r="C1141" i="20" s="1"/>
  <c r="C919" i="20" a="1"/>
  <c r="C919" i="20" s="1"/>
  <c r="C1142" i="20" a="1"/>
  <c r="C1142" i="20" s="1"/>
  <c r="C1140" i="20" a="1"/>
  <c r="C1140" i="20" s="1"/>
  <c r="C1029" i="20" a="1"/>
  <c r="C1029" i="20" s="1"/>
  <c r="J1084" i="20" a="1"/>
  <c r="J1084" i="20" s="1"/>
  <c r="B1073" i="20"/>
  <c r="C1083" i="20" s="1"/>
  <c r="C1090" i="20" s="1" a="1"/>
  <c r="C1090" i="20" s="1"/>
  <c r="C806" i="20" a="1"/>
  <c r="C806" i="20" s="1"/>
  <c r="C804" i="20" a="1"/>
  <c r="C804" i="20" s="1"/>
  <c r="C667" i="20" a="1"/>
  <c r="C667" i="20" s="1"/>
  <c r="C611" i="20" a="1"/>
  <c r="C611" i="20" s="1"/>
  <c r="J384" i="20" a="1"/>
  <c r="J384" i="20" s="1"/>
  <c r="B373" i="20"/>
  <c r="C383" i="20" s="1"/>
  <c r="C390" i="20" s="1" a="1"/>
  <c r="W468" i="20" a="1"/>
  <c r="W468" i="20" s="1"/>
  <c r="C472" i="20" a="1"/>
  <c r="C472" i="20" s="1"/>
  <c r="W440" i="20" a="1"/>
  <c r="W440" i="20" s="1"/>
  <c r="C444" i="20" a="1"/>
  <c r="C444" i="20" s="1"/>
  <c r="C334" i="20" a="1"/>
  <c r="C247" i="20" a="1"/>
  <c r="C247" i="20" s="1"/>
  <c r="C26" i="20" a="1"/>
  <c r="C54" i="20" l="1"/>
  <c r="G50" i="20" s="1"/>
  <c r="C1006" i="20"/>
  <c r="G1002" i="20" s="1"/>
  <c r="C1146" i="20"/>
  <c r="G1142" i="20" s="1"/>
  <c r="C334" i="20"/>
  <c r="G330" i="20" s="1"/>
  <c r="C614" i="20"/>
  <c r="G610" i="20" s="1"/>
  <c r="C474" i="20"/>
  <c r="G470" i="20" s="1"/>
  <c r="C922" i="20"/>
  <c r="G918" i="20" s="1"/>
  <c r="C390" i="20"/>
  <c r="G386" i="20" s="1"/>
  <c r="C950" i="20"/>
  <c r="G946" i="20" s="1"/>
  <c r="C446" i="20"/>
  <c r="G442" i="20" s="1"/>
  <c r="C343" i="20"/>
  <c r="C194" i="20"/>
  <c r="G190" i="20" s="1"/>
  <c r="C558" i="20"/>
  <c r="G554" i="20" s="1"/>
  <c r="C355" i="20"/>
  <c r="C894" i="20"/>
  <c r="G890" i="20" s="1"/>
  <c r="C1062" i="20"/>
  <c r="G1058" i="20" s="1"/>
  <c r="C754" i="20"/>
  <c r="G750" i="20" s="1"/>
  <c r="G834" i="20"/>
  <c r="G1086" i="20"/>
  <c r="G414" i="20"/>
  <c r="G722" i="20"/>
  <c r="G274" i="20"/>
  <c r="C250" i="20" a="1"/>
  <c r="C866" i="20" a="1"/>
  <c r="C250" i="20"/>
  <c r="G246" i="20" s="1"/>
  <c r="C810" i="20"/>
  <c r="G806" i="20" s="1"/>
  <c r="C866" i="20"/>
  <c r="G862" i="20" s="1"/>
  <c r="C110" i="20"/>
  <c r="G106" i="20" s="1"/>
  <c r="C306" i="20"/>
  <c r="G302" i="20" s="1"/>
  <c r="E4" i="19" a="1"/>
  <c r="C166" i="20"/>
  <c r="G162" i="20" s="1"/>
  <c r="C26" i="20"/>
  <c r="E2" i="19" s="1" a="1"/>
  <c r="C502" i="20"/>
  <c r="G498" i="20" s="1"/>
  <c r="C1118" i="20"/>
  <c r="G1114" i="20" s="1"/>
  <c r="E27" i="19" a="1"/>
  <c r="C782" i="20"/>
  <c r="G778" i="20" s="1"/>
  <c r="C586" i="20"/>
  <c r="G582" i="20" s="1"/>
  <c r="C978" i="20"/>
  <c r="G974" i="20" s="1"/>
  <c r="C670" i="20"/>
  <c r="G666" i="20" s="1"/>
  <c r="E23" i="19" a="1"/>
  <c r="C82" i="20"/>
  <c r="G78" i="20" s="1"/>
  <c r="C138" i="20"/>
  <c r="E13" i="19" s="1" a="1"/>
  <c r="C222" i="20"/>
  <c r="G218" i="20" s="1"/>
  <c r="E21" i="19" a="1"/>
  <c r="E14" i="19" a="1"/>
  <c r="E17" i="19" a="1"/>
  <c r="E29" i="19" a="1"/>
  <c r="C530" i="20" a="1"/>
  <c r="C530" i="20" s="1"/>
  <c r="G526" i="20" s="1"/>
  <c r="E33" i="19" a="1"/>
  <c r="C642" i="20" a="1"/>
  <c r="C642" i="20" s="1"/>
  <c r="G638" i="20" s="1"/>
  <c r="C698" i="20" a="1"/>
  <c r="C698" i="20" s="1"/>
  <c r="G694" i="20" s="1"/>
  <c r="E7" i="19" a="1"/>
  <c r="C1034" i="20" a="1"/>
  <c r="C1034" i="20" s="1"/>
  <c r="G1030" i="20" s="1"/>
  <c r="E30" i="19" a="1"/>
  <c r="G22" i="20" l="1" a="1"/>
  <c r="G22" i="20" s="1"/>
  <c r="C362" i="20"/>
  <c r="G358" i="20" s="1"/>
  <c r="E27" i="19"/>
  <c r="E23" i="19"/>
  <c r="E2" i="19"/>
  <c r="E33" i="19"/>
  <c r="E7" i="19"/>
  <c r="G134" i="20"/>
  <c r="E13" i="19" s="1"/>
  <c r="E21" i="19"/>
  <c r="E29" i="19"/>
  <c r="E17" i="19"/>
  <c r="E4" i="19"/>
  <c r="E30" i="19"/>
  <c r="E14" i="19"/>
  <c r="E10" i="19" a="1"/>
  <c r="E10" i="19" s="1"/>
  <c r="E25" i="19" a="1"/>
  <c r="E25" i="19" s="1"/>
  <c r="E28" i="19" a="1"/>
  <c r="E28" i="19" s="1"/>
  <c r="E8" i="19" a="1"/>
  <c r="E8" i="19" s="1"/>
  <c r="E16" i="19" a="1"/>
  <c r="E16" i="19" s="1"/>
  <c r="E12" i="19" a="1"/>
  <c r="E12" i="19" s="1"/>
  <c r="E38" i="19" a="1"/>
  <c r="E38" i="19" s="1"/>
  <c r="E18" i="19" a="1"/>
  <c r="E18" i="19" s="1"/>
  <c r="E31" i="19" a="1"/>
  <c r="E31" i="19" s="1"/>
  <c r="E40" i="19" a="1"/>
  <c r="E40" i="19" s="1"/>
  <c r="E36" i="19" a="1"/>
  <c r="E36" i="19" s="1"/>
  <c r="E20" i="19" a="1"/>
  <c r="E20" i="19" s="1"/>
  <c r="E32" i="19" a="1"/>
  <c r="E32" i="19" s="1"/>
  <c r="E26" i="19" a="1"/>
  <c r="E26" i="19" s="1"/>
  <c r="E39" i="19" a="1"/>
  <c r="E39" i="19" s="1"/>
  <c r="E34" i="19" a="1"/>
  <c r="E34" i="19" s="1"/>
  <c r="E15" i="19" a="1"/>
  <c r="E22" i="19" a="1"/>
  <c r="E22" i="19" s="1"/>
  <c r="E5" i="19" a="1"/>
  <c r="E5" i="19" s="1"/>
  <c r="E9" i="19" a="1"/>
  <c r="E9" i="19" s="1"/>
  <c r="E11" i="19" a="1"/>
  <c r="E11" i="19" s="1"/>
  <c r="E6" i="19" a="1"/>
  <c r="E6" i="19" s="1"/>
  <c r="E41" i="19" a="1"/>
  <c r="E41" i="19" s="1"/>
  <c r="E24" i="19" a="1"/>
  <c r="E24" i="19" s="1"/>
  <c r="E37" i="19" a="1"/>
  <c r="E37" i="19" s="1"/>
  <c r="E19" i="19" a="1"/>
  <c r="E19" i="19" s="1"/>
  <c r="E35" i="19" a="1"/>
  <c r="E35" i="19" s="1"/>
  <c r="E3" i="19" a="1"/>
  <c r="E3" i="19" s="1"/>
  <c r="E15" i="19" l="1"/>
  <c r="E42" i="19" a="1"/>
  <c r="E42" i="19" s="1"/>
</calcChain>
</file>

<file path=xl/connections.xml><?xml version="1.0" encoding="utf-8"?>
<connections xmlns="http://schemas.openxmlformats.org/spreadsheetml/2006/main">
  <connection id="1" name="Competition" type="4" refreshedVersion="0" background="1">
    <webPr xml="1" sourceData="1" url="C:\Users\Steven\Desktop\scouting\Competition.xml" htmlTables="1" htmlFormat="all"/>
  </connection>
</connections>
</file>

<file path=xl/sharedStrings.xml><?xml version="1.0" encoding="utf-8"?>
<sst xmlns="http://schemas.openxmlformats.org/spreadsheetml/2006/main" count="831" uniqueCount="117">
  <si>
    <t>Attempt Low</t>
  </si>
  <si>
    <t>Succeed Low</t>
  </si>
  <si>
    <t>Low Goal Success Rate:</t>
  </si>
  <si>
    <t>Team Number:</t>
  </si>
  <si>
    <t>Rows where C1 is located</t>
  </si>
  <si>
    <t>Rows where C7 is located</t>
  </si>
  <si>
    <t>Rows where C19 is located</t>
  </si>
  <si>
    <t>Rows where C28 is located</t>
  </si>
  <si>
    <t>Rows where C37 is located</t>
  </si>
  <si>
    <t>Rows where C46 is located</t>
  </si>
  <si>
    <t>Rows where C55 is located</t>
  </si>
  <si>
    <t>Rows where C64 is located</t>
  </si>
  <si>
    <t>Rows where C73 is located</t>
  </si>
  <si>
    <t>Rows where C82 is located</t>
  </si>
  <si>
    <t>Rows where C91 is located</t>
  </si>
  <si>
    <t>Rows where C100 is located</t>
  </si>
  <si>
    <t>Rows where C109 is located</t>
  </si>
  <si>
    <t>Rows where C108 is located</t>
  </si>
  <si>
    <t>Rows where C127 is located</t>
  </si>
  <si>
    <t>Rows where C136 is located</t>
  </si>
  <si>
    <t>Rows where C145 is located</t>
  </si>
  <si>
    <t>Rows where C154 is located</t>
  </si>
  <si>
    <t>Rows where C163 is located</t>
  </si>
  <si>
    <t>Rows where C172 is located</t>
  </si>
  <si>
    <t>Rows where C181 is located</t>
  </si>
  <si>
    <t>Rows where C190 is located</t>
  </si>
  <si>
    <t>Rows where C199 is located</t>
  </si>
  <si>
    <t>Rows where C208 is located</t>
  </si>
  <si>
    <t>Rows where C217 is located</t>
  </si>
  <si>
    <t>Rows where C226 is located</t>
  </si>
  <si>
    <t>Rows where C235 is located</t>
  </si>
  <si>
    <t>Rows where C244 is located</t>
  </si>
  <si>
    <t>Rows where C253 is located</t>
  </si>
  <si>
    <t>Rows where C262 is located</t>
  </si>
  <si>
    <t>team Data:</t>
  </si>
  <si>
    <t>Succeed High</t>
  </si>
  <si>
    <t>Row #</t>
  </si>
  <si>
    <t>teleLowA</t>
  </si>
  <si>
    <t>teleLowS</t>
  </si>
  <si>
    <t>teleHighA</t>
  </si>
  <si>
    <t>teleHighS</t>
  </si>
  <si>
    <t>robot</t>
  </si>
  <si>
    <t>bouncing</t>
  </si>
  <si>
    <t>air</t>
  </si>
  <si>
    <t>human</t>
  </si>
  <si>
    <t>ground</t>
  </si>
  <si>
    <t>hotGoal</t>
  </si>
  <si>
    <t>auto10Made</t>
  </si>
  <si>
    <t>auto10Miss</t>
  </si>
  <si>
    <t>auto1Made</t>
  </si>
  <si>
    <t>auto1Miss</t>
  </si>
  <si>
    <t>move</t>
  </si>
  <si>
    <t>matchNumber</t>
  </si>
  <si>
    <t>teamNumber</t>
  </si>
  <si>
    <t>Attempt High</t>
  </si>
  <si>
    <t>High Goal Success Rate:</t>
  </si>
  <si>
    <t>autoLowS</t>
  </si>
  <si>
    <t>AutoHighS</t>
  </si>
  <si>
    <t>Auto Low Accuracy</t>
  </si>
  <si>
    <t>autoLowMiss</t>
  </si>
  <si>
    <t>Auto High Accuracy</t>
  </si>
  <si>
    <t>Total Auto Accuracy</t>
  </si>
  <si>
    <t>Hot Goal Accuracy</t>
  </si>
  <si>
    <t>Hot Goal Falses</t>
  </si>
  <si>
    <t>Hot Goal Trues</t>
  </si>
  <si>
    <t>attempted1</t>
  </si>
  <si>
    <t>made1</t>
  </si>
  <si>
    <t>attempted10</t>
  </si>
  <si>
    <t>made10</t>
  </si>
  <si>
    <t>truss</t>
  </si>
  <si>
    <t>catch</t>
  </si>
  <si>
    <t>Tele-Op High  Data</t>
  </si>
  <si>
    <t>Tele-Op LowData</t>
  </si>
  <si>
    <t>Auto Low Data</t>
  </si>
  <si>
    <t>Auto High Data</t>
  </si>
  <si>
    <t>Hot Goal Data</t>
  </si>
  <si>
    <t>AutoHighMiss</t>
  </si>
  <si>
    <t>Truss</t>
  </si>
  <si>
    <t>Catch</t>
  </si>
  <si>
    <t>NumberOfBlockedShots</t>
  </si>
  <si>
    <t>Ground</t>
  </si>
  <si>
    <t>Inbound</t>
  </si>
  <si>
    <t>Bouncing</t>
  </si>
  <si>
    <t>Human Pass</t>
  </si>
  <si>
    <t>Robot Pass</t>
  </si>
  <si>
    <t>Blocked</t>
  </si>
  <si>
    <t>Air Collection</t>
  </si>
  <si>
    <t>Bouncing Collection</t>
  </si>
  <si>
    <t>Ground Collection</t>
  </si>
  <si>
    <t>Inbound Collection</t>
  </si>
  <si>
    <t>Auto 1 pt Accuracy</t>
  </si>
  <si>
    <t>Total Tele Accuracy</t>
  </si>
  <si>
    <t>Avg Blocked per Match</t>
  </si>
  <si>
    <t>Avg truss</t>
  </si>
  <si>
    <t>Air</t>
  </si>
  <si>
    <t>Percent of matches:</t>
  </si>
  <si>
    <t>Weight the following 0-10, 0 for unnecessary(will not count), 10 for must have</t>
  </si>
  <si>
    <t>Auto 10 pt Accuracy</t>
  </si>
  <si>
    <t>Tele 1 pt Accuracy</t>
  </si>
  <si>
    <t>Tele 10 pt Accuracy</t>
  </si>
  <si>
    <t>Total Tele Acuracy</t>
  </si>
  <si>
    <t>Blocked Shots</t>
  </si>
  <si>
    <t>Human Passing</t>
  </si>
  <si>
    <t>Robot Passing</t>
  </si>
  <si>
    <t>Weightings(note-not rankings, can have multiple same values)</t>
  </si>
  <si>
    <t>Team Scores</t>
  </si>
  <si>
    <t>Selection Score</t>
  </si>
  <si>
    <t>Suggested Teams for Selections</t>
  </si>
  <si>
    <t>Auto Move</t>
  </si>
  <si>
    <t>Move</t>
  </si>
  <si>
    <t>human2</t>
  </si>
  <si>
    <t>defense ranking</t>
  </si>
  <si>
    <t>break down</t>
  </si>
  <si>
    <t>Defense Rankings</t>
  </si>
  <si>
    <t>Percentage of matches broken down</t>
  </si>
  <si>
    <t>Defense</t>
  </si>
  <si>
    <t>Break 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</si>
</sst>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3"/>
      <name val="Calibri"/>
      <family val="2"/>
      <scheme val="minor"/>
    </font>
    <font>
      <sz val="10"/>
      <color rgb="FF333333"/>
      <name val="Verdana"/>
      <family val="2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6" fillId="3" borderId="2"/>
    <xf numFmtId="1" fontId="4" fillId="4" borderId="2"/>
    <xf numFmtId="1" fontId="5" fillId="5" borderId="2"/>
    <xf numFmtId="0" fontId="9" fillId="6" borderId="2"/>
    <xf numFmtId="0" fontId="1" fillId="7" borderId="0" applyNumberFormat="0" applyBorder="0" applyAlignment="0" applyProtection="0"/>
  </cellStyleXfs>
  <cellXfs count="35">
    <xf numFmtId="0" fontId="0" fillId="0" borderId="0" xfId="0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0" fontId="0" fillId="0" borderId="0" xfId="0" applyProtection="1"/>
    <xf numFmtId="0" fontId="2" fillId="2" borderId="1" xfId="2" applyProtection="1">
      <protection locked="0"/>
    </xf>
    <xf numFmtId="0" fontId="0" fillId="0" borderId="0" xfId="0" applyNumberFormat="1"/>
    <xf numFmtId="0" fontId="0" fillId="0" borderId="0" xfId="0" applyBorder="1"/>
    <xf numFmtId="2" fontId="0" fillId="0" borderId="0" xfId="0" applyNumberFormat="1"/>
    <xf numFmtId="0" fontId="0" fillId="0" borderId="0" xfId="0" applyAlignment="1">
      <alignment horizontal="center"/>
    </xf>
    <xf numFmtId="0" fontId="8" fillId="0" borderId="0" xfId="0" applyFont="1"/>
    <xf numFmtId="2" fontId="8" fillId="0" borderId="0" xfId="0" applyNumberFormat="1" applyFont="1"/>
    <xf numFmtId="0" fontId="0" fillId="0" borderId="0" xfId="0" applyAlignment="1">
      <alignment wrapText="1"/>
    </xf>
    <xf numFmtId="0" fontId="7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9" fillId="6" borderId="2" xfId="6"/>
    <xf numFmtId="0" fontId="9" fillId="0" borderId="2" xfId="6" applyFont="1" applyFill="1"/>
    <xf numFmtId="0" fontId="9" fillId="0" borderId="0" xfId="6" applyFont="1" applyFill="1" applyBorder="1"/>
    <xf numFmtId="0" fontId="0" fillId="0" borderId="0" xfId="0" applyFill="1" applyBorder="1"/>
    <xf numFmtId="0" fontId="9" fillId="0" borderId="0" xfId="6" applyFill="1" applyBorder="1"/>
    <xf numFmtId="0" fontId="8" fillId="0" borderId="0" xfId="0" applyFont="1" applyFill="1" applyBorder="1"/>
    <xf numFmtId="49" fontId="0" fillId="0" borderId="0" xfId="0" applyNumberFormat="1" applyFill="1" applyBorder="1"/>
    <xf numFmtId="10" fontId="0" fillId="0" borderId="0" xfId="0" applyNumberFormat="1" applyFill="1" applyBorder="1"/>
    <xf numFmtId="0" fontId="0" fillId="0" borderId="0" xfId="0" applyNumberFormat="1" applyFill="1" applyBorder="1"/>
    <xf numFmtId="0" fontId="10" fillId="0" borderId="0" xfId="0" applyFont="1"/>
    <xf numFmtId="2" fontId="0" fillId="0" borderId="0" xfId="0" applyNumberFormat="1" applyAlignment="1">
      <alignment horizontal="center"/>
    </xf>
    <xf numFmtId="0" fontId="12" fillId="0" borderId="0" xfId="0" applyFont="1" applyAlignment="1">
      <alignment horizontal="center" wrapText="1"/>
    </xf>
    <xf numFmtId="2" fontId="0" fillId="0" borderId="0" xfId="0" applyNumberFormat="1" applyFont="1" applyAlignment="1">
      <alignment horizontal="center" wrapText="1"/>
    </xf>
    <xf numFmtId="0" fontId="1" fillId="7" borderId="0" xfId="7"/>
    <xf numFmtId="0" fontId="0" fillId="0" borderId="0" xfId="0" applyNumberFormat="1" applyAlignment="1">
      <alignment horizontal="right"/>
    </xf>
    <xf numFmtId="0" fontId="0" fillId="0" borderId="0" xfId="0" applyFill="1"/>
    <xf numFmtId="0" fontId="0" fillId="0" borderId="0" xfId="0" applyFont="1" applyFill="1" applyBorder="1"/>
    <xf numFmtId="0" fontId="13" fillId="0" borderId="0" xfId="0" applyFont="1" applyFill="1" applyBorder="1"/>
  </cellXfs>
  <cellStyles count="8">
    <cellStyle name="20% - Accent1" xfId="7" builtinId="30"/>
    <cellStyle name="Input" xfId="2" builtinId="20"/>
    <cellStyle name="Normal" xfId="0" builtinId="0"/>
    <cellStyle name="Percent" xfId="1" builtinId="5"/>
    <cellStyle name="Selection" xfId="6"/>
    <cellStyle name="Style 1" xfId="3"/>
    <cellStyle name="Style 2" xfId="4"/>
    <cellStyle name="Style 3" xfId="5"/>
  </cellStyles>
  <dxfs count="306">
    <dxf>
      <fill>
        <patternFill>
          <bgColor rgb="FFFF0000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ont>
        <b/>
        <i val="0"/>
      </font>
      <numFmt numFmtId="0" formatCode="General"/>
      <fill>
        <patternFill>
          <bgColor theme="7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/>
        </patternFill>
      </fill>
    </dxf>
    <dxf>
      <fill>
        <patternFill>
          <bgColor theme="7" tint="0.59996337778862885"/>
        </patternFill>
      </fill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6">
    <xsd:schema xmlns:xsd="http://www.w3.org/2001/XMLSchema" xmlns="">
      <xsd:element nillable="true" name="competition">
        <xsd:complexType>
          <xsd:sequence minOccurs="0">
            <xsd:element minOccurs="0" nillable="true" name="teams" form="unqualified">
              <xsd:complexType>
                <xsd:sequence minOccurs="0">
                  <xsd:element minOccurs="0" nillable="true" name="team" form="unqualified">
                    <xsd:complexType>
                      <xsd:sequence minOccurs="0">
                        <xsd:element minOccurs="0" nillable="true" name="matches" form="unqualified">
                          <xsd:complexType>
                            <xsd:sequence minOccurs="0">
                              <xsd:element minOccurs="0" maxOccurs="unbounded" nillable="true" name="match" form="unqualified">
                                <xsd:complexType>
                                  <xsd:sequence minOccurs="0">
                                    <xsd:element minOccurs="0" nillable="true" name="Autonomous" form="unqualified">
                                      <xsd:complexType>
                                        <xsd:sequence minOccurs="0">
                                          <xsd:element minOccurs="0" nillable="true" type="xsd:integer" name="move" form="unqualified"/>
                                          <xsd:element minOccurs="0" nillable="true" type="xsd:integer" name="auto1Miss" form="unqualified"/>
                                          <xsd:element minOccurs="0" nillable="true" type="xsd:integer" name="auto1Made" form="unqualified"/>
                                          <xsd:element minOccurs="0" nillable="true" type="xsd:integer" name="auto10Miss" form="unqualified"/>
                                          <xsd:element minOccurs="0" nillable="true" type="xsd:integer" name="auto10Made" form="unqualified"/>
                                          <xsd:element minOccurs="0" nillable="true" type="xsd:integer" name="hotGoal" form="unqualified"/>
                                        </xsd:sequence>
                                      </xsd:complexType>
                                    </xsd:element>
                                    <xsd:element minOccurs="0" nillable="true" name="TeleOp" form="unqualified">
                                      <xsd:complexType>
                                        <xsd:sequence minOccurs="0">
                                          <xsd:element minOccurs="0" nillable="true" name="onePointGoal" form="unqualified">
                                            <xsd:complexType>
                                              <xsd:sequence minOccurs="0">
                                                <xsd:element minOccurs="0" nillable="true" type="xsd:string" name="attempted1" form="unqualified"/>
                                                <xsd:element minOccurs="0" nillable="true" type="xsd:string" name="made1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tenPointGoal" form="unqualified">
                                            <xsd:complexType>
                                              <xsd:sequence minOccurs="0">
                                                <xsd:element minOccurs="0" nillable="true" type="xsd:string" name="attempted10" form="unqualified"/>
                                                <xsd:element minOccurs="0" nillable="true" type="xsd:string" name="made10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collect" form="unqualified">
                                            <xsd:complexType>
                                              <xsd:sequence minOccurs="0">
                                                <xsd:element minOccurs="0" nillable="true" type="xsd:integer" name="ground" form="unqualified"/>
                                                <xsd:element minOccurs="0" nillable="true" type="xsd:integer" name="human" form="unqualified"/>
                                                <xsd:element minOccurs="0" nillable="true" type="xsd:integer" name="air" form="unqualified"/>
                                                <xsd:element minOccurs="0" nillable="true" type="xsd:integer" name="bouncing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passing" form="unqualified">
                                            <xsd:complexType>
                                              <xsd:sequence minOccurs="0">
                                                <xsd:element minOccurs="0" nillable="true" type="xsd:integer" name="human" form="unqualified"/>
                                                <xsd:element minOccurs="0" nillable="true" type="xsd:integer" name="robot" form="un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string" name="truss" form="unqualified"/>
                                          <xsd:element minOccurs="0" nillable="true" type="xsd:string" name="catch" form="unqualified"/>
                                          <xsd:element minOccurs="0" nillable="true" type="xsd:string" name="NumberOfBlockedShots" form="unqualified"/>
                                          <xsd:element minOccurs="0" nillable="true" name="penalities" form="unqualified">
                                            <xsd:complexType>
                                              <xsd:sequence minOccurs="0">
                                                <xsd:element minOccurs="0" nillable="true" type="xsd:integer" name="yellow" form="unqualified"/>
                                                <xsd:element minOccurs="0" nillable="true" type="xsd:integer" name="red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type="xsd:string" name="Notes" form="unqualified"/>
                                    <xsd:element minOccurs="0" nillable="true" type="xsd:string" name="Alliance" form="unqualified"/>
                                  </xsd:sequence>
                                  <xsd:attribute name="matchNumber" form="unqualified" type="xsd:integer"/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  <xsd:attribute name="teamNumber" form="unqualified" type="xsd:integer"/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6" Name="competition_Map" RootElement="competition" SchemaID="Schema6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327025</xdr:colOff>
          <xdr:row>23</xdr:row>
          <xdr:rowOff>120650</xdr:rowOff>
        </xdr:from>
        <xdr:to>
          <xdr:col>1</xdr:col>
          <xdr:colOff>88900</xdr:colOff>
          <xdr:row>27</xdr:row>
          <xdr:rowOff>25400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based on Weightings!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W3" tableType="xml" totalsRowShown="0" connectionId="1">
  <autoFilter ref="A1:W3"/>
  <tableColumns count="23">
    <tableColumn id="1" uniqueName="teamNumber" name="teamNumber">
      <xmlColumnPr mapId="6" xpath="/competition/teams/team/@teamNumber" xmlDataType="integer"/>
    </tableColumn>
    <tableColumn id="2" uniqueName="matchNumber" name="matchNumber">
      <xmlColumnPr mapId="6" xpath="/competition/teams/team/matches/match/@matchNumber" xmlDataType="integer"/>
    </tableColumn>
    <tableColumn id="3" uniqueName="move" name="move">
      <xmlColumnPr mapId="6" xpath="/competition/teams/team/matches/match/Autonomous/move" xmlDataType="integer"/>
    </tableColumn>
    <tableColumn id="4" uniqueName="auto1Miss" name="auto1Miss">
      <xmlColumnPr mapId="6" xpath="/competition/teams/team/matches/match/Autonomous/auto1Miss" xmlDataType="integer"/>
    </tableColumn>
    <tableColumn id="5" uniqueName="auto1Made" name="auto1Made">
      <xmlColumnPr mapId="6" xpath="/competition/teams/team/matches/match/Autonomous/auto1Made" xmlDataType="integer"/>
    </tableColumn>
    <tableColumn id="6" uniqueName="auto10Miss" name="auto10Miss">
      <xmlColumnPr mapId="6" xpath="/competition/teams/team/matches/match/Autonomous/auto10Miss" xmlDataType="integer"/>
    </tableColumn>
    <tableColumn id="7" uniqueName="auto10Made" name="auto10Made">
      <xmlColumnPr mapId="6" xpath="/competition/teams/team/matches/match/Autonomous/auto10Made" xmlDataType="integer"/>
    </tableColumn>
    <tableColumn id="8" uniqueName="hotGoal" name="hotGoal">
      <xmlColumnPr mapId="6" xpath="/competition/teams/team/matches/match/Autonomous/hotGoal" xmlDataType="integer"/>
    </tableColumn>
    <tableColumn id="9" uniqueName="attempted1" name="attempted1" dataDxfId="305">
      <xmlColumnPr mapId="6" xpath="/competition/teams/team/matches/match/TeleOp/onePointGoal/attempted1" xmlDataType="string"/>
    </tableColumn>
    <tableColumn id="10" uniqueName="made1" name="made1">
      <xmlColumnPr mapId="6" xpath="/competition/teams/team/matches/match/TeleOp/onePointGoal/made1" xmlDataType="string"/>
    </tableColumn>
    <tableColumn id="11" uniqueName="attempted10" name="attempted10">
      <xmlColumnPr mapId="6" xpath="/competition/teams/team/matches/match/TeleOp/tenPointGoal/attempted10" xmlDataType="string"/>
    </tableColumn>
    <tableColumn id="12" uniqueName="made10" name="made10">
      <xmlColumnPr mapId="6" xpath="/competition/teams/team/matches/match/TeleOp/tenPointGoal/made10" xmlDataType="string"/>
    </tableColumn>
    <tableColumn id="13" uniqueName="ground" name="ground">
      <xmlColumnPr mapId="6" xpath="/competition/teams/team/matches/match/TeleOp/collect/ground" xmlDataType="integer"/>
    </tableColumn>
    <tableColumn id="14" uniqueName="human" name="human">
      <xmlColumnPr mapId="6" xpath="/competition/teams/team/matches/match/TeleOp/collect/human" xmlDataType="integer"/>
    </tableColumn>
    <tableColumn id="15" uniqueName="air" name="air">
      <xmlColumnPr mapId="6" xpath="/competition/teams/team/matches/match/TeleOp/collect/air" xmlDataType="integer"/>
    </tableColumn>
    <tableColumn id="16" uniqueName="bouncing" name="bouncing">
      <xmlColumnPr mapId="6" xpath="/competition/teams/team/matches/match/TeleOp/collect/bouncing" xmlDataType="integer"/>
    </tableColumn>
    <tableColumn id="17" uniqueName="human" name="human2">
      <xmlColumnPr mapId="6" xpath="/competition/teams/team/matches/match/TeleOp/passing/human" xmlDataType="integer"/>
    </tableColumn>
    <tableColumn id="18" uniqueName="robot" name="robot">
      <xmlColumnPr mapId="6" xpath="/competition/teams/team/matches/match/TeleOp/passing/robot" xmlDataType="integer"/>
    </tableColumn>
    <tableColumn id="19" uniqueName="truss" name="truss">
      <xmlColumnPr mapId="6" xpath="/competition/teams/team/matches/match/TeleOp/truss" xmlDataType="string"/>
    </tableColumn>
    <tableColumn id="20" uniqueName="catch" name="catch">
      <xmlColumnPr mapId="6" xpath="/competition/teams/team/matches/match/TeleOp/catch" xmlDataType="string"/>
    </tableColumn>
    <tableColumn id="21" uniqueName="NumberOfBlockedShots" name="NumberOfBlockedShots">
      <xmlColumnPr mapId="6" xpath="/competition/teams/team/matches/match/TeleOp/NumberOfBlockedShots" xmlDataType="string"/>
    </tableColumn>
    <tableColumn id="22" uniqueName="yellow" name="defense ranking">
      <xmlColumnPr mapId="6" xpath="/competition/teams/team/matches/match/TeleOp/penalities/yellow" xmlDataType="integer"/>
    </tableColumn>
    <tableColumn id="23" uniqueName="red" name="break down">
      <xmlColumnPr mapId="6" xpath="/competition/teams/team/matches/match/TeleOp/penalities/red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0"/>
  <sheetViews>
    <sheetView zoomScaleNormal="100" workbookViewId="0">
      <selection activeCell="I2" sqref="I2"/>
    </sheetView>
  </sheetViews>
  <sheetFormatPr defaultRowHeight="15" x14ac:dyDescent="0.25"/>
  <cols>
    <col min="1" max="1" width="15.140625" bestFit="1" customWidth="1"/>
    <col min="2" max="2" width="16.140625" customWidth="1"/>
    <col min="3" max="3" width="8.28515625" customWidth="1"/>
    <col min="4" max="4" width="12.42578125" customWidth="1"/>
    <col min="5" max="6" width="13.42578125" customWidth="1"/>
    <col min="7" max="7" width="14.42578125" customWidth="1"/>
    <col min="8" max="8" width="10.42578125" customWidth="1"/>
    <col min="9" max="9" width="13.7109375" customWidth="1"/>
    <col min="10" max="10" width="9.28515625" customWidth="1"/>
    <col min="11" max="11" width="14.7109375" customWidth="1"/>
    <col min="12" max="12" width="10.28515625" customWidth="1"/>
    <col min="13" max="13" width="9.5703125" customWidth="1"/>
    <col min="14" max="14" width="9.42578125" customWidth="1"/>
    <col min="15" max="15" width="5.5703125" customWidth="1"/>
    <col min="16" max="16" width="11.42578125" customWidth="1"/>
    <col min="17" max="17" width="10.42578125" customWidth="1"/>
    <col min="18" max="18" width="8.140625" customWidth="1"/>
    <col min="19" max="19" width="7.5703125" customWidth="1"/>
    <col min="20" max="20" width="7.85546875" customWidth="1"/>
    <col min="21" max="21" width="25" customWidth="1"/>
    <col min="22" max="22" width="21.7109375" customWidth="1"/>
    <col min="23" max="23" width="16.85546875" customWidth="1"/>
  </cols>
  <sheetData>
    <row r="1" spans="1:23" x14ac:dyDescent="0.25">
      <c r="A1" t="s">
        <v>53</v>
      </c>
      <c r="B1" t="s">
        <v>52</v>
      </c>
      <c r="C1" t="s">
        <v>51</v>
      </c>
      <c r="D1" t="s">
        <v>50</v>
      </c>
      <c r="E1" t="s">
        <v>49</v>
      </c>
      <c r="F1" t="s">
        <v>48</v>
      </c>
      <c r="G1" t="s">
        <v>47</v>
      </c>
      <c r="H1" t="s">
        <v>46</v>
      </c>
      <c r="I1" t="s">
        <v>65</v>
      </c>
      <c r="J1" t="s">
        <v>66</v>
      </c>
      <c r="K1" t="s">
        <v>67</v>
      </c>
      <c r="L1" t="s">
        <v>68</v>
      </c>
      <c r="M1" t="s">
        <v>45</v>
      </c>
      <c r="N1" t="s">
        <v>44</v>
      </c>
      <c r="O1" t="s">
        <v>43</v>
      </c>
      <c r="P1" t="s">
        <v>42</v>
      </c>
      <c r="Q1" t="s">
        <v>110</v>
      </c>
      <c r="R1" t="s">
        <v>41</v>
      </c>
      <c r="S1" t="s">
        <v>69</v>
      </c>
      <c r="T1" t="s">
        <v>70</v>
      </c>
      <c r="U1" t="s">
        <v>79</v>
      </c>
      <c r="V1" t="s">
        <v>111</v>
      </c>
      <c r="W1" t="s">
        <v>112</v>
      </c>
    </row>
    <row r="2" spans="1:23" x14ac:dyDescent="0.25">
      <c r="A2">
        <v>1647</v>
      </c>
      <c r="B2">
        <v>1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 s="6">
        <v>0</v>
      </c>
      <c r="J2" s="6">
        <v>0</v>
      </c>
      <c r="K2" s="6">
        <v>0</v>
      </c>
      <c r="L2" s="6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 s="6">
        <v>1</v>
      </c>
      <c r="T2" s="6">
        <v>0</v>
      </c>
      <c r="U2" s="6">
        <v>1</v>
      </c>
      <c r="V2">
        <v>0</v>
      </c>
      <c r="W2">
        <v>0</v>
      </c>
    </row>
    <row r="3" spans="1:23" x14ac:dyDescent="0.25">
      <c r="A3">
        <v>1647</v>
      </c>
      <c r="B3">
        <v>2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s="6">
        <v>1</v>
      </c>
      <c r="J3" s="6">
        <v>5</v>
      </c>
      <c r="K3" s="6">
        <v>2</v>
      </c>
      <c r="L3" s="6">
        <v>2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 s="6">
        <v>1</v>
      </c>
      <c r="T3" s="6">
        <v>1</v>
      </c>
      <c r="U3" s="6">
        <v>0</v>
      </c>
      <c r="V3">
        <v>0</v>
      </c>
      <c r="W3">
        <v>0</v>
      </c>
    </row>
    <row r="4" spans="1:23" x14ac:dyDescent="0.25">
      <c r="A4" s="34"/>
    </row>
    <row r="5" spans="1:23" x14ac:dyDescent="0.25">
      <c r="A5" s="33"/>
    </row>
    <row r="6" spans="1:23" x14ac:dyDescent="0.25">
      <c r="A6" s="20"/>
    </row>
    <row r="7" spans="1:23" x14ac:dyDescent="0.25">
      <c r="A7" s="32"/>
    </row>
    <row r="8" spans="1:23" x14ac:dyDescent="0.25">
      <c r="A8" s="32"/>
    </row>
    <row r="9" spans="1:23" x14ac:dyDescent="0.25">
      <c r="A9" s="32"/>
    </row>
    <row r="10" spans="1:23" x14ac:dyDescent="0.25">
      <c r="A10" s="32"/>
    </row>
    <row r="11" spans="1:23" x14ac:dyDescent="0.25">
      <c r="A11" s="32"/>
    </row>
    <row r="12" spans="1:23" x14ac:dyDescent="0.25">
      <c r="A12" s="32"/>
    </row>
    <row r="13" spans="1:23" x14ac:dyDescent="0.25">
      <c r="A13" s="32"/>
    </row>
    <row r="14" spans="1:23" x14ac:dyDescent="0.25">
      <c r="A14" s="32"/>
    </row>
    <row r="15" spans="1:23" x14ac:dyDescent="0.25">
      <c r="A15" s="32"/>
    </row>
    <row r="16" spans="1:23" x14ac:dyDescent="0.25">
      <c r="A16" s="32"/>
      <c r="B16" s="32"/>
    </row>
    <row r="17" spans="1:2" x14ac:dyDescent="0.25">
      <c r="A17" s="32"/>
      <c r="B17" s="32"/>
    </row>
    <row r="18" spans="1:2" x14ac:dyDescent="0.25">
      <c r="A18" s="32"/>
      <c r="B18" s="32"/>
    </row>
    <row r="19" spans="1:2" x14ac:dyDescent="0.25">
      <c r="A19" s="32"/>
      <c r="B19" s="32"/>
    </row>
    <row r="20" spans="1:2" x14ac:dyDescent="0.25">
      <c r="A20" s="32"/>
      <c r="B20" s="32"/>
    </row>
    <row r="21" spans="1:2" x14ac:dyDescent="0.25">
      <c r="A21" s="32"/>
      <c r="B21" s="32"/>
    </row>
    <row r="22" spans="1:2" x14ac:dyDescent="0.25">
      <c r="A22" s="32"/>
      <c r="B22" s="32"/>
    </row>
    <row r="23" spans="1:2" x14ac:dyDescent="0.25">
      <c r="A23" s="32"/>
      <c r="B23" s="32"/>
    </row>
    <row r="24" spans="1:2" x14ac:dyDescent="0.25">
      <c r="A24" s="32"/>
      <c r="B24" s="32"/>
    </row>
    <row r="25" spans="1:2" x14ac:dyDescent="0.25">
      <c r="A25" s="32"/>
      <c r="B25" s="32"/>
    </row>
    <row r="38" spans="1:23" s="30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41" spans="1:23" x14ac:dyDescent="0.25">
      <c r="A41" s="30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</row>
    <row r="52" spans="1:23" s="30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5" spans="1:23" x14ac:dyDescent="0.2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</row>
    <row r="60" spans="1:23" s="30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3" spans="1:23" x14ac:dyDescent="0.2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</row>
    <row r="130" spans="1:1" x14ac:dyDescent="0.25">
      <c r="A130" s="7"/>
    </row>
  </sheetData>
  <sheetProtection formatCells="0" insertColumns="0" insertRows="0" insertHyperlinks="0" deleteRows="0" sort="0" autoFilter="0" pivotTables="0"/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F1179"/>
  <sheetViews>
    <sheetView tabSelected="1" zoomScale="50" zoomScaleNormal="50" workbookViewId="0">
      <selection activeCell="D15" sqref="D15"/>
    </sheetView>
  </sheetViews>
  <sheetFormatPr defaultRowHeight="15" x14ac:dyDescent="0.25"/>
  <cols>
    <col min="1" max="1" width="12.42578125" customWidth="1"/>
    <col min="2" max="2" width="12.85546875" customWidth="1"/>
    <col min="3" max="3" width="12" customWidth="1"/>
    <col min="6" max="6" width="29.5703125" bestFit="1" customWidth="1"/>
    <col min="7" max="7" width="17.85546875" customWidth="1"/>
    <col min="8" max="8" width="14.85546875" customWidth="1"/>
    <col min="9" max="9" width="10.140625" customWidth="1"/>
    <col min="10" max="10" width="11.5703125" style="1" bestFit="1" customWidth="1"/>
    <col min="11" max="11" width="11.5703125" style="1" customWidth="1"/>
    <col min="12" max="12" width="12" customWidth="1"/>
    <col min="13" max="13" width="14.28515625" customWidth="1"/>
    <col min="14" max="14" width="12.7109375" customWidth="1"/>
    <col min="15" max="15" width="15.28515625" customWidth="1"/>
    <col min="16" max="16" width="18.28515625" customWidth="1"/>
    <col min="17" max="17" width="13" customWidth="1"/>
    <col min="18" max="18" width="11.140625" customWidth="1"/>
    <col min="19" max="19" width="13.28515625" customWidth="1"/>
    <col min="20" max="20" width="10.5703125" customWidth="1"/>
    <col min="21" max="21" width="13.5703125" customWidth="1"/>
    <col min="22" max="22" width="12.7109375" customWidth="1"/>
    <col min="23" max="23" width="15.140625" customWidth="1"/>
    <col min="24" max="24" width="15" customWidth="1"/>
    <col min="25" max="25" width="17.28515625" customWidth="1"/>
    <col min="28" max="28" width="12" style="2" customWidth="1"/>
    <col min="39" max="48" width="9.140625" style="20"/>
  </cols>
  <sheetData>
    <row r="1" spans="1:58" x14ac:dyDescent="0.25">
      <c r="F1" t="s">
        <v>72</v>
      </c>
      <c r="I1" t="s">
        <v>71</v>
      </c>
      <c r="K1" s="1" t="s">
        <v>73</v>
      </c>
      <c r="M1" t="s">
        <v>74</v>
      </c>
      <c r="O1" t="s">
        <v>75</v>
      </c>
    </row>
    <row r="2" spans="1:58" x14ac:dyDescent="0.25">
      <c r="A2" t="s">
        <v>34</v>
      </c>
      <c r="F2" t="s">
        <v>36</v>
      </c>
      <c r="G2" t="s">
        <v>37</v>
      </c>
      <c r="H2" t="s">
        <v>38</v>
      </c>
      <c r="I2" t="s">
        <v>39</v>
      </c>
      <c r="J2" s="1" t="s">
        <v>40</v>
      </c>
      <c r="K2" s="1" t="s">
        <v>59</v>
      </c>
      <c r="L2" t="s">
        <v>56</v>
      </c>
      <c r="M2" s="2" t="s">
        <v>76</v>
      </c>
      <c r="N2" t="s">
        <v>57</v>
      </c>
      <c r="O2" t="s">
        <v>63</v>
      </c>
      <c r="P2" t="s">
        <v>64</v>
      </c>
      <c r="Q2" t="s">
        <v>80</v>
      </c>
      <c r="R2" t="s">
        <v>81</v>
      </c>
      <c r="S2" s="9" t="s">
        <v>94</v>
      </c>
      <c r="T2" t="s">
        <v>82</v>
      </c>
      <c r="U2" t="s">
        <v>83</v>
      </c>
      <c r="V2" t="s">
        <v>84</v>
      </c>
      <c r="W2" t="s">
        <v>77</v>
      </c>
      <c r="X2" t="s">
        <v>78</v>
      </c>
      <c r="Y2" t="s">
        <v>85</v>
      </c>
      <c r="Z2" t="s">
        <v>109</v>
      </c>
      <c r="AA2" t="s">
        <v>115</v>
      </c>
      <c r="AB2" s="2" t="s">
        <v>116</v>
      </c>
    </row>
    <row r="3" spans="1:58" x14ac:dyDescent="0.25">
      <c r="A3" t="s">
        <v>3</v>
      </c>
      <c r="C3" s="5">
        <v>1647</v>
      </c>
      <c r="F3" t="s">
        <v>4</v>
      </c>
    </row>
    <row r="4" spans="1:58" x14ac:dyDescent="0.25">
      <c r="F4">
        <f t="array" ref="F4">SMALL(IF('Raw Data'!A:A=C3,ROW('Raw Data'!A:A)),ROW('Raw Data'!$1:$1))</f>
        <v>2</v>
      </c>
      <c r="G4">
        <f t="array" ref="G4">INDEX('Raw Data'!$A:$AA,F4,9)</f>
        <v>0</v>
      </c>
      <c r="H4">
        <f t="array" ref="H4">INDEX('Raw Data'!A:AA,F4,10)</f>
        <v>0</v>
      </c>
      <c r="I4">
        <f t="array" ref="I4">INDEX('Raw Data'!$A:AA,$F4,11)</f>
        <v>0</v>
      </c>
      <c r="J4">
        <f t="array" ref="J4">INDEX('Raw Data'!$A:AA,F4,12)</f>
        <v>0</v>
      </c>
      <c r="K4">
        <f t="array" ref="K4">(--INDEX('Raw Data'!$A$4:AA$993,F4,4))</f>
        <v>0</v>
      </c>
      <c r="L4">
        <f t="array" ref="L4">(--INDEX('Raw Data'!$A$4:AA$993,F4,5))</f>
        <v>0</v>
      </c>
      <c r="M4">
        <f t="array" ref="M4">(--INDEX('Raw Data'!$A$4:AA$993,$F4,6))</f>
        <v>0</v>
      </c>
      <c r="N4">
        <f t="array" ref="N4">(--INDEX('Raw Data'!$A$4:AA$993,$F4,7))</f>
        <v>0</v>
      </c>
      <c r="O4">
        <f t="array" ref="O4">IF(--INDEX('Raw Data'!$A$4:AA$993,$F4,8)= 0, 1, 0)</f>
        <v>1</v>
      </c>
      <c r="P4">
        <f t="array" ref="P4">IF(--INDEX('Raw Data'!$A$4:AA$993,$F4,8)= 1, 1, 0)</f>
        <v>0</v>
      </c>
      <c r="Q4">
        <f t="array" ref="Q4">IF(--INDEX('Raw Data'!$A$4:AA$993,$F4,13)= 1, 1, 0)</f>
        <v>0</v>
      </c>
      <c r="R4">
        <f t="array" ref="R4">IF(--INDEX('Raw Data'!$A$4:AA$993,$F4,14)= 1, 1, 0)</f>
        <v>0</v>
      </c>
      <c r="S4">
        <f t="array" ref="S4">IF(--INDEX('Raw Data'!$A$4:AA$993,$F4,15)= 1, 1, 0)</f>
        <v>0</v>
      </c>
      <c r="T4">
        <f t="array" ref="T4">IF(--INDEX('Raw Data'!$A$4:AA$993,$F4,15)= 1, 1, 0)</f>
        <v>0</v>
      </c>
      <c r="U4">
        <f t="array" ref="U4">IF(--INDEX('Raw Data'!$A$4:AA$993,$F4,16)= 1, 1, 0)</f>
        <v>0</v>
      </c>
      <c r="V4">
        <f t="array" ref="V4">IF(--INDEX('Raw Data'!$A$4:AA$993,$F4,17)= 1, 1, 0)</f>
        <v>0</v>
      </c>
      <c r="W4">
        <f t="array" ref="W4">INDEX('Raw Data'!$A:$AA,$F4,19)</f>
        <v>1</v>
      </c>
      <c r="X4">
        <f t="array" ref="X4">INDEX('Raw Data'!$A:$AA,$F4,20)</f>
        <v>0</v>
      </c>
      <c r="Y4">
        <f t="array" ref="Y4">INDEX('Raw Data'!$A:$AA,F4,21)</f>
        <v>1</v>
      </c>
      <c r="Z4">
        <f t="array" ref="Z4">INDEX('Raw Data'!$A:$AA,$F4,3)</f>
        <v>1</v>
      </c>
      <c r="AA4">
        <f t="array" ref="AA4">INDEX('Raw Data'!$A:$AA,$F4,22)</f>
        <v>0</v>
      </c>
      <c r="AB4">
        <f t="array" ref="AB4">INDEX('Raw Data'!$A:$AA,$F4,23)</f>
        <v>0</v>
      </c>
    </row>
    <row r="5" spans="1:58" x14ac:dyDescent="0.25">
      <c r="A5" t="s">
        <v>0</v>
      </c>
      <c r="B5">
        <f>G19</f>
        <v>1</v>
      </c>
      <c r="F5">
        <f t="array" ref="F5">SMALL(IF('Raw Data'!A:A=C3,ROW('Raw Data'!A:A)),ROW('Raw Data'!$2:$2))</f>
        <v>3</v>
      </c>
      <c r="G5">
        <f t="array" ref="G5">INDEX('Raw Data'!$A:$AA,F5,9)</f>
        <v>1</v>
      </c>
      <c r="H5">
        <f t="array" ref="H5">INDEX('Raw Data'!A:AA,F5,10)</f>
        <v>5</v>
      </c>
      <c r="I5">
        <f t="array" ref="I5">INDEX('Raw Data'!$A:AA,$F5,11)</f>
        <v>2</v>
      </c>
      <c r="J5">
        <f t="array" ref="J5">INDEX('Raw Data'!$A:AA,F5,12)</f>
        <v>2</v>
      </c>
      <c r="K5">
        <f t="array" ref="K5">(--INDEX('Raw Data'!$A$4:AA$993,F5,4))</f>
        <v>0</v>
      </c>
      <c r="L5">
        <f>(--INDEX('Raw Data'!$A$4:AA$993,F5,5))</f>
        <v>0</v>
      </c>
      <c r="M5">
        <f t="array" ref="M5">(--INDEX('Raw Data'!$A$4:AA$993,$F5,6))</f>
        <v>0</v>
      </c>
      <c r="N5">
        <f t="array" ref="N5">(--INDEX('Raw Data'!$A$4:AA$993,$F5,7))</f>
        <v>0</v>
      </c>
      <c r="O5">
        <f t="array" ref="O5">IF(--INDEX('Raw Data'!$A$4:AA$993,$F5,8)= 0, 1, 0)</f>
        <v>1</v>
      </c>
      <c r="P5">
        <f t="array" ref="P5">IF(--INDEX('Raw Data'!$A$4:AA$993,$F5,8)= 1, 1, 0)</f>
        <v>0</v>
      </c>
      <c r="Q5">
        <f t="array" ref="Q5">IF(--INDEX('Raw Data'!$A$4:AA$993,$F5,13)= 1, 1, 0)</f>
        <v>0</v>
      </c>
      <c r="R5">
        <f t="array" ref="R5">IF(--INDEX('Raw Data'!$A$4:AA$993,$F5,14)= 1, 1, 0)</f>
        <v>0</v>
      </c>
      <c r="S5">
        <f t="array" ref="S5">IF(--INDEX('Raw Data'!$A$4:AA$993,$F5,15)= 1, 1, 0)</f>
        <v>0</v>
      </c>
      <c r="T5">
        <f t="array" ref="T5">IF(--INDEX('Raw Data'!$A$4:AA$993,$F5,15)= 1, 1, 0)</f>
        <v>0</v>
      </c>
      <c r="U5">
        <f t="array" ref="U5">IF(--INDEX('Raw Data'!$A$4:AA$993,$F5,16)= 1, 1, 0)</f>
        <v>0</v>
      </c>
      <c r="V5">
        <f t="array" ref="V5">IF(--INDEX('Raw Data'!$A$4:AA$993,$F5,17)= 1, 1, 0)</f>
        <v>0</v>
      </c>
      <c r="W5">
        <f t="array" ref="W5">INDEX('Raw Data'!$A:$AA,$F5,19)</f>
        <v>1</v>
      </c>
      <c r="X5">
        <f t="array" ref="X5">INDEX('Raw Data'!$A:$AA,$F5,20)</f>
        <v>1</v>
      </c>
      <c r="Y5">
        <f t="array" ref="Y5">INDEX('Raw Data'!$A:$AA,F5,21)</f>
        <v>0</v>
      </c>
      <c r="Z5">
        <f t="array" ref="Z5">INDEX('Raw Data'!$A:$AA,$F5,3)</f>
        <v>0</v>
      </c>
      <c r="AA5">
        <f t="array" ref="AA5">INDEX('Raw Data'!$A:$AA,$F5,22)</f>
        <v>0</v>
      </c>
      <c r="AB5">
        <f t="array" ref="AB5">INDEX('Raw Data'!$A:$AA,$F5,23)</f>
        <v>0</v>
      </c>
      <c r="BA5" s="2"/>
    </row>
    <row r="6" spans="1:58" x14ac:dyDescent="0.25">
      <c r="A6" t="s">
        <v>1</v>
      </c>
      <c r="B6">
        <f>H19</f>
        <v>5</v>
      </c>
      <c r="F6" t="e">
        <f t="array" ref="F6">SMALL(IF('Raw Data'!A:A=C3,ROW('Raw Data'!A:A)),ROW('Raw Data'!$3:$3))</f>
        <v>#NUM!</v>
      </c>
      <c r="G6" t="e">
        <f t="array" ref="G6">INDEX('Raw Data'!$A:$AA,F6,9)</f>
        <v>#NUM!</v>
      </c>
      <c r="H6" t="e">
        <f t="array" ref="H6">INDEX('Raw Data'!A:AA,F6,10)</f>
        <v>#NUM!</v>
      </c>
      <c r="I6" t="e">
        <f t="array" ref="I6">INDEX('Raw Data'!$A:AA,$F6,11)</f>
        <v>#NUM!</v>
      </c>
      <c r="J6" t="e">
        <f t="array" ref="J6">INDEX('Raw Data'!$A:AA,F6,12)</f>
        <v>#NUM!</v>
      </c>
      <c r="K6" t="e">
        <f t="array" ref="K6">(--INDEX('Raw Data'!$A$4:AA$993,F6,4))</f>
        <v>#NUM!</v>
      </c>
      <c r="L6" t="e">
        <f t="array" ref="L6">(--INDEX('Raw Data'!$A$4:AA$993,F6,5))</f>
        <v>#NUM!</v>
      </c>
      <c r="M6" t="e">
        <f t="array" ref="M6">(--INDEX('Raw Data'!$A$4:AA$993,$F6,6))</f>
        <v>#NUM!</v>
      </c>
      <c r="N6" t="e">
        <f>(--INDEX('Raw Data'!$A$4:AA$993,$F6,7))</f>
        <v>#NUM!</v>
      </c>
      <c r="O6" t="e">
        <f t="array" ref="O6">IF(--INDEX('Raw Data'!$A$4:AA$993,$F6,8)= 0, 1, 0)</f>
        <v>#NUM!</v>
      </c>
      <c r="P6" t="e">
        <f t="array" ref="P6">IF(--INDEX('Raw Data'!$A$4:AA$993,$F6,8)= 1, 1, 0)</f>
        <v>#NUM!</v>
      </c>
      <c r="Q6" t="e">
        <f t="array" ref="Q6">IF(--INDEX('Raw Data'!$A$4:AA$993,$F6,13)= 1, 1, 0)</f>
        <v>#NUM!</v>
      </c>
      <c r="R6" t="e">
        <f t="array" ref="R6">IF(--INDEX('Raw Data'!$A$4:AA$993,$F6,14)= 1, 1, 0)</f>
        <v>#NUM!</v>
      </c>
      <c r="S6" t="e">
        <f t="array" ref="S6">IF(--INDEX('Raw Data'!$A$4:AA$993,$F6,15)= 1, 1, 0)</f>
        <v>#NUM!</v>
      </c>
      <c r="T6" t="e">
        <f t="array" ref="T6">IF(--INDEX('Raw Data'!$A$4:AA$993,$F6,15)= 1, 1, 0)</f>
        <v>#NUM!</v>
      </c>
      <c r="U6" t="e">
        <f t="array" ref="U6">IF(--INDEX('Raw Data'!$A$4:AA$993,$F6,16)= 1, 1, 0)</f>
        <v>#NUM!</v>
      </c>
      <c r="V6" t="e">
        <f t="array" ref="V6">IF(--INDEX('Raw Data'!$A$4:AA$993,$F6,17)= 1, 1, 0)</f>
        <v>#NUM!</v>
      </c>
      <c r="W6" t="e">
        <f t="array" ref="W6">INDEX('Raw Data'!$A:$AA,$F6,19)</f>
        <v>#NUM!</v>
      </c>
      <c r="X6" t="e">
        <f t="array" ref="X6">INDEX('Raw Data'!$A:$AA,$F6,20)</f>
        <v>#NUM!</v>
      </c>
      <c r="Y6" t="e">
        <f t="array" ref="Y6">INDEX('Raw Data'!$A:$AA,F6,21)</f>
        <v>#NUM!</v>
      </c>
      <c r="Z6" t="e">
        <f t="array" ref="Z6">INDEX('Raw Data'!$A:$AA,$F6,3)</f>
        <v>#NUM!</v>
      </c>
      <c r="AA6" t="e">
        <f t="array" ref="AA6">INDEX('Raw Data'!$A:$AA,$F6,22)</f>
        <v>#NUM!</v>
      </c>
      <c r="AB6" t="e">
        <f t="array" ref="AB6">INDEX('Raw Data'!$A:$AA,$F6,23)</f>
        <v>#NUM!</v>
      </c>
      <c r="BA6" s="2"/>
      <c r="BB6" s="2"/>
      <c r="BC6" s="2"/>
      <c r="BD6" s="2"/>
      <c r="BE6" s="2"/>
      <c r="BF6" s="2"/>
    </row>
    <row r="7" spans="1:58" x14ac:dyDescent="0.25">
      <c r="A7" t="s">
        <v>2</v>
      </c>
      <c r="C7" s="3">
        <f>B6/B5</f>
        <v>5</v>
      </c>
      <c r="F7" t="e">
        <f t="array" ref="F7">SMALL(IF('Raw Data'!A:A=C3,ROW('Raw Data'!A:A)),ROW('Raw Data'!$4:$4))</f>
        <v>#NUM!</v>
      </c>
      <c r="G7" t="e">
        <f t="array" ref="G7">INDEX('Raw Data'!$A:$AA,F7,9)</f>
        <v>#NUM!</v>
      </c>
      <c r="H7" t="e">
        <f t="array" ref="H7">INDEX('Raw Data'!A:AA,F7,10)</f>
        <v>#NUM!</v>
      </c>
      <c r="I7" t="e">
        <f t="array" ref="I7">INDEX('Raw Data'!$A:AA,$F7,11)</f>
        <v>#NUM!</v>
      </c>
      <c r="J7" t="e">
        <f t="array" ref="J7">INDEX('Raw Data'!$A:AA,F7,12)</f>
        <v>#NUM!</v>
      </c>
      <c r="K7" t="e">
        <f t="array" ref="K7">(--INDEX('Raw Data'!$A$4:AA$993,F7,4))</f>
        <v>#NUM!</v>
      </c>
      <c r="L7" t="e">
        <f>(--INDEX('Raw Data'!$A$4:AA$993,F7,5))</f>
        <v>#NUM!</v>
      </c>
      <c r="M7" t="e">
        <f t="array" ref="M7">(--INDEX('Raw Data'!$A$4:AA$993,$F7,6))</f>
        <v>#NUM!</v>
      </c>
      <c r="N7" t="e">
        <f t="array" ref="N7">(--INDEX('Raw Data'!$A$4:AA$993,$F7,7))</f>
        <v>#NUM!</v>
      </c>
      <c r="O7" t="e">
        <f t="array" ref="O7">IF(--INDEX('Raw Data'!$A$4:AA$993,$F7,8)= 0, 1, 0)</f>
        <v>#NUM!</v>
      </c>
      <c r="P7" t="e">
        <f t="array" ref="P7">IF(--INDEX('Raw Data'!$A$4:AA$993,$F7,8)= 1, 1, 0)</f>
        <v>#NUM!</v>
      </c>
      <c r="Q7" t="e">
        <f t="array" ref="Q7">IF(--INDEX('Raw Data'!$A$4:AA$993,$F7,13)= 1, 1, 0)</f>
        <v>#NUM!</v>
      </c>
      <c r="R7" t="e">
        <f t="array" ref="R7">IF(--INDEX('Raw Data'!$A$4:AA$993,$F7,14)= 1, 1, 0)</f>
        <v>#NUM!</v>
      </c>
      <c r="S7" t="e">
        <f t="array" ref="S7">IF(--INDEX('Raw Data'!$A$4:AA$993,$F7,15)= 1, 1, 0)</f>
        <v>#NUM!</v>
      </c>
      <c r="T7" t="e">
        <f t="array" ref="T7">IF(--INDEX('Raw Data'!$A$4:AA$993,$F7,15)= 1, 1, 0)</f>
        <v>#NUM!</v>
      </c>
      <c r="U7" t="e">
        <f t="array" ref="U7">IF(--INDEX('Raw Data'!$A$4:AA$993,$F7,16)= 1, 1, 0)</f>
        <v>#NUM!</v>
      </c>
      <c r="V7" t="e">
        <f t="array" ref="V7">IF(--INDEX('Raw Data'!$A$4:AA$993,$F7,17)= 1, 1, 0)</f>
        <v>#NUM!</v>
      </c>
      <c r="W7" t="e">
        <f t="array" ref="W7">INDEX('Raw Data'!$A:$AA,$F7,19)</f>
        <v>#NUM!</v>
      </c>
      <c r="X7" t="e">
        <f t="array" ref="X7">INDEX('Raw Data'!$A:$AA,$F7,20)</f>
        <v>#NUM!</v>
      </c>
      <c r="Y7" t="e">
        <f t="array" ref="Y7">INDEX('Raw Data'!$A:$AA,F7,21)</f>
        <v>#NUM!</v>
      </c>
      <c r="Z7" t="e">
        <f t="array" ref="Z7">INDEX('Raw Data'!$A:$AA,$F7,3)</f>
        <v>#NUM!</v>
      </c>
      <c r="AA7" t="e">
        <f t="array" ref="AA7">INDEX('Raw Data'!$A:$AA,$F7,22)</f>
        <v>#NUM!</v>
      </c>
      <c r="AB7" t="e">
        <f t="array" ref="AB7">INDEX('Raw Data'!$A:$AA,$F7,23)</f>
        <v>#NUM!</v>
      </c>
      <c r="BA7" s="2"/>
      <c r="BB7" s="2"/>
      <c r="BC7" s="2"/>
      <c r="BD7" s="2"/>
      <c r="BE7" s="2"/>
      <c r="BF7" s="2"/>
    </row>
    <row r="8" spans="1:58" x14ac:dyDescent="0.25">
      <c r="A8" t="s">
        <v>54</v>
      </c>
      <c r="B8">
        <f>I19</f>
        <v>2</v>
      </c>
      <c r="F8" t="e">
        <f t="array" ref="F8">SMALL(IF('Raw Data'!A:A=C3,ROW('Raw Data'!A:A)),ROW('Raw Data'!$5:$5))</f>
        <v>#NUM!</v>
      </c>
      <c r="G8" t="e">
        <f t="array" ref="G8">INDEX('Raw Data'!$A:$AA,F8,9)</f>
        <v>#NUM!</v>
      </c>
      <c r="H8" t="e">
        <f t="array" ref="H8">INDEX('Raw Data'!A:AA,F8,10)</f>
        <v>#NUM!</v>
      </c>
      <c r="I8" t="e">
        <f t="array" ref="I8">INDEX('Raw Data'!$A:AA,$F8,11)</f>
        <v>#NUM!</v>
      </c>
      <c r="J8" t="e">
        <f t="array" ref="J8">INDEX('Raw Data'!$A:AA,F8,12)</f>
        <v>#NUM!</v>
      </c>
      <c r="K8" t="e">
        <f t="array" ref="K8">(--INDEX('Raw Data'!$A$4:AA$993,F8,4))</f>
        <v>#NUM!</v>
      </c>
      <c r="L8" t="e">
        <f t="array" ref="L8">(--INDEX('Raw Data'!$A$4:AA,F8,5))</f>
        <v>#NAME?</v>
      </c>
      <c r="M8" t="e">
        <f t="array" ref="M8">(--INDEX('Raw Data'!$A$4:AA$993,$F8,6))</f>
        <v>#NUM!</v>
      </c>
      <c r="N8" t="e">
        <f t="array" ref="N8">(--INDEX('Raw Data'!$A$4:AA$993,$F8,7))</f>
        <v>#NUM!</v>
      </c>
      <c r="O8" t="e">
        <f t="array" ref="O8">IF(--INDEX('Raw Data'!$A$4:AA$993,$F8,8)= 0, 1, 0)</f>
        <v>#NUM!</v>
      </c>
      <c r="P8" t="e">
        <f t="array" ref="P8">IF(--INDEX('Raw Data'!$A$4:AA$993,$F8,8)= 1, 1, 0)</f>
        <v>#NUM!</v>
      </c>
      <c r="Q8" t="e">
        <f t="array" ref="Q8">IF(--INDEX('Raw Data'!$A$4:AA$993,$F8,13)= 1, 1, 0)</f>
        <v>#NUM!</v>
      </c>
      <c r="R8" t="e">
        <f t="array" ref="R8">IF(--INDEX('Raw Data'!$A$4:AA$993,$F8,14)= 1, 1, 0)</f>
        <v>#NUM!</v>
      </c>
      <c r="S8" t="e">
        <f t="array" ref="S8">IF(--INDEX('Raw Data'!$A$4:AA$993,$F8,15)= 1, 1, 0)</f>
        <v>#NUM!</v>
      </c>
      <c r="T8" t="e">
        <f t="array" ref="T8">IF(--INDEX('Raw Data'!$A$4:AA$993,$F8,15)= 1, 1, 0)</f>
        <v>#NUM!</v>
      </c>
      <c r="U8" t="e">
        <f t="array" ref="U8">IF(--INDEX('Raw Data'!$A$4:AA$993,$F8,16)= 1, 1, 0)</f>
        <v>#NUM!</v>
      </c>
      <c r="V8" t="e">
        <f t="array" ref="V8">IF(--INDEX('Raw Data'!$A$4:AA$993,$F8,17)= 1, 1, 0)</f>
        <v>#NUM!</v>
      </c>
      <c r="W8" t="e">
        <f t="array" ref="W8">INDEX('Raw Data'!$A:$AA,$F8,19)</f>
        <v>#NUM!</v>
      </c>
      <c r="X8" t="e">
        <f t="array" ref="X8">INDEX('Raw Data'!$A:$AA,$F8,20)</f>
        <v>#NUM!</v>
      </c>
      <c r="Y8" t="e">
        <f t="array" ref="Y8">INDEX('Raw Data'!$A:$AA,F8,21)</f>
        <v>#NUM!</v>
      </c>
      <c r="Z8" t="e">
        <f t="array" ref="Z8">INDEX('Raw Data'!$A:$AA,$F8,3)</f>
        <v>#NUM!</v>
      </c>
      <c r="AA8" t="e">
        <f t="array" ref="AA8">INDEX('Raw Data'!$A:$AA,$F8,22)</f>
        <v>#NUM!</v>
      </c>
      <c r="AB8" t="e">
        <f t="array" ref="AB8">INDEX('Raw Data'!$A:$AA,$F8,23)</f>
        <v>#NUM!</v>
      </c>
      <c r="BA8" s="2"/>
      <c r="BB8" s="2"/>
      <c r="BC8" s="2"/>
      <c r="BD8" s="2"/>
      <c r="BE8" s="2"/>
      <c r="BF8" s="2"/>
    </row>
    <row r="9" spans="1:58" x14ac:dyDescent="0.25">
      <c r="A9" t="s">
        <v>35</v>
      </c>
      <c r="B9">
        <f>J19</f>
        <v>2</v>
      </c>
      <c r="F9" t="e">
        <f t="array" ref="F9">SMALL(IF('Raw Data'!A:A=C3,ROW('Raw Data'!A:A)),ROW('Raw Data'!$6:$6))</f>
        <v>#NUM!</v>
      </c>
      <c r="G9" t="e">
        <f t="array" ref="G9">INDEX('Raw Data'!$A:$AA,F9,9)</f>
        <v>#NUM!</v>
      </c>
      <c r="H9" t="e">
        <f t="array" ref="H9">INDEX('Raw Data'!A:AA,F9,10)</f>
        <v>#NUM!</v>
      </c>
      <c r="I9" t="e">
        <f t="array" ref="I9">INDEX('Raw Data'!$A:AA,$F9,11)</f>
        <v>#NUM!</v>
      </c>
      <c r="J9" t="e">
        <f t="array" ref="J9">INDEX('Raw Data'!$A:AA,F9,12)</f>
        <v>#NUM!</v>
      </c>
      <c r="K9" t="e">
        <f t="array" ref="K9">(--INDEX('Raw Data'!$A$4:AA$993,F9,4))</f>
        <v>#NUM!</v>
      </c>
      <c r="L9" t="e">
        <f t="array" ref="L9">(--INDEX('Raw Data'!$A$4:AA$998,F9,5))</f>
        <v>#NUM!</v>
      </c>
      <c r="M9" t="e">
        <f t="array" ref="M9">(--INDEX('Raw Data'!$A$4:AA$998,$F9,6))</f>
        <v>#NUM!</v>
      </c>
      <c r="N9" t="e">
        <f t="array" ref="N9">(--INDEX('Raw Data'!$A$4:AA$993,$F9,7))</f>
        <v>#NUM!</v>
      </c>
      <c r="O9" t="e">
        <f t="array" ref="O9">IF(--INDEX('Raw Data'!$A$4:AA$993,$F9,8)= 0, 1, 0)</f>
        <v>#NUM!</v>
      </c>
      <c r="P9" t="e">
        <f t="array" ref="P9">IF(--INDEX('Raw Data'!$A$4:AA$998,$F9,8)= 1, 1, 0)</f>
        <v>#NUM!</v>
      </c>
      <c r="Q9" t="e">
        <f t="array" ref="Q9">IF(--INDEX('Raw Data'!$A$4:AA$998,$F9,13)= 1, 1, 0)</f>
        <v>#NUM!</v>
      </c>
      <c r="R9" t="e">
        <f t="array" ref="R9">IF(--INDEX('Raw Data'!$A$4:AA$998,$F9,14)= 1, 1, 0)</f>
        <v>#NUM!</v>
      </c>
      <c r="S9" t="e">
        <f t="array" ref="S9">IF(--INDEX('Raw Data'!$A$4:AA$993,$F9,15)= 1, 1, 0)</f>
        <v>#NUM!</v>
      </c>
      <c r="T9" t="e">
        <f t="array" ref="T9">IF(--INDEX('Raw Data'!$A$4:AA$998,$F9,15)= 1, 1, 0)</f>
        <v>#NUM!</v>
      </c>
      <c r="U9" t="e">
        <f t="array" ref="U9">IF(--INDEX('Raw Data'!$A$4:AA$998,$F9,16)= 1, 1, 0)</f>
        <v>#NUM!</v>
      </c>
      <c r="V9" t="e">
        <f t="array" ref="V9">IF(--INDEX('Raw Data'!$A$4:AA$993,$F9,17)= 1, 1, 0)</f>
        <v>#NUM!</v>
      </c>
      <c r="W9" t="e">
        <f t="array" ref="W9">INDEX('Raw Data'!$A:$AA,$F9,19)</f>
        <v>#NUM!</v>
      </c>
      <c r="X9" t="e">
        <f t="array" ref="X9">INDEX('Raw Data'!$A:$AA,$F9,20)</f>
        <v>#NUM!</v>
      </c>
      <c r="Y9" t="e">
        <f t="array" ref="Y9">INDEX('Raw Data'!$A:$AA,F9,21)</f>
        <v>#NUM!</v>
      </c>
      <c r="Z9" t="e">
        <f t="array" ref="Z9">INDEX('Raw Data'!$A:$AA,$F9,3)</f>
        <v>#NUM!</v>
      </c>
      <c r="AA9" t="e">
        <f t="array" ref="AA9">INDEX('Raw Data'!$A:$AA,$F9,22)</f>
        <v>#NUM!</v>
      </c>
      <c r="AB9" t="e">
        <f t="array" ref="AB9">INDEX('Raw Data'!$A:$AA,$F9,23)</f>
        <v>#NUM!</v>
      </c>
      <c r="BA9" s="2"/>
      <c r="BB9" s="2"/>
      <c r="BC9" s="2"/>
      <c r="BD9" s="2"/>
      <c r="BE9" s="2"/>
      <c r="BF9" s="2"/>
    </row>
    <row r="10" spans="1:58" x14ac:dyDescent="0.25">
      <c r="F10" t="e">
        <f t="array" ref="F10">SMALL(IF('Raw Data'!A:A=C3,ROW('Raw Data'!A:A)),ROW('Raw Data'!$7:$7))</f>
        <v>#NUM!</v>
      </c>
      <c r="G10" t="e">
        <f t="array" ref="G10">INDEX('Raw Data'!$A:$AA,F10,9)</f>
        <v>#NUM!</v>
      </c>
      <c r="H10" t="e">
        <f t="array" ref="H10">INDEX('Raw Data'!A:AA,F10,10)</f>
        <v>#NUM!</v>
      </c>
      <c r="I10" t="e">
        <f t="array" ref="I10">INDEX('Raw Data'!$A:AA,$F10,11)</f>
        <v>#NUM!</v>
      </c>
      <c r="J10" t="e">
        <f t="array" ref="J10">INDEX('Raw Data'!$A:AA,F10,12)</f>
        <v>#NUM!</v>
      </c>
      <c r="K10" t="e">
        <f t="array" ref="K10">(--INDEX('Raw Data'!$A$4:AA$998,F10,4))</f>
        <v>#NUM!</v>
      </c>
      <c r="L10" t="e">
        <f t="array" ref="L10">(--INDEX('Raw Data'!$A$4:AA$998,F10,5))</f>
        <v>#NUM!</v>
      </c>
      <c r="M10" t="e">
        <f t="array" ref="M10">(--INDEX('Raw Data'!$A$4:AA$998,$F10,6))</f>
        <v>#NUM!</v>
      </c>
      <c r="N10" t="e">
        <f t="array" ref="N10">(--INDEX('Raw Data'!$A$4:AA$998,$F10,7))</f>
        <v>#NUM!</v>
      </c>
      <c r="O10" t="e">
        <f t="array" ref="O10">IF(--INDEX('Raw Data'!$A$4:AA$998,$F10,8)= 0, 1, 0)</f>
        <v>#NUM!</v>
      </c>
      <c r="P10" t="e">
        <f t="array" ref="P10">IF(--INDEX('Raw Data'!$A$4:AA$998,$F10,8)= 1, 1, 0)</f>
        <v>#NUM!</v>
      </c>
      <c r="Q10" t="e">
        <f t="array" ref="Q10">IF(--INDEX('Raw Data'!$A$4:AA$998,$F10,13)= 1, 1, 0)</f>
        <v>#NUM!</v>
      </c>
      <c r="R10" t="e">
        <f t="array" ref="R10">IF(--INDEX('Raw Data'!$A$4:AA$998,$F10,14)= 1, 1, 0)</f>
        <v>#NUM!</v>
      </c>
      <c r="S10" t="e">
        <f t="array" ref="S10">IF(--INDEX('Raw Data'!$A$4:AA$998,$F10,15)= 1, 1, 0)</f>
        <v>#NUM!</v>
      </c>
      <c r="T10" t="e">
        <f t="array" ref="T10">IF(--INDEX('Raw Data'!$A$4:AA$998,$F10,15)= 1, 1, 0)</f>
        <v>#NUM!</v>
      </c>
      <c r="U10" t="e">
        <f t="array" ref="U10">IF(--INDEX('Raw Data'!$A$4:AA$998,$F10,16)= 1, 1, 0)</f>
        <v>#NUM!</v>
      </c>
      <c r="V10" t="e">
        <f t="array" ref="V10">IF(--INDEX('Raw Data'!$A$4:AA$998,$F10,17)= 1, 1, 0)</f>
        <v>#NUM!</v>
      </c>
      <c r="W10" t="e">
        <f t="array" ref="W10">INDEX('Raw Data'!$A:$AA,$F10,19)</f>
        <v>#NUM!</v>
      </c>
      <c r="X10" t="e">
        <f t="array" ref="X10">INDEX('Raw Data'!$A:$AA,$F10,20)</f>
        <v>#NUM!</v>
      </c>
      <c r="Y10" t="e">
        <f t="array" ref="Y10">INDEX('Raw Data'!$A:$AA,F10,21)</f>
        <v>#NUM!</v>
      </c>
      <c r="Z10" t="e">
        <f t="array" ref="Z10">INDEX('Raw Data'!$A:$AA,$F10,3)</f>
        <v>#NUM!</v>
      </c>
      <c r="AA10" t="e">
        <f t="array" ref="AA10">INDEX('Raw Data'!$A:$AA,$F10,22)</f>
        <v>#NUM!</v>
      </c>
      <c r="AB10" t="e">
        <f t="array" ref="AB10">INDEX('Raw Data'!$A:$AA,$F10,23)</f>
        <v>#NUM!</v>
      </c>
      <c r="BA10" s="2"/>
      <c r="BB10" s="2"/>
      <c r="BC10" s="2"/>
      <c r="BD10" s="2"/>
      <c r="BE10" s="2"/>
      <c r="BF10" s="2"/>
    </row>
    <row r="11" spans="1:58" x14ac:dyDescent="0.25">
      <c r="F11" t="e">
        <f t="array" ref="F11">SMALL(IF('Raw Data'!A:A=C3,ROW('Raw Data'!A:A)),ROW('Raw Data'!$8:$8))</f>
        <v>#NUM!</v>
      </c>
      <c r="G11" t="e">
        <f t="array" ref="G11">INDEX('Raw Data'!$A:$AA,F11,9)</f>
        <v>#NUM!</v>
      </c>
      <c r="H11" t="e">
        <f t="array" ref="H11">INDEX('Raw Data'!A:AA,F11,10)</f>
        <v>#NUM!</v>
      </c>
      <c r="I11" t="e">
        <f t="array" ref="I11">INDEX('Raw Data'!$A:AA,$F11,11)</f>
        <v>#NUM!</v>
      </c>
      <c r="J11" t="e">
        <f t="array" ref="J11">INDEX('Raw Data'!$A:AA,F11,12)</f>
        <v>#NUM!</v>
      </c>
      <c r="K11" t="e">
        <f t="array" ref="K11">(--INDEX('Raw Data'!$A$4:AA$998,F11,4))</f>
        <v>#NUM!</v>
      </c>
      <c r="L11" t="e">
        <f t="array" ref="L11">(--INDEX('Raw Data'!$A$4:AA$998,F11,5))</f>
        <v>#NUM!</v>
      </c>
      <c r="M11" t="e">
        <f t="array" ref="M11">(--INDEX('Raw Data'!$A$4:AA$998,$F11,6))</f>
        <v>#NUM!</v>
      </c>
      <c r="N11" t="e">
        <f t="array" ref="N11">(--INDEX('Raw Data'!$A$4:AA$998,$F11,7))</f>
        <v>#NUM!</v>
      </c>
      <c r="O11" t="e">
        <f t="array" ref="O11">IF(--INDEX('Raw Data'!$A$4:AA$998,$F11,8)= 0, 1, 0)</f>
        <v>#NUM!</v>
      </c>
      <c r="P11" t="e">
        <f t="array" ref="P11">IF(--INDEX('Raw Data'!$A$4:AA$998,$F11,8)= 1, 1, 0)</f>
        <v>#NUM!</v>
      </c>
      <c r="Q11" t="e">
        <f t="array" ref="Q11">IF(--INDEX('Raw Data'!$A$4:AA$998,$F11,13)= 1, 1, 0)</f>
        <v>#NUM!</v>
      </c>
      <c r="R11" t="e">
        <f t="array" ref="R11">IF(--INDEX('Raw Data'!$A$4:AA$998,$F11,14)= 1, 1, 0)</f>
        <v>#NUM!</v>
      </c>
      <c r="S11" t="e">
        <f t="array" ref="S11">IF(--INDEX('Raw Data'!$A$4:AA$998,$F11,15)= 1, 1, 0)</f>
        <v>#NUM!</v>
      </c>
      <c r="T11" t="e">
        <f t="array" ref="T11">IF(--INDEX('Raw Data'!$A$4:AA$998,$F11,15)= 1, 1, 0)</f>
        <v>#NUM!</v>
      </c>
      <c r="U11" t="e">
        <f t="array" ref="U11">IF(--INDEX('Raw Data'!$A$4:AA$998,$F11,16)= 1, 1, 0)</f>
        <v>#NUM!</v>
      </c>
      <c r="V11" t="e">
        <f t="array" ref="V11">IF(--INDEX('Raw Data'!$A$4:AA$998,$F11,17)= 1, 1, 0)</f>
        <v>#NUM!</v>
      </c>
      <c r="W11" t="e">
        <f t="array" ref="W11">INDEX('Raw Data'!$A:$AA,$F11,19)</f>
        <v>#NUM!</v>
      </c>
      <c r="X11" t="e">
        <f t="array" ref="X11">INDEX('Raw Data'!$A:$AA,$F11,20)</f>
        <v>#NUM!</v>
      </c>
      <c r="Y11" t="e">
        <f t="array" ref="Y11">INDEX('Raw Data'!$A:$AA,F11,21)</f>
        <v>#NUM!</v>
      </c>
      <c r="Z11" t="e">
        <f t="array" ref="Z11">INDEX('Raw Data'!$A:$AA,$F11,3)</f>
        <v>#NUM!</v>
      </c>
      <c r="AA11" t="e">
        <f t="array" ref="AA11">INDEX('Raw Data'!$A:$AA,$F11,22)</f>
        <v>#NUM!</v>
      </c>
      <c r="AB11" t="e">
        <f t="array" ref="AB11">INDEX('Raw Data'!$A:$AA,$F11,23)</f>
        <v>#NUM!</v>
      </c>
      <c r="BA11" s="2"/>
      <c r="BB11" s="2"/>
      <c r="BC11" s="2"/>
      <c r="BD11" s="2"/>
      <c r="BE11" s="2"/>
      <c r="BF11" s="2"/>
    </row>
    <row r="12" spans="1:58" x14ac:dyDescent="0.25">
      <c r="F12" t="e">
        <f t="array" ref="F12">SMALL(IF('Raw Data'!A:A=C3,ROW('Raw Data'!A:A)),ROW('Raw Data'!$9:$9))</f>
        <v>#NUM!</v>
      </c>
      <c r="G12" t="e">
        <f t="array" ref="G12">INDEX('Raw Data'!$A:$AA,F12,9)</f>
        <v>#NUM!</v>
      </c>
      <c r="H12" t="e">
        <f t="array" ref="H12">INDEX('Raw Data'!A:AA,F12,10)</f>
        <v>#NUM!</v>
      </c>
      <c r="I12" t="e">
        <f t="array" ref="I12">INDEX('Raw Data'!$A:AA,$F12,11)</f>
        <v>#NUM!</v>
      </c>
      <c r="J12" t="e">
        <f t="array" ref="J12">INDEX('Raw Data'!$A:AA,F12,12)</f>
        <v>#NUM!</v>
      </c>
      <c r="K12" t="e">
        <f t="array" ref="K12">(--INDEX('Raw Data'!$A$4:AA$998,F12,4))</f>
        <v>#NUM!</v>
      </c>
      <c r="L12" t="e">
        <f t="array" ref="L12">(--INDEX('Raw Data'!$A$4:AA$998,F12,5))</f>
        <v>#NUM!</v>
      </c>
      <c r="M12" t="e">
        <f t="array" ref="M12">(--INDEX('Raw Data'!$A$4:AA$998,$F12,6))</f>
        <v>#NUM!</v>
      </c>
      <c r="N12" t="e">
        <f t="array" ref="N12">(--INDEX('Raw Data'!$A$4:AA$998,$F12,7))</f>
        <v>#NUM!</v>
      </c>
      <c r="O12" t="e">
        <f t="array" ref="O12">IF(--INDEX('Raw Data'!$A$4:AA$998,$F12,8)= 0, 1, 0)</f>
        <v>#NUM!</v>
      </c>
      <c r="P12" t="e">
        <f t="array" ref="P12">IF(--INDEX('Raw Data'!$A$4:AA$998,$F12,8)= 1, 1, 0)</f>
        <v>#NUM!</v>
      </c>
      <c r="Q12" t="e">
        <f t="array" ref="Q12">IF(--INDEX('Raw Data'!$A$4:AA$998,$F12,13)= 1, 1, 0)</f>
        <v>#NUM!</v>
      </c>
      <c r="R12" t="e">
        <f t="array" ref="R12">IF(--INDEX('Raw Data'!$A$4:AA$998,$F12,14)= 1, 1, 0)</f>
        <v>#NUM!</v>
      </c>
      <c r="S12" t="e">
        <f t="array" ref="S12">IF(--INDEX('Raw Data'!$A$4:AA$998,$F12,15)= 1, 1, 0)</f>
        <v>#NUM!</v>
      </c>
      <c r="T12" t="e">
        <f t="array" ref="T12">IF(--INDEX('Raw Data'!$A$4:AA$998,$F12,15)= 1, 1, 0)</f>
        <v>#NUM!</v>
      </c>
      <c r="U12" t="e">
        <f t="array" ref="U12">IF(--INDEX('Raw Data'!$A$4:AA$998,$F12,16)= 1, 1, 0)</f>
        <v>#NUM!</v>
      </c>
      <c r="V12" t="e">
        <f t="array" ref="V12">IF(--INDEX('Raw Data'!$A$4:AA$998,$F12,17)= 1, 1, 0)</f>
        <v>#NUM!</v>
      </c>
      <c r="W12" t="e">
        <f t="array" ref="W12">INDEX('Raw Data'!$A:$AA,$F12,19)</f>
        <v>#NUM!</v>
      </c>
      <c r="X12" t="e">
        <f>INDEX('Raw Data'!$A:$AA,$F12,20)</f>
        <v>#NUM!</v>
      </c>
      <c r="Y12" t="e">
        <f t="array" ref="Y12">INDEX('Raw Data'!$A:$AA,F12,21)</f>
        <v>#NUM!</v>
      </c>
      <c r="Z12" t="e">
        <f t="array" ref="Z12">INDEX('Raw Data'!$A:$AA,$F12,3)</f>
        <v>#NUM!</v>
      </c>
      <c r="AA12" t="e">
        <f t="array" ref="AA12">INDEX('Raw Data'!$A:$AA,$F12,22)</f>
        <v>#NUM!</v>
      </c>
      <c r="AB12" t="e">
        <f t="array" ref="AB12">INDEX('Raw Data'!$A:$AA,$F12,23)</f>
        <v>#NUM!</v>
      </c>
      <c r="BA12" s="2"/>
      <c r="BB12" s="2"/>
      <c r="BC12" s="2"/>
      <c r="BD12" s="2"/>
      <c r="BE12" s="2"/>
      <c r="BF12" s="2"/>
    </row>
    <row r="13" spans="1:58" x14ac:dyDescent="0.25">
      <c r="F13" t="e">
        <f t="array" ref="F13">SMALL(IF('Raw Data'!A:A=C3,ROW('Raw Data'!A:A)),ROW('Raw Data'!$10:$10))</f>
        <v>#NUM!</v>
      </c>
      <c r="G13" t="e">
        <f t="array" ref="G13">INDEX('Raw Data'!$A:$AA,F13,9)</f>
        <v>#NUM!</v>
      </c>
      <c r="H13" t="e">
        <f t="array" ref="H13">INDEX('Raw Data'!A:AA,F13,10)</f>
        <v>#NUM!</v>
      </c>
      <c r="I13" t="e">
        <f t="array" ref="I13">INDEX('Raw Data'!$A:AA,$F13,11)</f>
        <v>#NUM!</v>
      </c>
      <c r="J13" t="e">
        <f t="array" ref="J13">INDEX('Raw Data'!$A:AA,F13,12)</f>
        <v>#NUM!</v>
      </c>
      <c r="K13" t="e">
        <f t="array" ref="K13">(--INDEX('Raw Data'!$A$4:AA$998,F13,4))</f>
        <v>#NUM!</v>
      </c>
      <c r="L13" t="e">
        <f t="array" ref="L13">(--INDEX('Raw Data'!$A$4:AA$998,F13,5))</f>
        <v>#NUM!</v>
      </c>
      <c r="M13" t="e">
        <f t="array" ref="M13">(--INDEX('Raw Data'!$A$4:AA$998,$F13,6))</f>
        <v>#NUM!</v>
      </c>
      <c r="N13" t="e">
        <f t="array" ref="N13">(--INDEX('Raw Data'!$A$4:AA$998,$F13,7))</f>
        <v>#NUM!</v>
      </c>
      <c r="O13" t="e">
        <f t="array" ref="O13">IF(--INDEX('Raw Data'!$A$4:AA$998,$F13,8)= 0, 1, 0)</f>
        <v>#NUM!</v>
      </c>
      <c r="P13" t="e">
        <f t="array" ref="P13">IF(--INDEX('Raw Data'!$A$4:AA$998,$F13,8)= 1, 1, 0)</f>
        <v>#NUM!</v>
      </c>
      <c r="Q13" t="e">
        <f t="array" ref="Q13">IF(--INDEX('Raw Data'!$A$4:AA$998,$F13,13)= 1, 1, 0)</f>
        <v>#NUM!</v>
      </c>
      <c r="R13" t="e">
        <f t="array" ref="R13">IF(--INDEX('Raw Data'!$A$4:AA$998,$F13,14)= 1, 1, 0)</f>
        <v>#NUM!</v>
      </c>
      <c r="S13" t="e">
        <f t="array" ref="S13">IF(--INDEX('Raw Data'!$A$4:AA$998,$F13,15)= 1, 1, 0)</f>
        <v>#NUM!</v>
      </c>
      <c r="T13" t="e">
        <f t="array" ref="T13">IF(--INDEX('Raw Data'!$A$4:AA$998,$F13,15)= 1, 1, 0)</f>
        <v>#NUM!</v>
      </c>
      <c r="U13" t="e">
        <f t="array" ref="U13">IF(--INDEX('Raw Data'!$A$4:AA$998,$F13,16)= 1, 1, 0)</f>
        <v>#NUM!</v>
      </c>
      <c r="V13" t="e">
        <f t="array" ref="V13">IF(--INDEX('Raw Data'!$A$4:AA$998,$F13,17)= 1, 1, 0)</f>
        <v>#NUM!</v>
      </c>
      <c r="W13" t="e">
        <f t="array" ref="W13">INDEX('Raw Data'!$A:$AA,$F13,19)</f>
        <v>#NUM!</v>
      </c>
      <c r="X13" t="e">
        <f t="array" ref="X13">INDEX('Raw Data'!$A:$AA,$F13,20)</f>
        <v>#NUM!</v>
      </c>
      <c r="Y13" t="e">
        <f t="array" ref="Y13">INDEX('Raw Data'!$A:$AA,F13,21)</f>
        <v>#NUM!</v>
      </c>
      <c r="Z13" t="e">
        <f t="array" ref="Z13">INDEX('Raw Data'!$A:$AA,$F13,3)</f>
        <v>#NUM!</v>
      </c>
      <c r="AA13" t="e">
        <f t="array" ref="AA13">INDEX('Raw Data'!$A:$AA,$F13,22)</f>
        <v>#NUM!</v>
      </c>
      <c r="AB13" t="e">
        <f t="array" ref="AB13">INDEX('Raw Data'!$A:$AA,$F13,23)</f>
        <v>#NUM!</v>
      </c>
      <c r="BA13" s="2"/>
      <c r="BB13" s="2"/>
      <c r="BC13" s="2"/>
      <c r="BD13" s="2"/>
      <c r="BE13" s="2"/>
      <c r="BF13" s="2"/>
    </row>
    <row r="14" spans="1:58" x14ac:dyDescent="0.25">
      <c r="F14" t="e">
        <f t="array" ref="F14">SMALL(IF('Raw Data'!A:A=C3,ROW('Raw Data'!A:A)),ROW('Raw Data'!$11:$11))</f>
        <v>#NUM!</v>
      </c>
      <c r="G14" t="e">
        <f t="array" ref="G14">INDEX('Raw Data'!$A:$AA,F14,9)</f>
        <v>#NUM!</v>
      </c>
      <c r="H14" t="e">
        <f t="array" ref="H14">INDEX('Raw Data'!A:AA,F14,10)</f>
        <v>#NUM!</v>
      </c>
      <c r="I14" t="e">
        <f t="array" ref="I14">INDEX('Raw Data'!$A:AA,$F14,11)</f>
        <v>#NUM!</v>
      </c>
      <c r="J14" t="e">
        <f t="array" ref="J14">INDEX('Raw Data'!$A:AA,F14,12)</f>
        <v>#NUM!</v>
      </c>
      <c r="K14" t="e">
        <f t="array" ref="K14">(--INDEX('Raw Data'!$A$4:AA$998,F14,4))</f>
        <v>#NUM!</v>
      </c>
      <c r="L14" t="e">
        <f t="array" ref="L14">(--INDEX('Raw Data'!$A$4:AA$998,F14,5))</f>
        <v>#NUM!</v>
      </c>
      <c r="M14" t="e">
        <f t="array" ref="M14">(--INDEX('Raw Data'!$A$4:AA$998,$F14,6))</f>
        <v>#NUM!</v>
      </c>
      <c r="N14" t="e">
        <f t="array" ref="N14">(--INDEX('Raw Data'!$A$4:AA$998,$F14,7))</f>
        <v>#NUM!</v>
      </c>
      <c r="O14" t="e">
        <f t="array" ref="O14">IF(--INDEX('Raw Data'!$A$4:AA$998,$F14,8)= 0, 1, 0)</f>
        <v>#NUM!</v>
      </c>
      <c r="P14" t="e">
        <f t="array" ref="P14">IF(--INDEX('Raw Data'!$A$4:AA$998,$F14,8)= 1, 1, 0)</f>
        <v>#NUM!</v>
      </c>
      <c r="Q14" t="e">
        <f t="array" ref="Q14">IF(--INDEX('Raw Data'!$A$4:AA$998,$F14,13)= 1, 1, 0)</f>
        <v>#NUM!</v>
      </c>
      <c r="R14" t="e">
        <f t="array" ref="R14">IF(--INDEX('Raw Data'!$A$4:AA$998,$F14,14)= 1, 1, 0)</f>
        <v>#NUM!</v>
      </c>
      <c r="S14" t="e">
        <f t="array" ref="S14">IF(--INDEX('Raw Data'!$A$4:AA$998,$F14,15)= 1, 1, 0)</f>
        <v>#NUM!</v>
      </c>
      <c r="T14" t="e">
        <f t="array" ref="T14">IF(--INDEX('Raw Data'!$A$4:AA$998,$F14,15)= 1, 1, 0)</f>
        <v>#NUM!</v>
      </c>
      <c r="U14" t="e">
        <f t="array" ref="U14">IF(--INDEX('Raw Data'!$A$4:AA$998,$F14,16)= 1, 1, 0)</f>
        <v>#NUM!</v>
      </c>
      <c r="V14" t="e">
        <f t="array" ref="V14">IF(--INDEX('Raw Data'!$A$4:AA$998,$F14,17)= 1, 1, 0)</f>
        <v>#NUM!</v>
      </c>
      <c r="W14" t="e">
        <f t="array" ref="W14">INDEX('Raw Data'!$A:$AA,$F14,19)</f>
        <v>#NUM!</v>
      </c>
      <c r="X14" t="e">
        <f t="array" ref="X14">INDEX('Raw Data'!$A:$AA,$F14,20)</f>
        <v>#NUM!</v>
      </c>
      <c r="Y14" t="e">
        <f t="array" ref="Y14">INDEX('Raw Data'!$A:$AA,F14,21)</f>
        <v>#NUM!</v>
      </c>
      <c r="Z14" t="e">
        <f t="array" ref="Z14">INDEX('Raw Data'!$A:$AA,$F14,3)</f>
        <v>#NUM!</v>
      </c>
      <c r="AA14" t="e">
        <f t="array" ref="AA14">INDEX('Raw Data'!$A:$AA,$F14,22)</f>
        <v>#NUM!</v>
      </c>
      <c r="AB14" t="e">
        <f t="array" ref="AB14">INDEX('Raw Data'!$A:$AA,$F14,23)</f>
        <v>#NUM!</v>
      </c>
      <c r="BA14" s="2"/>
      <c r="BB14" s="2"/>
      <c r="BC14" s="2"/>
      <c r="BD14" s="2"/>
      <c r="BE14" s="2"/>
      <c r="BF14" s="2"/>
    </row>
    <row r="15" spans="1:58" x14ac:dyDescent="0.25">
      <c r="F15" t="e">
        <f t="array" ref="F15">SMALL(IF('Raw Data'!A:A=C3,ROW('Raw Data'!A:A)),ROW('Raw Data'!$12:$12))</f>
        <v>#NUM!</v>
      </c>
      <c r="G15" t="e">
        <f t="array" ref="G15">INDEX('Raw Data'!$A:$AA,F15,9)</f>
        <v>#NUM!</v>
      </c>
      <c r="H15" t="e">
        <f t="array" ref="H15">INDEX('Raw Data'!A:AA,F15,10)</f>
        <v>#NUM!</v>
      </c>
      <c r="I15" t="e">
        <f t="array" ref="I15">INDEX('Raw Data'!$A:AA,$F15,11)</f>
        <v>#NUM!</v>
      </c>
      <c r="J15" t="e">
        <f t="array" ref="J15">INDEX('Raw Data'!$A:AA,F15,12)</f>
        <v>#NUM!</v>
      </c>
      <c r="K15" t="e">
        <f t="array" ref="K15">(--INDEX('Raw Data'!$A$4:AA$998,F15,4))</f>
        <v>#NUM!</v>
      </c>
      <c r="L15" t="e">
        <f t="array" ref="L15">(--INDEX('Raw Data'!$A$4:AA$998,F15,5))</f>
        <v>#NUM!</v>
      </c>
      <c r="M15" t="e">
        <f t="array" ref="M15">(--INDEX('Raw Data'!$A$4:AA$998,$F15,6))</f>
        <v>#NUM!</v>
      </c>
      <c r="N15" t="e">
        <f t="array" ref="N15">(--INDEX('Raw Data'!$A$4:AA$998,$F15,7))</f>
        <v>#NUM!</v>
      </c>
      <c r="O15" t="e">
        <f t="array" ref="O15">IF(--INDEX('Raw Data'!$A$4:AA$998,$F15,8)= 0, 1, 0)</f>
        <v>#NUM!</v>
      </c>
      <c r="P15" t="e">
        <f t="array" ref="P15">IF(--INDEX('Raw Data'!$A$4:AA$998,$F15,8)= 1, 1, 0)</f>
        <v>#NUM!</v>
      </c>
      <c r="Q15" t="e">
        <f>IF(--INDEX('Raw Data'!$A$4:AA$998,$F15,13)= 1, 1, 0)</f>
        <v>#NUM!</v>
      </c>
      <c r="R15" t="e">
        <f t="array" ref="R15">IF(--INDEX('Raw Data'!$A$4:AA$998,$F15,14)= 1, 1, 0)</f>
        <v>#NUM!</v>
      </c>
      <c r="S15" t="e">
        <f t="array" ref="S15">IF(--INDEX('Raw Data'!$A$4:AA$998,$F15,15)= 1, 1, 0)</f>
        <v>#NUM!</v>
      </c>
      <c r="T15" t="e">
        <f t="array" ref="T15">IF(--INDEX('Raw Data'!$A$4:AA$998,$F15,15)= 1, 1, 0)</f>
        <v>#NUM!</v>
      </c>
      <c r="U15" t="e">
        <f t="array" ref="U15">IF(--INDEX('Raw Data'!$A$4:AA$998,$F15,16)= 1, 1, 0)</f>
        <v>#NUM!</v>
      </c>
      <c r="V15" t="e">
        <f t="array" ref="V15">IF(--INDEX('Raw Data'!$A$4:AA$998,$F15,17)= 1, 1, 0)</f>
        <v>#NUM!</v>
      </c>
      <c r="W15" t="e">
        <f t="array" ref="W15">INDEX('Raw Data'!$A:$AA,$F15,19)</f>
        <v>#NUM!</v>
      </c>
      <c r="X15" t="e">
        <f t="array" ref="X15">INDEX('Raw Data'!$A:$AA,$F15,20)</f>
        <v>#NUM!</v>
      </c>
      <c r="Y15" t="e">
        <f t="array" ref="Y15">INDEX('Raw Data'!$A:$AA,F15,21)</f>
        <v>#NUM!</v>
      </c>
      <c r="Z15" t="e">
        <f t="array" ref="Z15">INDEX('Raw Data'!$A:$AA,$F15,3)</f>
        <v>#NUM!</v>
      </c>
      <c r="AA15" t="e">
        <f t="array" ref="AA15">INDEX('Raw Data'!$A:$AA,$F15,22)</f>
        <v>#NUM!</v>
      </c>
      <c r="AB15" t="e">
        <f>INDEX('Raw Data'!$A:$AA,$F15,23)</f>
        <v>#NUM!</v>
      </c>
      <c r="BA15" s="2"/>
      <c r="BB15" s="2"/>
      <c r="BC15" s="2"/>
      <c r="BD15" s="2"/>
      <c r="BE15" s="2"/>
      <c r="BF15" s="2"/>
    </row>
    <row r="16" spans="1:58" x14ac:dyDescent="0.25">
      <c r="F16" t="e">
        <f t="array" ref="F16">SMALL(IF('Raw Data'!A:A=C3,ROW('Raw Data'!A:A)),ROW('Raw Data'!$13:$13))</f>
        <v>#NUM!</v>
      </c>
      <c r="G16" t="e">
        <f t="array" ref="G16">INDEX('Raw Data'!$A:$AA,F16,9)</f>
        <v>#NUM!</v>
      </c>
      <c r="H16" t="e">
        <f t="array" ref="H16">INDEX('Raw Data'!A:AA,F16,10)</f>
        <v>#NUM!</v>
      </c>
      <c r="I16" t="e">
        <f t="array" ref="I16">INDEX('Raw Data'!$A:AA,$F16,11)</f>
        <v>#NUM!</v>
      </c>
      <c r="J16" t="e">
        <f t="array" ref="J16">INDEX('Raw Data'!$A:AA,F16,12)</f>
        <v>#NUM!</v>
      </c>
      <c r="K16" t="e">
        <f t="array" ref="K16">(--INDEX('Raw Data'!$A$4:AA$998,F16,4))</f>
        <v>#NUM!</v>
      </c>
      <c r="L16" t="e">
        <f t="array" ref="L16">(--INDEX('Raw Data'!$A$4:AA$998,F16,5))</f>
        <v>#NUM!</v>
      </c>
      <c r="M16" t="e">
        <f t="array" ref="M16">(--INDEX('Raw Data'!$A$4:AA$998,$F16,6))</f>
        <v>#NUM!</v>
      </c>
      <c r="N16" t="e">
        <f t="array" ref="N16">(--INDEX('Raw Data'!$A$4:AA$998,$F16,7))</f>
        <v>#NUM!</v>
      </c>
      <c r="O16" t="e">
        <f t="array" ref="O16">IF(--INDEX('Raw Data'!$A$4:AA$998,$F16,8)= 0, 1, 0)</f>
        <v>#NUM!</v>
      </c>
      <c r="P16" t="e">
        <f t="array" ref="P16">IF(--INDEX('Raw Data'!$A$4:AA$998,$F16,8)= 1, 1, 0)</f>
        <v>#NUM!</v>
      </c>
      <c r="Q16" t="e">
        <f t="array" ref="Q16">IF(--INDEX('Raw Data'!$A$4:AA$998,$F16,13)= 1, 1, 0)</f>
        <v>#NUM!</v>
      </c>
      <c r="R16" t="e">
        <f t="array" ref="R16">IF(--INDEX('Raw Data'!$A$4:AA$998,$F16,14)= 1, 1, 0)</f>
        <v>#NUM!</v>
      </c>
      <c r="S16" t="e">
        <f t="array" ref="S16">IF(--INDEX('Raw Data'!$A$4:AA$998,$F16,15)= 1, 1, 0)</f>
        <v>#NUM!</v>
      </c>
      <c r="T16" t="e">
        <f t="array" ref="T16">IF(--INDEX('Raw Data'!$A$4:AA$998,$F16,15)= 1, 1, 0)</f>
        <v>#NUM!</v>
      </c>
      <c r="U16" t="e">
        <f t="array" ref="U16">IF(--INDEX('Raw Data'!$A$4:AA$998,$F16,16)= 1, 1, 0)</f>
        <v>#NUM!</v>
      </c>
      <c r="V16" t="e">
        <f t="array" ref="V16">IF(--INDEX('Raw Data'!$A$4:AA$998,$F16,17)= 1, 1, 0)</f>
        <v>#NUM!</v>
      </c>
      <c r="W16" t="e">
        <f t="array" ref="W16">INDEX('Raw Data'!$A:$AA,$F16,19)</f>
        <v>#NUM!</v>
      </c>
      <c r="X16" t="e">
        <f t="array" ref="X16">INDEX('Raw Data'!$A:$AA,$F16,20)</f>
        <v>#NUM!</v>
      </c>
      <c r="Y16" t="e">
        <f t="array" ref="Y16">INDEX('Raw Data'!$A:$AA,F16,21)</f>
        <v>#NUM!</v>
      </c>
      <c r="Z16" t="e">
        <f t="array" ref="Z16">INDEX('Raw Data'!$A:$AA,$F16,3)</f>
        <v>#NUM!</v>
      </c>
      <c r="AA16" t="e">
        <f t="array" ref="AA16">INDEX('Raw Data'!$A:$AA,$F16,22)</f>
        <v>#NUM!</v>
      </c>
      <c r="AB16" t="e">
        <f t="array" ref="AB16">INDEX('Raw Data'!$A:$AA,$F16,23)</f>
        <v>#NUM!</v>
      </c>
      <c r="BA16" s="2"/>
      <c r="BB16" s="2"/>
      <c r="BC16" s="2"/>
      <c r="BD16" s="2"/>
      <c r="BE16" s="2"/>
      <c r="BF16" s="2"/>
    </row>
    <row r="17" spans="1:58" x14ac:dyDescent="0.25">
      <c r="F17" t="e">
        <f t="array" ref="F17">SMALL(IF('Raw Data'!A:A=C3,ROW('Raw Data'!A:A)),ROW('Raw Data'!$14:$14))</f>
        <v>#NUM!</v>
      </c>
      <c r="G17" t="e">
        <f t="array" ref="G17">INDEX('Raw Data'!$A:$AA,F17,9)</f>
        <v>#NUM!</v>
      </c>
      <c r="H17" t="e">
        <f t="array" ref="H17">INDEX('Raw Data'!A:AA,F17,10)</f>
        <v>#NUM!</v>
      </c>
      <c r="I17" t="e">
        <f t="array" ref="I17">INDEX('Raw Data'!$A:AA,$F17,11)</f>
        <v>#NUM!</v>
      </c>
      <c r="J17" t="e">
        <f t="array" ref="J17">INDEX('Raw Data'!$A:AA,F17,12)</f>
        <v>#NUM!</v>
      </c>
      <c r="K17" t="e">
        <f t="array" ref="K17">(--INDEX('Raw Data'!$A$4:AA$998,F17,4))</f>
        <v>#NUM!</v>
      </c>
      <c r="L17" t="e">
        <f t="array" ref="L17">(--INDEX('Raw Data'!$A$4:AA$998,F17,5))</f>
        <v>#NUM!</v>
      </c>
      <c r="M17" t="e">
        <f t="array" ref="M17">(--INDEX('Raw Data'!$A$4:AA$998,$F17,6))</f>
        <v>#NUM!</v>
      </c>
      <c r="N17" t="e">
        <f t="array" ref="N17">(--INDEX('Raw Data'!$A$4:AA$998,$F17,7))</f>
        <v>#NUM!</v>
      </c>
      <c r="O17" t="e">
        <f t="array" ref="O17">IF(--INDEX('Raw Data'!$A$4:AA$998,$F17,8)= 0, 1, 0)</f>
        <v>#NUM!</v>
      </c>
      <c r="P17" t="e">
        <f t="array" ref="P17">IF(--INDEX('Raw Data'!$A$4:AA$998,$F17,8)= 1, 1, 0)</f>
        <v>#NUM!</v>
      </c>
      <c r="Q17" t="e">
        <f t="array" ref="Q17">IF(--INDEX('Raw Data'!$A$4:AA$998,$F17,13)= 1, 1, 0)</f>
        <v>#NUM!</v>
      </c>
      <c r="R17" t="e">
        <f t="array" ref="R17">IF(--INDEX('Raw Data'!$A$4:AA$998,$F17,14)= 1, 1, 0)</f>
        <v>#NUM!</v>
      </c>
      <c r="S17" t="e">
        <f t="array" ref="S17">IF(--INDEX('Raw Data'!$A$4:AA$998,$F17,15)= 1, 1, 0)</f>
        <v>#NUM!</v>
      </c>
      <c r="T17" t="e">
        <f t="array" ref="T17">IF(--INDEX('Raw Data'!$A$4:AA$998,$F17,15)= 1, 1, 0)</f>
        <v>#NUM!</v>
      </c>
      <c r="U17" t="e">
        <f t="array" ref="U17">IF(--INDEX('Raw Data'!$A$4:AA$998,$F17,16)= 1, 1, 0)</f>
        <v>#NUM!</v>
      </c>
      <c r="V17" t="e">
        <f t="array" ref="V17">IF(--INDEX('Raw Data'!$A$4:AA$998,$F17,17)= 1, 1, 0)</f>
        <v>#NUM!</v>
      </c>
      <c r="W17" t="e">
        <f t="array" ref="W17">INDEX('Raw Data'!$A:$AA,$F17,19)</f>
        <v>#NUM!</v>
      </c>
      <c r="X17" t="e">
        <f t="array" ref="X17">INDEX('Raw Data'!$A:$AA,$F17,20)</f>
        <v>#NUM!</v>
      </c>
      <c r="Y17" t="e">
        <f t="array" ref="Y17">INDEX('Raw Data'!$A:$AA,F17,21)</f>
        <v>#NUM!</v>
      </c>
      <c r="Z17" t="e">
        <f t="array" ref="Z17">INDEX('Raw Data'!$A:$AA,$F17,3)</f>
        <v>#NUM!</v>
      </c>
      <c r="AA17" t="e">
        <f t="array" ref="AA17">INDEX('Raw Data'!$A:$AA,$F17,22)</f>
        <v>#NUM!</v>
      </c>
      <c r="AB17" t="e">
        <f t="array" ref="AB17">INDEX('Raw Data'!$A:$AA,$F17,23)</f>
        <v>#NUM!</v>
      </c>
      <c r="BA17" s="2"/>
      <c r="BB17" s="2"/>
      <c r="BC17" s="2"/>
      <c r="BD17" s="2"/>
      <c r="BE17" s="2"/>
      <c r="BF17" s="2"/>
    </row>
    <row r="18" spans="1:58" x14ac:dyDescent="0.25">
      <c r="F18" t="e">
        <f t="array" ref="F18">SMALL(IF('Raw Data'!A:A=C3,ROW('Raw Data'!A:A)),ROW('Raw Data'!$15:$15))</f>
        <v>#NUM!</v>
      </c>
      <c r="G18" t="e">
        <f t="array" ref="G18">INDEX('Raw Data'!$A:$AA,F18,9)</f>
        <v>#NUM!</v>
      </c>
      <c r="H18" t="e">
        <f t="array" ref="H18">INDEX('Raw Data'!A:AA,F18,10)</f>
        <v>#NUM!</v>
      </c>
      <c r="I18" t="e">
        <f t="array" ref="I18">INDEX('Raw Data'!$A:AA,$F18,11)</f>
        <v>#NUM!</v>
      </c>
      <c r="J18" t="e">
        <f t="array" ref="J18">INDEX('Raw Data'!$A:AA,F18,12)</f>
        <v>#NUM!</v>
      </c>
      <c r="K18" t="e">
        <f t="array" ref="K18">(--INDEX('Raw Data'!$A$4:AA$998,F18,4))</f>
        <v>#NUM!</v>
      </c>
      <c r="L18" t="e">
        <f t="array" ref="L18">(--INDEX('Raw Data'!$A$4:AA$998,F18,5))</f>
        <v>#NUM!</v>
      </c>
      <c r="M18" t="e">
        <f t="array" ref="M18">(--INDEX('Raw Data'!$A$4:AA$998,$F18,6))</f>
        <v>#NUM!</v>
      </c>
      <c r="N18" t="e">
        <f t="array" ref="N18">(--INDEX('Raw Data'!$A$4:AA$998,$F18,7))</f>
        <v>#NUM!</v>
      </c>
      <c r="O18" t="e">
        <f t="array" ref="O18">IF(--INDEX('Raw Data'!$A$4:AA$998,$F18,8)= 0, 1, 0)</f>
        <v>#NUM!</v>
      </c>
      <c r="P18" t="e">
        <f t="array" ref="P18">IF(--INDEX('Raw Data'!$A$4:AA$998,$F18,8)= 1, 1, 0)</f>
        <v>#NUM!</v>
      </c>
      <c r="Q18" t="e">
        <f t="array" ref="Q18">IF(--INDEX('Raw Data'!$A$4:AA$998,$F18,13)= 1, 1, 0)</f>
        <v>#NUM!</v>
      </c>
      <c r="R18" t="e">
        <f t="array" ref="R18">IF(--INDEX('Raw Data'!$A$4:AA$998,$F18,14)= 1, 1, 0)</f>
        <v>#NUM!</v>
      </c>
      <c r="S18" t="e">
        <f t="array" ref="S18">IF(--INDEX('Raw Data'!$A$4:AA$998,$F18,15)= 1, 1, 0)</f>
        <v>#NUM!</v>
      </c>
      <c r="T18" t="e">
        <f t="array" ref="T18">IF(--INDEX('Raw Data'!$A$4:AA$998,$F18,15)= 1, 1, 0)</f>
        <v>#NUM!</v>
      </c>
      <c r="U18" t="e">
        <f t="array" ref="U18">IF(--INDEX('Raw Data'!$A$4:AA$998,$F18,16)= 1, 1, 0)</f>
        <v>#NUM!</v>
      </c>
      <c r="V18" t="e">
        <f t="array" ref="V18">IF(--INDEX('Raw Data'!$A$4:AA$998,$F18,17)= 1, 1, 0)</f>
        <v>#NUM!</v>
      </c>
      <c r="W18" t="e">
        <f t="array" ref="W18">INDEX('Raw Data'!$A:$AA,$F18,19)</f>
        <v>#NUM!</v>
      </c>
      <c r="X18" t="e">
        <f t="array" ref="X18">INDEX('Raw Data'!$A:$AA,$F18,20)</f>
        <v>#NUM!</v>
      </c>
      <c r="Y18" t="e">
        <f t="array" ref="Y18">INDEX('Raw Data'!$A:$AA,F18,21)</f>
        <v>#NUM!</v>
      </c>
      <c r="Z18" t="e">
        <f t="array" ref="Z18">INDEX('Raw Data'!$A:$AA,$F18,3)</f>
        <v>#NUM!</v>
      </c>
      <c r="AA18" t="e">
        <f t="array" ref="AA18">INDEX('Raw Data'!$A:$AA,$F18,22)</f>
        <v>#NUM!</v>
      </c>
      <c r="AB18" t="e">
        <f t="array" ref="AB18">INDEX('Raw Data'!$A:$AA,$F18,23)</f>
        <v>#NUM!</v>
      </c>
      <c r="BA18" s="2"/>
      <c r="BB18" s="2"/>
      <c r="BC18" s="2"/>
      <c r="BD18" s="2"/>
      <c r="BE18" s="2"/>
      <c r="BF18" s="2"/>
    </row>
    <row r="19" spans="1:58" x14ac:dyDescent="0.25">
      <c r="A19" t="s">
        <v>55</v>
      </c>
      <c r="C19" s="2">
        <f>B9/B8</f>
        <v>1</v>
      </c>
      <c r="F19">
        <f t="array" ref="F19">COUNTIF(F4:F18,"&gt;0")</f>
        <v>2</v>
      </c>
      <c r="G19">
        <f t="array" ref="G19">SUMIF(G4:G18,"&gt;0")</f>
        <v>1</v>
      </c>
      <c r="H19">
        <f t="array" ref="H19">SUMIF(H4:H18,"&gt;0")</f>
        <v>5</v>
      </c>
      <c r="I19">
        <f t="array" ref="I19">SUMIF(I4:I18,"&gt;0")</f>
        <v>2</v>
      </c>
      <c r="J19">
        <f t="array" ref="J19">SUMIF(J4:J18,"&gt;0")</f>
        <v>2</v>
      </c>
      <c r="K19">
        <f t="array" ref="K19">SUMIF(K4:K18,"&gt;0")</f>
        <v>0</v>
      </c>
      <c r="L19">
        <f t="array" ref="L19">SUMIF(L4:L18,"&gt;0")</f>
        <v>0</v>
      </c>
      <c r="M19">
        <f t="array" ref="M19">SUMIF(M4:M18,"&gt;0")</f>
        <v>0</v>
      </c>
      <c r="N19">
        <f t="array" ref="N19">SUMIF(N4:N18,"&gt;0")</f>
        <v>0</v>
      </c>
      <c r="O19">
        <f t="array" ref="O19">SUMIF(O4:O18,"&gt;0")</f>
        <v>2</v>
      </c>
      <c r="P19">
        <f t="array" ref="P19">SUMIF(P4:P18,"&gt;0")</f>
        <v>0</v>
      </c>
      <c r="Q19">
        <f t="array" ref="Q19">SUMIF(Q4:Q18,"&gt;0")</f>
        <v>0</v>
      </c>
      <c r="R19">
        <f t="array" ref="R19">SUMIF(R4:R18,"&gt;0")</f>
        <v>0</v>
      </c>
      <c r="S19">
        <f t="array" ref="S19">SUMIF(S4:S18,"&gt;0")</f>
        <v>0</v>
      </c>
      <c r="T19">
        <f t="array" ref="T19">SUMIF(T4:T18,"&gt;0")</f>
        <v>0</v>
      </c>
      <c r="U19">
        <f t="array" ref="U19">SUMIF(U4:U18,"&gt;0")</f>
        <v>0</v>
      </c>
      <c r="V19">
        <f t="array" ref="V19">SUMIF(V4:V18,"&gt;0")</f>
        <v>0</v>
      </c>
      <c r="W19">
        <f t="array" ref="W19">SUMIF(W4:W18,"&gt;0")</f>
        <v>2</v>
      </c>
      <c r="X19">
        <f t="array" ref="X19">SUMIF(X4:X18,"&gt;0")</f>
        <v>1</v>
      </c>
      <c r="Y19">
        <f t="array" ref="Y19">SUMIF(Y4:Y18,"&gt;0")</f>
        <v>1</v>
      </c>
      <c r="Z19">
        <f t="array" ref="Z19">SUMIF(Z4:Z18,"&gt;0")</f>
        <v>1</v>
      </c>
      <c r="AA19">
        <f t="array" ref="AA19">SUMIF(AA4:AA18,"&gt;0")</f>
        <v>0</v>
      </c>
      <c r="AB19">
        <f t="array" ref="AB19">SUMIF(AB4:AB18,"&gt;0")</f>
        <v>0</v>
      </c>
      <c r="BA19" s="2"/>
      <c r="BB19" s="2"/>
      <c r="BC19" s="2"/>
      <c r="BD19" s="2"/>
      <c r="BE19" s="2"/>
      <c r="BF19" s="2"/>
    </row>
    <row r="20" spans="1:58" x14ac:dyDescent="0.25">
      <c r="A20" t="s">
        <v>58</v>
      </c>
      <c r="C20" s="2">
        <f>IF((K19+L19)&lt;&gt;0, (L19/(K19+L19)),0)</f>
        <v>0</v>
      </c>
      <c r="J20" s="6">
        <f>J19*10</f>
        <v>20</v>
      </c>
      <c r="P20" t="s">
        <v>95</v>
      </c>
      <c r="Q20" s="2">
        <f>Q19/$F$19</f>
        <v>0</v>
      </c>
      <c r="R20" s="2">
        <f>R19/$F$19</f>
        <v>0</v>
      </c>
      <c r="S20" s="2">
        <f t="array" ref="S20">S19/$F$19</f>
        <v>0</v>
      </c>
      <c r="T20" s="2">
        <f t="array" ref="T20">T19/$F$19</f>
        <v>0</v>
      </c>
      <c r="U20" s="2">
        <f t="array" ref="U20">U19/$F$19</f>
        <v>0</v>
      </c>
      <c r="V20" s="2">
        <f t="array" ref="V20">V19/$F$19</f>
        <v>0</v>
      </c>
      <c r="W20" s="2">
        <f t="array" ref="W20">W19/$F$19</f>
        <v>1</v>
      </c>
      <c r="X20" s="2">
        <f t="array" ref="X20">X19/$F$19</f>
        <v>0.5</v>
      </c>
      <c r="Z20" s="2">
        <f t="array" ref="Z20">Z19/F19</f>
        <v>0.5</v>
      </c>
      <c r="AA20" s="8">
        <f t="array" ref="AA20">AA19/F19</f>
        <v>0</v>
      </c>
      <c r="AB20" s="2">
        <f t="array" ref="AB20">AB19/F19</f>
        <v>0</v>
      </c>
      <c r="BA20" s="2"/>
      <c r="BB20" s="2"/>
      <c r="BC20" s="2"/>
      <c r="BD20" s="2"/>
      <c r="BE20" s="2"/>
      <c r="BF20" s="2"/>
    </row>
    <row r="21" spans="1:58" x14ac:dyDescent="0.25">
      <c r="A21" t="s">
        <v>60</v>
      </c>
      <c r="C21" s="2">
        <f t="array" ref="C21">IF((M19+N19)&lt;&gt;0, (N19/(M19+N19)),0)</f>
        <v>0</v>
      </c>
      <c r="AA21" s="1"/>
      <c r="BA21" s="2"/>
      <c r="BB21" s="2"/>
      <c r="BC21" s="2"/>
      <c r="BD21" s="2"/>
      <c r="BE21" s="2"/>
      <c r="BF21" s="2"/>
    </row>
    <row r="22" spans="1:58" ht="28.5" x14ac:dyDescent="0.45">
      <c r="A22" t="s">
        <v>61</v>
      </c>
      <c r="C22" s="2">
        <f t="array" ref="C22">IF(((K19+N19+L19+M19)&lt;&gt;0), ((L19+N19)/(K19+N19+L19+M19)),0)</f>
        <v>0</v>
      </c>
      <c r="D22" s="2"/>
      <c r="F22" s="18" t="s">
        <v>106</v>
      </c>
      <c r="G22" s="17">
        <f t="array" ref="G22">'Weighting &amp; Ranking Sheet'!$B$3*Math!$C20+'Weighting &amp; Ranking Sheet'!$B$4*Math!$C21+'Weighting &amp; Ranking Sheet'!$B$5*Math!$C22+'Weighting &amp; Ranking Sheet'!$B$6*Math!$C23+'Weighting &amp; Ranking Sheet'!$B$7*Math!$C7+'Weighting &amp; Ranking Sheet'!$B$8*Math!$C19+'Weighting &amp; Ranking Sheet'!$B$9*Math!$C26+'Weighting &amp; Ranking Sheet'!$B$10*Math!$C24+'Weighting &amp; Ranking Sheet'!$B$11*Math!$C25+'Weighting &amp; Ranking Sheet'!$B$12*Math!$C27*0.01+'Weighting &amp; Ranking Sheet'!$B$13*Math!$Q20+'Weighting &amp; Ranking Sheet'!$B$14*Math!$R20+'Weighting &amp; Ranking Sheet'!$B$15*Math!$S20+'Weighting &amp; Ranking Sheet'!$B$16*Math!$T20+'Weighting &amp; Ranking Sheet'!$B$17*Math!$U20+'Weighting &amp; Ranking Sheet'!$B$18*Math!$V20+'Weighting &amp; Ranking Sheet'!$B$2*Math!$Z20+'Weighting &amp; Ranking Sheet'!B19*(Math!AA20/100)</f>
        <v>64.55</v>
      </c>
      <c r="J22"/>
      <c r="K22"/>
      <c r="P22" s="1"/>
      <c r="AA22" s="1"/>
      <c r="AH22" s="6"/>
      <c r="AR22" s="23"/>
      <c r="BA22" s="2"/>
      <c r="BB22" s="2"/>
      <c r="BC22" s="2"/>
      <c r="BD22" s="2"/>
      <c r="BE22" s="2"/>
      <c r="BF22" s="2"/>
    </row>
    <row r="23" spans="1:58" x14ac:dyDescent="0.25">
      <c r="A23" t="s">
        <v>62</v>
      </c>
      <c r="C23" s="2">
        <f t="array" ref="C23">IF((O19+P19&lt;&gt;0),(P19/(O19+P19)), 0)</f>
        <v>0</v>
      </c>
      <c r="J23"/>
      <c r="K23"/>
      <c r="AA23" s="1"/>
      <c r="AR23" s="23"/>
      <c r="AT23" s="24"/>
      <c r="BA23" s="2"/>
      <c r="BB23" s="2"/>
      <c r="BC23" s="2"/>
      <c r="BD23" s="2"/>
      <c r="BE23" s="2"/>
      <c r="BF23" s="2"/>
    </row>
    <row r="24" spans="1:58" x14ac:dyDescent="0.25">
      <c r="A24" t="s">
        <v>93</v>
      </c>
      <c r="C24" s="8">
        <f t="array" ref="C24">W19/F19</f>
        <v>1</v>
      </c>
      <c r="J24"/>
      <c r="K24"/>
      <c r="AA24" s="1"/>
      <c r="AR24" s="23"/>
      <c r="BA24" s="2"/>
      <c r="BB24" s="2"/>
      <c r="BC24" s="2"/>
      <c r="BD24" s="2"/>
      <c r="BE24" s="2"/>
      <c r="BF24" s="2"/>
    </row>
    <row r="25" spans="1:58" x14ac:dyDescent="0.25">
      <c r="A25" t="s">
        <v>78</v>
      </c>
      <c r="C25" s="8">
        <f t="array" ref="C25">X19/F19</f>
        <v>0.5</v>
      </c>
      <c r="J25"/>
      <c r="K25"/>
      <c r="AA25" s="1"/>
      <c r="BA25" s="2"/>
      <c r="BB25" s="2"/>
      <c r="BC25" s="2"/>
      <c r="BD25" s="2"/>
      <c r="BE25" s="2"/>
      <c r="BF25" s="2"/>
    </row>
    <row r="26" spans="1:58" x14ac:dyDescent="0.25">
      <c r="A26" t="s">
        <v>91</v>
      </c>
      <c r="C26" s="2">
        <f t="array" ref="C26">(C7+C19)/2</f>
        <v>3</v>
      </c>
      <c r="J26"/>
      <c r="K26"/>
      <c r="AA26" s="1"/>
      <c r="BA26" s="2"/>
      <c r="BB26" s="2"/>
      <c r="BC26" s="2"/>
      <c r="BD26" s="2"/>
      <c r="BE26" s="2"/>
      <c r="BF26" s="2"/>
    </row>
    <row r="27" spans="1:58" x14ac:dyDescent="0.25">
      <c r="A27" t="s">
        <v>92</v>
      </c>
      <c r="C27" s="8">
        <f t="array" ref="C27">Y19/F19</f>
        <v>0.5</v>
      </c>
      <c r="AA27" s="1"/>
      <c r="BA27" s="2"/>
      <c r="BB27" s="2"/>
      <c r="BC27" s="2"/>
      <c r="BD27" s="2"/>
      <c r="BE27" s="2"/>
      <c r="BF27" s="2"/>
    </row>
    <row r="28" spans="1:58" x14ac:dyDescent="0.25">
      <c r="C28" s="2"/>
      <c r="AA28" s="1"/>
      <c r="BA28" s="2"/>
      <c r="BB28" s="2"/>
      <c r="BC28" s="2"/>
      <c r="BD28" s="2"/>
      <c r="BE28" s="2"/>
      <c r="BF28" s="2"/>
    </row>
    <row r="29" spans="1:58" x14ac:dyDescent="0.25">
      <c r="C29" s="4"/>
      <c r="K29" s="6"/>
      <c r="AA29" s="1"/>
      <c r="BA29" s="2"/>
      <c r="BB29" s="2"/>
      <c r="BC29" s="2"/>
      <c r="BD29" s="2"/>
      <c r="BE29" s="2"/>
      <c r="BF29" s="2"/>
    </row>
    <row r="30" spans="1:58" x14ac:dyDescent="0.25">
      <c r="C30" s="4"/>
      <c r="K30" s="6"/>
      <c r="AA30" s="1"/>
      <c r="BA30" s="2"/>
      <c r="BB30" s="2"/>
      <c r="BC30" s="2"/>
      <c r="BD30" s="2"/>
      <c r="BE30" s="2"/>
      <c r="BF30" s="2"/>
    </row>
    <row r="31" spans="1:58" x14ac:dyDescent="0.25">
      <c r="A31" t="s">
        <v>3</v>
      </c>
      <c r="C31" s="5">
        <v>1640</v>
      </c>
      <c r="F31" t="s">
        <v>5</v>
      </c>
      <c r="AA31" s="1"/>
      <c r="BA31" s="2"/>
      <c r="BB31" s="2"/>
      <c r="BC31" s="2"/>
      <c r="BD31" s="2"/>
      <c r="BE31" s="2"/>
      <c r="BF31" s="2"/>
    </row>
    <row r="32" spans="1:58" x14ac:dyDescent="0.25">
      <c r="F32" t="e">
        <f t="array" ref="F32">SMALL(IF('Raw Data'!A:A=C31,ROW('Raw Data'!A:A)),ROW('Raw Data'!$1:$1))</f>
        <v>#NUM!</v>
      </c>
      <c r="G32" t="e">
        <f t="array" ref="G32">INDEX('Raw Data'!A:A,F32,9)</f>
        <v>#NUM!</v>
      </c>
      <c r="H32" t="e">
        <f t="array" ref="H32">INDEX('Raw Data'!A:A,F32,10)</f>
        <v>#NUM!</v>
      </c>
      <c r="I32" t="e">
        <f t="array" ref="I32">INDEX('Raw Data'!$A:A,$F32,11)</f>
        <v>#NUM!</v>
      </c>
      <c r="J32" t="e">
        <f t="array" ref="J32">INDEX('Raw Data'!$A:A,F32,12)</f>
        <v>#NUM!</v>
      </c>
      <c r="K32" t="e">
        <f>(--INDEX('Raw Data'!$A$4:B$993,F32,4))</f>
        <v>#NUM!</v>
      </c>
      <c r="L32" t="e">
        <f t="array" ref="L32">(--INDEX('Raw Data'!$A$4:B$993,F32,5))</f>
        <v>#NUM!</v>
      </c>
      <c r="M32" t="e">
        <f t="array" ref="M32">(--INDEX('Raw Data'!$A$4:D$993,$F32,6))</f>
        <v>#NUM!</v>
      </c>
      <c r="N32" t="e">
        <f t="array" ref="N32">(--INDEX('Raw Data'!$A$4:D$993,$F32,7))</f>
        <v>#NUM!</v>
      </c>
      <c r="O32" t="e">
        <f t="array" ref="O32">IF(--INDEX('Raw Data'!$A$4:E$993,$F32,8)= 0, 1, 0)</f>
        <v>#NUM!</v>
      </c>
      <c r="P32" t="e">
        <f t="array" ref="P32">IF(--INDEX('Raw Data'!$A$4:F$993,$F32,8)= 1, 1, 0)</f>
        <v>#NUM!</v>
      </c>
      <c r="Q32" t="e">
        <f t="array" ref="Q32">IF(--INDEX('Raw Data'!$A$4:G$993,$F32,13)= 1, 1, 0)</f>
        <v>#NUM!</v>
      </c>
      <c r="R32" t="e">
        <f t="array" ref="R32">IF(--INDEX('Raw Data'!$A$4:H$993,$F32,14)= 1, 1, 0)</f>
        <v>#NUM!</v>
      </c>
      <c r="S32" t="e">
        <f t="array" ref="S32">IF(--INDEX('Raw Data'!$A$4:I$993,$F32,15)= 1, 1, 0)</f>
        <v>#NUM!</v>
      </c>
      <c r="T32" t="e">
        <f t="array" ref="T32">IF(--INDEX('Raw Data'!$A$4:I$993,$F32,15)= 1, 1, 0)</f>
        <v>#NUM!</v>
      </c>
      <c r="U32" t="e">
        <f t="array" ref="U32">IF(--INDEX('Raw Data'!$A$4:J$993,$F32,16)= 1, 1, 0)</f>
        <v>#NUM!</v>
      </c>
      <c r="V32" t="e">
        <f t="array" ref="V32">IF(--INDEX('Raw Data'!$A$4:K$993,$F32,17)= 1, 1, 0)</f>
        <v>#NUM!</v>
      </c>
      <c r="W32" t="e">
        <f t="array" ref="W32">INDEX('Raw Data'!$A:$O,$F32,19)</f>
        <v>#NUM!</v>
      </c>
      <c r="X32" t="e">
        <f t="array" ref="X32">INDEX('Raw Data'!$A:$O,$F32,20)</f>
        <v>#NUM!</v>
      </c>
      <c r="Y32" t="e">
        <f t="array" ref="Y32">INDEX('Raw Data'!$A:$O,F32,21)</f>
        <v>#NUM!</v>
      </c>
      <c r="Z32" t="e">
        <f t="array" ref="Z32">INDEX('Raw Data'!$A:$O,$F32,3)</f>
        <v>#NUM!</v>
      </c>
      <c r="AA32" t="e">
        <f t="array" ref="AA32">INDEX('Raw Data'!$A:$O,$F32,22)</f>
        <v>#NUM!</v>
      </c>
      <c r="AB32" t="e">
        <f t="array" ref="AB32">INDEX('Raw Data'!$A:$O,$F32,23)</f>
        <v>#NUM!</v>
      </c>
      <c r="BA32" s="2"/>
      <c r="BB32" s="2"/>
      <c r="BC32" s="2"/>
      <c r="BD32" s="2"/>
      <c r="BE32" s="2"/>
      <c r="BF32" s="2"/>
    </row>
    <row r="33" spans="1:58" x14ac:dyDescent="0.25">
      <c r="A33" t="s">
        <v>0</v>
      </c>
      <c r="B33">
        <f>G47</f>
        <v>0</v>
      </c>
      <c r="F33" t="e">
        <f t="array" ref="F33">SMALL(IF('Raw Data'!A:A=C31,ROW('Raw Data'!A:A)),ROW('Raw Data'!$2:$2))</f>
        <v>#NUM!</v>
      </c>
      <c r="G33" t="e">
        <f t="array" ref="G33">INDEX('Raw Data'!A:A,F33,9)</f>
        <v>#NUM!</v>
      </c>
      <c r="H33" t="e">
        <f t="array" ref="H33">INDEX('Raw Data'!A:A,F33,10)</f>
        <v>#NUM!</v>
      </c>
      <c r="I33" t="e">
        <f t="array" ref="I33">INDEX('Raw Data'!$A:A,$F33,11)</f>
        <v>#NUM!</v>
      </c>
      <c r="J33" t="e">
        <f t="array" ref="J33">INDEX('Raw Data'!$A:A,F33,12)</f>
        <v>#NUM!</v>
      </c>
      <c r="K33" t="e">
        <f>(--INDEX('Raw Data'!$A$4:B$993,F33,4))</f>
        <v>#NUM!</v>
      </c>
      <c r="L33" t="e">
        <f t="array" ref="L33">(--INDEX('Raw Data'!$A$4:B$993,F33,5))</f>
        <v>#NUM!</v>
      </c>
      <c r="M33" t="e">
        <f t="array" ref="M33">(--INDEX('Raw Data'!$A$4:D$993,$F33,6))</f>
        <v>#NUM!</v>
      </c>
      <c r="N33" t="e">
        <f t="array" ref="N33">(--INDEX('Raw Data'!$A$4:D$993,$F33,7))</f>
        <v>#NUM!</v>
      </c>
      <c r="O33" t="e">
        <f t="array" ref="O33">IF(--INDEX('Raw Data'!$A$4:E$993,$F33,8)= 0, 1, 0)</f>
        <v>#NUM!</v>
      </c>
      <c r="P33" t="e">
        <f t="array" ref="P33">IF(--INDEX('Raw Data'!$A$4:F$993,$F33,8)= 1, 1, 0)</f>
        <v>#NUM!</v>
      </c>
      <c r="Q33" t="e">
        <f t="array" ref="Q33">IF(--INDEX('Raw Data'!$A$4:G$993,$F33,13)= 1, 1, 0)</f>
        <v>#NUM!</v>
      </c>
      <c r="R33" t="e">
        <f t="array" ref="R33">IF(--INDEX('Raw Data'!$A$4:H$993,$F33,14)= 1, 1, 0)</f>
        <v>#NUM!</v>
      </c>
      <c r="S33" t="e">
        <f t="array" ref="S33">IF(--INDEX('Raw Data'!$A$4:I$993,$F33,15)= 1, 1, 0)</f>
        <v>#NUM!</v>
      </c>
      <c r="T33" t="e">
        <f t="array" ref="T33">IF(--INDEX('Raw Data'!$A$4:I$993,$F33,15)= 1, 1, 0)</f>
        <v>#NUM!</v>
      </c>
      <c r="U33" t="e">
        <f t="array" ref="U33">IF(--INDEX('Raw Data'!$A$4:J$993,$F33,16)= 1, 1, 0)</f>
        <v>#NUM!</v>
      </c>
      <c r="V33" t="e">
        <f t="array" ref="V33">IF(--INDEX('Raw Data'!$A$4:K$993,$F33,17)= 1, 1, 0)</f>
        <v>#NUM!</v>
      </c>
      <c r="W33" t="e">
        <f t="array" ref="W33">INDEX('Raw Data'!$A:$O,$F33,19)</f>
        <v>#NUM!</v>
      </c>
      <c r="X33" t="e">
        <f t="array" ref="X33">INDEX('Raw Data'!$A:$O,$F33,20)</f>
        <v>#NUM!</v>
      </c>
      <c r="Y33" t="e">
        <f t="array" ref="Y33">INDEX('Raw Data'!$A:$O,F33,21)</f>
        <v>#NUM!</v>
      </c>
      <c r="Z33" t="e">
        <f t="array" ref="Z33">INDEX('Raw Data'!$A:$O,$F33,3)</f>
        <v>#NUM!</v>
      </c>
      <c r="AA33" t="e">
        <f t="array" ref="AA33">INDEX('Raw Data'!$A:$O,$F33,22)</f>
        <v>#NUM!</v>
      </c>
      <c r="AB33" t="e">
        <f t="array" ref="AB33">INDEX('Raw Data'!$A:$O,$F33,23)</f>
        <v>#NUM!</v>
      </c>
      <c r="BA33" s="2"/>
      <c r="BB33" s="2"/>
      <c r="BC33" s="2"/>
      <c r="BD33" s="2"/>
      <c r="BE33" s="2"/>
      <c r="BF33" s="2"/>
    </row>
    <row r="34" spans="1:58" x14ac:dyDescent="0.25">
      <c r="A34" t="s">
        <v>1</v>
      </c>
      <c r="B34">
        <f>H47</f>
        <v>0</v>
      </c>
      <c r="F34" t="e">
        <f t="array" ref="F34">SMALL(IF('Raw Data'!A:A=C31,ROW('Raw Data'!A:A)),ROW('Raw Data'!$3:$3))</f>
        <v>#NUM!</v>
      </c>
      <c r="G34" t="e">
        <f t="array" ref="G34">INDEX('Raw Data'!A:A,F34,9)</f>
        <v>#NUM!</v>
      </c>
      <c r="H34" t="e">
        <f t="array" ref="H34">INDEX('Raw Data'!A:A,F34,10)</f>
        <v>#NUM!</v>
      </c>
      <c r="I34" t="e">
        <f t="array" ref="I34">INDEX('Raw Data'!$A:A,$F34,11)</f>
        <v>#NUM!</v>
      </c>
      <c r="J34" t="e">
        <f t="array" ref="J34">INDEX('Raw Data'!$A:A,F34,12)</f>
        <v>#NUM!</v>
      </c>
      <c r="K34" t="e">
        <f>(--INDEX('Raw Data'!$A$4:B$993,F34,4))</f>
        <v>#NUM!</v>
      </c>
      <c r="L34" t="e">
        <f t="array" ref="L34">(--INDEX('Raw Data'!$A$4:B$993,F34,5))</f>
        <v>#NUM!</v>
      </c>
      <c r="M34" t="e">
        <f t="array" ref="M34">(--INDEX('Raw Data'!$A$4:D$993,$F34,6))</f>
        <v>#NUM!</v>
      </c>
      <c r="N34" t="e">
        <f t="array" ref="N34">(--INDEX('Raw Data'!$A$4:D$993,$F34,7))</f>
        <v>#NUM!</v>
      </c>
      <c r="O34" t="e">
        <f t="array" ref="O34">IF(--INDEX('Raw Data'!$A$4:E$993,$F34,8)= 0, 1, 0)</f>
        <v>#NUM!</v>
      </c>
      <c r="P34" t="e">
        <f t="array" ref="P34">IF(--INDEX('Raw Data'!$A$4:F$993,$F34,8)= 1, 1, 0)</f>
        <v>#NUM!</v>
      </c>
      <c r="Q34" t="e">
        <f t="array" ref="Q34">IF(--INDEX('Raw Data'!$A$4:G$993,$F34,13)= 1, 1, 0)</f>
        <v>#NUM!</v>
      </c>
      <c r="R34" t="e">
        <f t="array" ref="R34">IF(--INDEX('Raw Data'!$A$4:H$993,$F34,14)= 1, 1, 0)</f>
        <v>#NUM!</v>
      </c>
      <c r="S34" t="e">
        <f t="array" ref="S34">IF(--INDEX('Raw Data'!$A$4:I$993,$F34,15)= 1, 1, 0)</f>
        <v>#NUM!</v>
      </c>
      <c r="T34" t="e">
        <f t="array" ref="T34">IF(--INDEX('Raw Data'!$A$4:I$993,$F34,15)= 1, 1, 0)</f>
        <v>#NUM!</v>
      </c>
      <c r="U34" t="e">
        <f t="array" ref="U34">IF(--INDEX('Raw Data'!$A$4:J$993,$F34,16)= 1, 1, 0)</f>
        <v>#NUM!</v>
      </c>
      <c r="V34" t="e">
        <f t="array" ref="V34">IF(--INDEX('Raw Data'!$A$4:K$993,$F34,17)= 1, 1, 0)</f>
        <v>#NUM!</v>
      </c>
      <c r="W34" t="e">
        <f t="array" ref="W34">INDEX('Raw Data'!$A:$O,$F34,19)</f>
        <v>#NUM!</v>
      </c>
      <c r="X34" t="e">
        <f t="array" ref="X34">INDEX('Raw Data'!$A:$O,$F34,20)</f>
        <v>#NUM!</v>
      </c>
      <c r="Y34" t="e">
        <f t="array" ref="Y34">INDEX('Raw Data'!$A:$O,F34,21)</f>
        <v>#NUM!</v>
      </c>
      <c r="Z34" t="e">
        <f t="array" ref="Z34">INDEX('Raw Data'!$A:$O,$F34,3)</f>
        <v>#NUM!</v>
      </c>
      <c r="AA34" t="e">
        <f t="array" ref="AA34">INDEX('Raw Data'!$A:$O,$F34,22)</f>
        <v>#NUM!</v>
      </c>
      <c r="AB34" t="e">
        <f t="array" ref="AB34">INDEX('Raw Data'!$A:$O,$F34,23)</f>
        <v>#NUM!</v>
      </c>
      <c r="BA34" s="2"/>
      <c r="BB34" s="2"/>
      <c r="BC34" s="2"/>
      <c r="BD34" s="2"/>
      <c r="BE34" s="2"/>
      <c r="BF34" s="2"/>
    </row>
    <row r="35" spans="1:58" x14ac:dyDescent="0.25">
      <c r="A35" t="s">
        <v>2</v>
      </c>
      <c r="C35" s="3" t="e">
        <f>B34/B33</f>
        <v>#DIV/0!</v>
      </c>
      <c r="F35" t="e">
        <f t="array" ref="F35">SMALL(IF('Raw Data'!A:A=C31,ROW('Raw Data'!A:A)),ROW('Raw Data'!$4:$4))</f>
        <v>#NUM!</v>
      </c>
      <c r="G35" t="e">
        <f t="array" ref="G35">INDEX('Raw Data'!A:A,F35,9)</f>
        <v>#NUM!</v>
      </c>
      <c r="H35" t="e">
        <f t="array" ref="H35">INDEX('Raw Data'!A:A,F35,10)</f>
        <v>#NUM!</v>
      </c>
      <c r="I35" t="e">
        <f t="array" ref="I35">INDEX('Raw Data'!$A:A,$F35,11)</f>
        <v>#NUM!</v>
      </c>
      <c r="J35" t="e">
        <f t="array" ref="J35">INDEX('Raw Data'!$A:A,F35,12)</f>
        <v>#NUM!</v>
      </c>
      <c r="K35" t="e">
        <f>(--INDEX('Raw Data'!$A$4:B$993,F35,4))</f>
        <v>#NUM!</v>
      </c>
      <c r="L35" t="e">
        <f t="array" ref="L35">(--INDEX('Raw Data'!$A$4:B$993,F35,5))</f>
        <v>#NUM!</v>
      </c>
      <c r="M35" t="e">
        <f t="array" ref="M35">(--INDEX('Raw Data'!$A$4:D$993,$F35,6))</f>
        <v>#NUM!</v>
      </c>
      <c r="N35" t="e">
        <f t="array" ref="N35">(--INDEX('Raw Data'!$A$4:D$993,$F35,7))</f>
        <v>#NUM!</v>
      </c>
      <c r="O35" t="e">
        <f t="array" ref="O35">IF(--INDEX('Raw Data'!$A$4:E$993,$F35,8)= 0, 1, 0)</f>
        <v>#NUM!</v>
      </c>
      <c r="P35" t="e">
        <f t="array" ref="P35">IF(--INDEX('Raw Data'!$A$4:F$993,$F35,8)= 1, 1, 0)</f>
        <v>#NUM!</v>
      </c>
      <c r="Q35" t="e">
        <f t="array" ref="Q35">IF(--INDEX('Raw Data'!$A$4:G$993,$F35,13)= 1, 1, 0)</f>
        <v>#NUM!</v>
      </c>
      <c r="R35" t="e">
        <f t="array" ref="R35">IF(--INDEX('Raw Data'!$A$4:H$993,$F35,14)= 1, 1, 0)</f>
        <v>#NUM!</v>
      </c>
      <c r="S35" t="e">
        <f t="array" ref="S35">IF(--INDEX('Raw Data'!$A$4:I$993,$F35,15)= 1, 1, 0)</f>
        <v>#NUM!</v>
      </c>
      <c r="T35" t="e">
        <f t="array" ref="T35">IF(--INDEX('Raw Data'!$A$4:I$993,$F35,15)= 1, 1, 0)</f>
        <v>#NUM!</v>
      </c>
      <c r="U35" t="e">
        <f t="array" ref="U35">IF(--INDEX('Raw Data'!$A$4:J$993,$F35,16)= 1, 1, 0)</f>
        <v>#NUM!</v>
      </c>
      <c r="V35" t="e">
        <f t="array" ref="V35">IF(--INDEX('Raw Data'!$A$4:K$993,$F35,17)= 1, 1, 0)</f>
        <v>#NUM!</v>
      </c>
      <c r="W35" t="e">
        <f t="array" ref="W35">INDEX('Raw Data'!$A:$O,$F35,19)</f>
        <v>#NUM!</v>
      </c>
      <c r="X35" t="e">
        <f t="array" ref="X35">INDEX('Raw Data'!$A:$O,$F35,20)</f>
        <v>#NUM!</v>
      </c>
      <c r="Y35" t="e">
        <f t="array" ref="Y35">INDEX('Raw Data'!$A:$O,F35,21)</f>
        <v>#NUM!</v>
      </c>
      <c r="Z35" t="e">
        <f t="array" ref="Z35">INDEX('Raw Data'!$A:$O,$F35,3)</f>
        <v>#NUM!</v>
      </c>
      <c r="AA35" t="e">
        <f t="array" ref="AA35">INDEX('Raw Data'!$A:$O,$F35,22)</f>
        <v>#NUM!</v>
      </c>
      <c r="AB35" t="e">
        <f t="array" ref="AB35">INDEX('Raw Data'!$A:$O,$F35,23)</f>
        <v>#NUM!</v>
      </c>
      <c r="BA35" s="2"/>
      <c r="BB35" s="2"/>
      <c r="BC35" s="2"/>
      <c r="BD35" s="2"/>
      <c r="BE35" s="2"/>
      <c r="BF35" s="2"/>
    </row>
    <row r="36" spans="1:58" x14ac:dyDescent="0.25">
      <c r="A36" t="s">
        <v>54</v>
      </c>
      <c r="B36">
        <f>I47</f>
        <v>0</v>
      </c>
      <c r="F36" t="e">
        <f t="array" ref="F36">SMALL(IF('Raw Data'!A:A=C31,ROW('Raw Data'!A:A)),ROW('Raw Data'!$5:$5))</f>
        <v>#NUM!</v>
      </c>
      <c r="G36" t="e">
        <f t="array" ref="G36">INDEX('Raw Data'!A:A,F36,9)</f>
        <v>#NUM!</v>
      </c>
      <c r="H36" t="e">
        <f t="array" ref="H36">INDEX('Raw Data'!A:A,F36,10)</f>
        <v>#NUM!</v>
      </c>
      <c r="I36" t="e">
        <f t="array" ref="I36">INDEX('Raw Data'!$A:A,$F36,11)</f>
        <v>#NUM!</v>
      </c>
      <c r="J36" t="e">
        <f t="array" ref="J36">INDEX('Raw Data'!$A:A,F36,12)</f>
        <v>#NUM!</v>
      </c>
      <c r="K36" t="e">
        <f>(--INDEX('Raw Data'!$A$4:B$993,F36,4))</f>
        <v>#NUM!</v>
      </c>
      <c r="L36" t="e">
        <f t="array" ref="L36">(--INDEX('Raw Data'!$A$4:B$993,F36,5))</f>
        <v>#NUM!</v>
      </c>
      <c r="M36" t="e">
        <f t="array" ref="M36">(--INDEX('Raw Data'!$A$4:D$993,$F36,6))</f>
        <v>#NUM!</v>
      </c>
      <c r="N36" t="e">
        <f t="array" ref="N36">(--INDEX('Raw Data'!$A$4:D$993,$F36,7))</f>
        <v>#NUM!</v>
      </c>
      <c r="O36" t="e">
        <f t="array" ref="O36">IF(--INDEX('Raw Data'!$A$4:E$993,$F36,8)= 0, 1, 0)</f>
        <v>#NUM!</v>
      </c>
      <c r="P36" t="e">
        <f t="array" ref="P36">IF(--INDEX('Raw Data'!$A$4:F$993,$F36,8)= 1, 1, 0)</f>
        <v>#NUM!</v>
      </c>
      <c r="Q36" t="e">
        <f t="array" ref="Q36">IF(--INDEX('Raw Data'!$A$4:G$993,$F36,13)= 1, 1, 0)</f>
        <v>#NUM!</v>
      </c>
      <c r="R36" t="e">
        <f t="array" ref="R36">IF(--INDEX('Raw Data'!$A$4:H$993,$F36,14)= 1, 1, 0)</f>
        <v>#NUM!</v>
      </c>
      <c r="S36" t="e">
        <f t="array" ref="S36">IF(--INDEX('Raw Data'!$A$4:I$993,$F36,15)= 1, 1, 0)</f>
        <v>#NUM!</v>
      </c>
      <c r="T36" t="e">
        <f t="array" ref="T36">IF(--INDEX('Raw Data'!$A$4:I$993,$F36,15)= 1, 1, 0)</f>
        <v>#NUM!</v>
      </c>
      <c r="U36" t="e">
        <f t="array" ref="U36">IF(--INDEX('Raw Data'!$A$4:J$993,$F36,16)= 1, 1, 0)</f>
        <v>#NUM!</v>
      </c>
      <c r="V36" t="e">
        <f t="array" ref="V36">IF(--INDEX('Raw Data'!$A$4:K$993,$F36,17)= 1, 1, 0)</f>
        <v>#NUM!</v>
      </c>
      <c r="W36" t="e">
        <f t="array" ref="W36">INDEX('Raw Data'!$A:$O,$F36,19)</f>
        <v>#NUM!</v>
      </c>
      <c r="X36" t="e">
        <f t="array" ref="X36">INDEX('Raw Data'!$A:$O,$F36,20)</f>
        <v>#NUM!</v>
      </c>
      <c r="Y36" t="e">
        <f t="array" ref="Y36">INDEX('Raw Data'!$A:$O,F36,21)</f>
        <v>#NUM!</v>
      </c>
      <c r="Z36" t="e">
        <f t="array" ref="Z36">INDEX('Raw Data'!$A:$O,$F36,3)</f>
        <v>#NUM!</v>
      </c>
      <c r="AA36" t="e">
        <f t="array" ref="AA36">INDEX('Raw Data'!$A:$O,$F36,22)</f>
        <v>#NUM!</v>
      </c>
      <c r="AB36" t="e">
        <f t="array" ref="AB36">INDEX('Raw Data'!$A:$O,$F36,23)</f>
        <v>#NUM!</v>
      </c>
      <c r="AR36" s="23"/>
      <c r="BA36" s="2"/>
      <c r="BB36" s="2"/>
      <c r="BC36" s="2"/>
      <c r="BD36" s="2"/>
      <c r="BE36" s="2"/>
      <c r="BF36" s="2"/>
    </row>
    <row r="37" spans="1:58" x14ac:dyDescent="0.25">
      <c r="A37" t="s">
        <v>35</v>
      </c>
      <c r="B37">
        <f>J47</f>
        <v>0</v>
      </c>
      <c r="F37" t="e">
        <f t="array" ref="F37">SMALL(IF('Raw Data'!A:A=C31,ROW('Raw Data'!A:A)),ROW('Raw Data'!$6:$6))</f>
        <v>#NUM!</v>
      </c>
      <c r="G37" t="e">
        <f t="array" ref="G37">INDEX('Raw Data'!A:A,F37,9)</f>
        <v>#NUM!</v>
      </c>
      <c r="H37" t="e">
        <f t="array" ref="H37">INDEX('Raw Data'!A:A,F37,10)</f>
        <v>#NUM!</v>
      </c>
      <c r="I37" t="e">
        <f t="array" ref="I37">INDEX('Raw Data'!$A:A,$F37,11)</f>
        <v>#NUM!</v>
      </c>
      <c r="J37" t="e">
        <f t="array" ref="J37">INDEX('Raw Data'!$A:A,F37,12)</f>
        <v>#NUM!</v>
      </c>
      <c r="K37" t="e">
        <f>(--INDEX('Raw Data'!$A$4:B$993,F37,4))</f>
        <v>#NUM!</v>
      </c>
      <c r="L37" t="e">
        <f t="array" ref="L37">(--INDEX('Raw Data'!$A$4:B$998,F37,5))</f>
        <v>#NUM!</v>
      </c>
      <c r="M37" t="e">
        <f t="array" ref="M37">(--INDEX('Raw Data'!$A$4:D$998,$F37,6))</f>
        <v>#NUM!</v>
      </c>
      <c r="N37" t="e">
        <f t="array" ref="N37">(--INDEX('Raw Data'!$A$4:D$993,$F37,7))</f>
        <v>#NUM!</v>
      </c>
      <c r="O37" t="e">
        <f t="array" ref="O37">IF(--INDEX('Raw Data'!$A$4:E$993,$F37,8)= 0, 1, 0)</f>
        <v>#NUM!</v>
      </c>
      <c r="P37" t="e">
        <f t="array" ref="P37">IF(--INDEX('Raw Data'!$A$4:F$998,$F37,8)= 1, 1, 0)</f>
        <v>#NUM!</v>
      </c>
      <c r="Q37" t="e">
        <f t="array" ref="Q37">IF(--INDEX('Raw Data'!$A$4:G$998,$F37,13)= 1, 1, 0)</f>
        <v>#NUM!</v>
      </c>
      <c r="R37" t="e">
        <f t="array" ref="R37">IF(--INDEX('Raw Data'!$A$4:H$998,$F37,14)= 1, 1, 0)</f>
        <v>#NUM!</v>
      </c>
      <c r="S37" t="e">
        <f t="array" ref="S37">IF(--INDEX('Raw Data'!$A$4:I$993,$F37,15)= 1, 1, 0)</f>
        <v>#NUM!</v>
      </c>
      <c r="T37" t="e">
        <f t="array" ref="T37">IF(--INDEX('Raw Data'!$A$4:I$998,$F37,15)= 1, 1, 0)</f>
        <v>#NUM!</v>
      </c>
      <c r="U37" t="e">
        <f t="array" ref="U37">IF(--INDEX('Raw Data'!$A$4:J$998,$F37,16)= 1, 1, 0)</f>
        <v>#NUM!</v>
      </c>
      <c r="V37" t="e">
        <f t="array" ref="V37">IF(--INDEX('Raw Data'!$A$4:K$993,$F37,17)= 1, 1, 0)</f>
        <v>#NUM!</v>
      </c>
      <c r="W37" t="e">
        <f t="array" ref="W37">INDEX('Raw Data'!$A:$O,$F37,19)</f>
        <v>#NUM!</v>
      </c>
      <c r="X37" t="e">
        <f t="array" ref="X37">INDEX('Raw Data'!$A:$O,$F37,20)</f>
        <v>#NUM!</v>
      </c>
      <c r="Y37" t="e">
        <f t="array" ref="Y37">INDEX('Raw Data'!$A:$O,F37,21)</f>
        <v>#NUM!</v>
      </c>
      <c r="Z37" t="e">
        <f t="array" ref="Z37">INDEX('Raw Data'!$A:$O,$F37,3)</f>
        <v>#NUM!</v>
      </c>
      <c r="AA37" t="e">
        <f t="array" ref="AA37">INDEX('Raw Data'!$A:$O,$F37,22)</f>
        <v>#NUM!</v>
      </c>
      <c r="AB37" t="e">
        <f t="array" ref="AB37">INDEX('Raw Data'!$A:$O,$F37,23)</f>
        <v>#NUM!</v>
      </c>
      <c r="AR37" s="23"/>
      <c r="BA37" s="2"/>
      <c r="BB37" s="2"/>
      <c r="BC37" s="2"/>
      <c r="BD37" s="2"/>
      <c r="BE37" s="2"/>
      <c r="BF37" s="2"/>
    </row>
    <row r="38" spans="1:58" ht="28.5" x14ac:dyDescent="0.45">
      <c r="F38" t="e">
        <f t="array" ref="F38">SMALL(IF('Raw Data'!A:A=C31,ROW('Raw Data'!A:A)),ROW('Raw Data'!$7:$7))</f>
        <v>#NUM!</v>
      </c>
      <c r="G38" t="e">
        <f t="array" ref="G38">INDEX('Raw Data'!A:A,F38,9)</f>
        <v>#NUM!</v>
      </c>
      <c r="H38" t="e">
        <f t="array" ref="H38">INDEX('Raw Data'!A:A,F38,10)</f>
        <v>#NUM!</v>
      </c>
      <c r="I38" t="e">
        <f t="array" ref="I38">INDEX('Raw Data'!$A:A,$F38,11)</f>
        <v>#NUM!</v>
      </c>
      <c r="J38" t="e">
        <f t="array" ref="J38">INDEX('Raw Data'!$A:A,F38,12)</f>
        <v>#NUM!</v>
      </c>
      <c r="K38" t="e">
        <f t="array" ref="K38">(--INDEX('Raw Data'!$A$4:B$998,F38,4))</f>
        <v>#NUM!</v>
      </c>
      <c r="L38" t="e">
        <f t="array" ref="L38">(--INDEX('Raw Data'!$A$4:B$998,F38,5))</f>
        <v>#NUM!</v>
      </c>
      <c r="M38" t="e">
        <f t="array" ref="M38">(--INDEX('Raw Data'!$A$4:D$998,$F38,6))</f>
        <v>#NUM!</v>
      </c>
      <c r="N38" t="e">
        <f t="array" ref="N38">(--INDEX('Raw Data'!$A$4:D$998,$F38,7))</f>
        <v>#NUM!</v>
      </c>
      <c r="O38" t="e">
        <f t="array" ref="O38">IF(--INDEX('Raw Data'!$A$4:E$998,$F38,8)= 0, 1, 0)</f>
        <v>#NUM!</v>
      </c>
      <c r="P38" t="e">
        <f t="array" ref="P38">IF(--INDEX('Raw Data'!$A$4:F$998,$F38,8)= 1, 1, 0)</f>
        <v>#NUM!</v>
      </c>
      <c r="Q38" t="e">
        <f t="array" ref="Q38">IF(--INDEX('Raw Data'!$A$4:G$998,$F38,13)= 1, 1, 0)</f>
        <v>#NUM!</v>
      </c>
      <c r="R38" t="e">
        <f t="array" ref="R38">IF(--INDEX('Raw Data'!$A$4:H$998,$F38,14)= 1, 1, 0)</f>
        <v>#NUM!</v>
      </c>
      <c r="S38" t="e">
        <f t="array" ref="S38">IF(--INDEX('Raw Data'!$A$4:I$998,$F38,15)= 1, 1, 0)</f>
        <v>#NUM!</v>
      </c>
      <c r="T38" t="e">
        <f t="array" ref="T38">IF(--INDEX('Raw Data'!$A$4:I$998,$F38,15)= 1, 1, 0)</f>
        <v>#NUM!</v>
      </c>
      <c r="U38" t="e">
        <f t="array" ref="U38">IF(--INDEX('Raw Data'!$A$4:J$998,$F38,16)= 1, 1, 0)</f>
        <v>#NUM!</v>
      </c>
      <c r="V38" t="e">
        <f t="array" ref="V38">IF(--INDEX('Raw Data'!$A$4:K$998,$F38,17)= 1, 1, 0)</f>
        <v>#NUM!</v>
      </c>
      <c r="W38" t="e">
        <f t="array" ref="W38">INDEX('Raw Data'!$A:$O,$F38,19)</f>
        <v>#NUM!</v>
      </c>
      <c r="X38" t="e">
        <f t="array" ref="X38">INDEX('Raw Data'!$A:$O,$F38,20)</f>
        <v>#NUM!</v>
      </c>
      <c r="Y38" t="e">
        <f t="array" ref="Y38">INDEX('Raw Data'!$A:$O,F38,21)</f>
        <v>#NUM!</v>
      </c>
      <c r="Z38" t="e">
        <f t="array" ref="Z38">INDEX('Raw Data'!$A:$O,$F38,3)</f>
        <v>#NUM!</v>
      </c>
      <c r="AA38" t="e">
        <f t="array" ref="AA38">INDEX('Raw Data'!$A:$O,$F38,22)</f>
        <v>#NUM!</v>
      </c>
      <c r="AB38" t="e">
        <f t="array" ref="AB38">INDEX('Raw Data'!$A:$O,$F38,23)</f>
        <v>#NUM!</v>
      </c>
      <c r="AM38" s="19"/>
      <c r="BA38" s="2"/>
      <c r="BB38" s="2"/>
      <c r="BC38" s="2"/>
      <c r="BD38" s="2"/>
      <c r="BE38" s="2"/>
      <c r="BF38" s="2"/>
    </row>
    <row r="39" spans="1:58" x14ac:dyDescent="0.25">
      <c r="F39" t="e">
        <f t="array" ref="F39">SMALL(IF('Raw Data'!A:A=C31,ROW('Raw Data'!A:A)),ROW('Raw Data'!$8:$8))</f>
        <v>#NUM!</v>
      </c>
      <c r="G39" t="e">
        <f t="array" ref="G39">INDEX('Raw Data'!A:A,F39,9)</f>
        <v>#NUM!</v>
      </c>
      <c r="H39" t="e">
        <f t="array" ref="H39">INDEX('Raw Data'!A:A,F39,10)</f>
        <v>#NUM!</v>
      </c>
      <c r="I39" t="e">
        <f t="array" ref="I39">INDEX('Raw Data'!$A:A,$F39,11)</f>
        <v>#NUM!</v>
      </c>
      <c r="J39" t="e">
        <f t="array" ref="J39">INDEX('Raw Data'!$A:A,F39,12)</f>
        <v>#NUM!</v>
      </c>
      <c r="K39" t="e">
        <f t="array" ref="K39">(--INDEX('Raw Data'!$A$4:B$998,F39,4))</f>
        <v>#NUM!</v>
      </c>
      <c r="L39" t="e">
        <f t="array" ref="L39">(--INDEX('Raw Data'!$A$4:B$998,F39,5))</f>
        <v>#NUM!</v>
      </c>
      <c r="M39" t="e">
        <f t="array" ref="M39">(--INDEX('Raw Data'!$A$4:D$998,$F39,6))</f>
        <v>#NUM!</v>
      </c>
      <c r="N39" t="e">
        <f t="array" ref="N39">(--INDEX('Raw Data'!$A$4:D$998,$F39,7))</f>
        <v>#NUM!</v>
      </c>
      <c r="O39" t="e">
        <f t="array" ref="O39">IF(--INDEX('Raw Data'!$A$4:E$998,$F39,8)= 0, 1, 0)</f>
        <v>#NUM!</v>
      </c>
      <c r="P39" t="e">
        <f t="array" ref="P39">IF(--INDEX('Raw Data'!$A$4:F$998,$F39,8)= 1, 1, 0)</f>
        <v>#NUM!</v>
      </c>
      <c r="Q39" t="e">
        <f t="array" ref="Q39">IF(--INDEX('Raw Data'!$A$4:G$998,$F39,13)= 1, 1, 0)</f>
        <v>#NUM!</v>
      </c>
      <c r="R39" t="e">
        <f t="array" ref="R39">IF(--INDEX('Raw Data'!$A$4:H$998,$F39,14)= 1, 1, 0)</f>
        <v>#NUM!</v>
      </c>
      <c r="S39" t="e">
        <f t="array" ref="S39">IF(--INDEX('Raw Data'!$A$4:I$998,$F39,15)= 1, 1, 0)</f>
        <v>#NUM!</v>
      </c>
      <c r="T39" t="e">
        <f t="array" ref="T39">IF(--INDEX('Raw Data'!$A$4:I$998,$F39,15)= 1, 1, 0)</f>
        <v>#NUM!</v>
      </c>
      <c r="U39" t="e">
        <f t="array" ref="U39">IF(--INDEX('Raw Data'!$A$4:J$998,$F39,16)= 1, 1, 0)</f>
        <v>#NUM!</v>
      </c>
      <c r="V39" t="e">
        <f t="array" ref="V39">IF(--INDEX('Raw Data'!$A$4:K$998,$F39,17)= 1, 1, 0)</f>
        <v>#NUM!</v>
      </c>
      <c r="W39" t="e">
        <f t="array" ref="W39">INDEX('Raw Data'!$A:$O,$F39,19)</f>
        <v>#NUM!</v>
      </c>
      <c r="X39" t="e">
        <f t="array" ref="X39">INDEX('Raw Data'!$A:$O,$F39,20)</f>
        <v>#NUM!</v>
      </c>
      <c r="Y39" t="e">
        <f t="array" ref="Y39">INDEX('Raw Data'!$A:$O,F39,21)</f>
        <v>#NUM!</v>
      </c>
      <c r="Z39" t="e">
        <f t="array" ref="Z39">INDEX('Raw Data'!$A:$O,$F39,3)</f>
        <v>#NUM!</v>
      </c>
      <c r="AA39" t="e">
        <f t="array" ref="AA39">INDEX('Raw Data'!$A:$O,$F39,22)</f>
        <v>#NUM!</v>
      </c>
      <c r="AB39" t="e">
        <f t="array" ref="AB39">INDEX('Raw Data'!$A:$O,$F39,23)</f>
        <v>#NUM!</v>
      </c>
      <c r="BA39" s="2"/>
      <c r="BB39" s="2"/>
      <c r="BC39" s="2"/>
      <c r="BD39" s="2"/>
      <c r="BE39" s="2"/>
      <c r="BF39" s="2"/>
    </row>
    <row r="40" spans="1:58" x14ac:dyDescent="0.25">
      <c r="F40" t="e">
        <f t="array" ref="F40">SMALL(IF('Raw Data'!A:A=C31,ROW('Raw Data'!A:A)),ROW('Raw Data'!$9:$9))</f>
        <v>#NUM!</v>
      </c>
      <c r="G40" t="e">
        <f t="array" ref="G40">INDEX('Raw Data'!A:A,F40,9)</f>
        <v>#NUM!</v>
      </c>
      <c r="H40" t="e">
        <f t="array" ref="H40">INDEX('Raw Data'!A:A,F40,10)</f>
        <v>#NUM!</v>
      </c>
      <c r="I40" t="e">
        <f t="array" ref="I40">INDEX('Raw Data'!$A:A,$F40,11)</f>
        <v>#NUM!</v>
      </c>
      <c r="J40" t="e">
        <f t="array" ref="J40">INDEX('Raw Data'!$A:A,F40,12)</f>
        <v>#NUM!</v>
      </c>
      <c r="K40" t="e">
        <f t="array" ref="K40">(--INDEX('Raw Data'!$A$4:B$998,F40,4))</f>
        <v>#NUM!</v>
      </c>
      <c r="L40" t="e">
        <f t="array" ref="L40">(--INDEX('Raw Data'!$A$4:B$998,F40,5))</f>
        <v>#NUM!</v>
      </c>
      <c r="M40" t="e">
        <f t="array" ref="M40">(--INDEX('Raw Data'!$A$4:D$998,$F40,6))</f>
        <v>#NUM!</v>
      </c>
      <c r="N40" t="e">
        <f t="array" ref="N40">(--INDEX('Raw Data'!$A$4:D$998,$F40,7))</f>
        <v>#NUM!</v>
      </c>
      <c r="O40" t="e">
        <f t="array" ref="O40">IF(--INDEX('Raw Data'!$A$4:E$998,$F40,8)= 0, 1, 0)</f>
        <v>#NUM!</v>
      </c>
      <c r="P40" t="e">
        <f t="array" ref="P40">IF(--INDEX('Raw Data'!$A$4:F$998,$F40,8)= 1, 1, 0)</f>
        <v>#NUM!</v>
      </c>
      <c r="Q40" t="e">
        <f t="array" ref="Q40">IF(--INDEX('Raw Data'!$A$4:G$998,$F40,13)= 1, 1, 0)</f>
        <v>#NUM!</v>
      </c>
      <c r="R40" t="e">
        <f t="array" ref="R40">IF(--INDEX('Raw Data'!$A$4:H$998,$F40,14)= 1, 1, 0)</f>
        <v>#NUM!</v>
      </c>
      <c r="S40" t="e">
        <f t="array" ref="S40">IF(--INDEX('Raw Data'!$A$4:I$998,$F40,15)= 1, 1, 0)</f>
        <v>#NUM!</v>
      </c>
      <c r="T40" t="e">
        <f t="array" ref="T40">IF(--INDEX('Raw Data'!$A$4:I$998,$F40,15)= 1, 1, 0)</f>
        <v>#NUM!</v>
      </c>
      <c r="U40" t="e">
        <f t="array" ref="U40">IF(--INDEX('Raw Data'!$A$4:J$998,$F40,16)= 1, 1, 0)</f>
        <v>#NUM!</v>
      </c>
      <c r="V40" t="e">
        <f t="array" ref="V40">IF(--INDEX('Raw Data'!$A$4:K$998,$F40,17)= 1, 1, 0)</f>
        <v>#NUM!</v>
      </c>
      <c r="W40" t="e">
        <f t="array" ref="W40">INDEX('Raw Data'!$A:$O,$F40,19)</f>
        <v>#NUM!</v>
      </c>
      <c r="X40" t="e">
        <f t="array" ref="X40">INDEX('Raw Data'!$A:$O,$F40,20)</f>
        <v>#NUM!</v>
      </c>
      <c r="Y40" t="e">
        <f t="array" ref="Y40">INDEX('Raw Data'!$A:$O,F40,21)</f>
        <v>#NUM!</v>
      </c>
      <c r="Z40" t="e">
        <f t="array" ref="Z40">INDEX('Raw Data'!$A:$O,$F40,3)</f>
        <v>#NUM!</v>
      </c>
      <c r="AA40" t="e">
        <f t="array" ref="AA40">INDEX('Raw Data'!$A:$O,$F40,22)</f>
        <v>#NUM!</v>
      </c>
      <c r="AB40" t="e">
        <f t="array" ref="AB40">INDEX('Raw Data'!$A:$O,$F40,23)</f>
        <v>#NUM!</v>
      </c>
      <c r="BA40" s="2"/>
      <c r="BB40" s="2"/>
      <c r="BC40" s="2"/>
      <c r="BD40" s="2"/>
      <c r="BE40" s="2"/>
      <c r="BF40" s="2"/>
    </row>
    <row r="41" spans="1:58" x14ac:dyDescent="0.25">
      <c r="F41" t="e">
        <f t="array" ref="F41">SMALL(IF('Raw Data'!A:A=C31,ROW('Raw Data'!A:A)),ROW('Raw Data'!$10:$10))</f>
        <v>#NUM!</v>
      </c>
      <c r="G41" t="e">
        <f t="array" ref="G41">INDEX('Raw Data'!A:A,F41,9)</f>
        <v>#NUM!</v>
      </c>
      <c r="H41" t="e">
        <f t="array" ref="H41">INDEX('Raw Data'!A:A,F41,10)</f>
        <v>#NUM!</v>
      </c>
      <c r="I41" t="e">
        <f t="array" ref="I41">INDEX('Raw Data'!$A:A,$F41,11)</f>
        <v>#NUM!</v>
      </c>
      <c r="J41" t="e">
        <f t="array" ref="J41">INDEX('Raw Data'!$A:A,F41,12)</f>
        <v>#NUM!</v>
      </c>
      <c r="K41" t="e">
        <f t="array" ref="K41">(--INDEX('Raw Data'!$A$4:B$998,F41,4))</f>
        <v>#NUM!</v>
      </c>
      <c r="L41" t="e">
        <f t="array" ref="L41">(--INDEX('Raw Data'!$A$4:B$998,F41,5))</f>
        <v>#NUM!</v>
      </c>
      <c r="M41" t="e">
        <f t="array" ref="M41">(--INDEX('Raw Data'!$A$4:D$998,$F41,6))</f>
        <v>#NUM!</v>
      </c>
      <c r="N41" t="e">
        <f t="array" ref="N41">(--INDEX('Raw Data'!$A$4:D$998,$F41,7))</f>
        <v>#NUM!</v>
      </c>
      <c r="O41" t="e">
        <f t="array" ref="O41">IF(--INDEX('Raw Data'!$A$4:E$998,$F41,8)= 0, 1, 0)</f>
        <v>#NUM!</v>
      </c>
      <c r="P41" t="e">
        <f t="array" ref="P41">IF(--INDEX('Raw Data'!$A$4:F$998,$F41,8)= 1, 1, 0)</f>
        <v>#NUM!</v>
      </c>
      <c r="Q41" t="e">
        <f t="array" ref="Q41">IF(--INDEX('Raw Data'!$A$4:G$998,$F41,13)= 1, 1, 0)</f>
        <v>#NUM!</v>
      </c>
      <c r="R41" t="e">
        <f t="array" ref="R41">IF(--INDEX('Raw Data'!$A$4:H$998,$F41,14)= 1, 1, 0)</f>
        <v>#NUM!</v>
      </c>
      <c r="S41" t="e">
        <f t="array" ref="S41">IF(--INDEX('Raw Data'!$A$4:I$998,$F41,15)= 1, 1, 0)</f>
        <v>#NUM!</v>
      </c>
      <c r="T41" t="e">
        <f t="array" ref="T41">IF(--INDEX('Raw Data'!$A$4:I$998,$F41,15)= 1, 1, 0)</f>
        <v>#NUM!</v>
      </c>
      <c r="U41" t="e">
        <f t="array" ref="U41">IF(--INDEX('Raw Data'!$A$4:J$998,$F41,16)= 1, 1, 0)</f>
        <v>#NUM!</v>
      </c>
      <c r="V41" t="e">
        <f t="array" ref="V41">IF(--INDEX('Raw Data'!$A$4:K$998,$F41,17)= 1, 1, 0)</f>
        <v>#NUM!</v>
      </c>
      <c r="W41" t="e">
        <f t="array" ref="W41">INDEX('Raw Data'!$A:$O,$F41,19)</f>
        <v>#NUM!</v>
      </c>
      <c r="X41" t="e">
        <f t="array" ref="X41">INDEX('Raw Data'!$A:$O,$F41,20)</f>
        <v>#NUM!</v>
      </c>
      <c r="Y41" t="e">
        <f t="array" ref="Y41">INDEX('Raw Data'!$A:$O,F41,21)</f>
        <v>#NUM!</v>
      </c>
      <c r="Z41" t="e">
        <f t="array" ref="Z41">INDEX('Raw Data'!$A:$O,$F41,3)</f>
        <v>#NUM!</v>
      </c>
      <c r="AA41" t="e">
        <f t="array" ref="AA41">INDEX('Raw Data'!$A:$O,$F41,22)</f>
        <v>#NUM!</v>
      </c>
      <c r="AB41" t="e">
        <f t="array" ref="AB41">INDEX('Raw Data'!$A:$O,$F41,23)</f>
        <v>#NUM!</v>
      </c>
      <c r="BA41" s="2"/>
      <c r="BB41" s="2"/>
      <c r="BC41" s="2"/>
      <c r="BD41" s="2"/>
      <c r="BE41" s="2"/>
      <c r="BF41" s="2"/>
    </row>
    <row r="42" spans="1:58" x14ac:dyDescent="0.25">
      <c r="F42" t="e">
        <f t="array" ref="F42">SMALL(IF('Raw Data'!A:A=C31,ROW('Raw Data'!A:A)),ROW('Raw Data'!$11:$11))</f>
        <v>#NUM!</v>
      </c>
      <c r="G42" t="e">
        <f t="array" ref="G42">INDEX('Raw Data'!A:A,F42,9)</f>
        <v>#NUM!</v>
      </c>
      <c r="H42" t="e">
        <f t="array" ref="H42">INDEX('Raw Data'!A:A,F42,10)</f>
        <v>#NUM!</v>
      </c>
      <c r="I42" t="e">
        <f t="array" ref="I42">INDEX('Raw Data'!$A:A,$F42,11)</f>
        <v>#NUM!</v>
      </c>
      <c r="J42" t="e">
        <f t="array" ref="J42">INDEX('Raw Data'!$A:A,F42,12)</f>
        <v>#NUM!</v>
      </c>
      <c r="K42" t="e">
        <f t="array" ref="K42">(--INDEX('Raw Data'!$A$4:B$998,F42,4))</f>
        <v>#NUM!</v>
      </c>
      <c r="L42" t="e">
        <f t="array" ref="L42">(--INDEX('Raw Data'!$A$4:B$998,F42,5))</f>
        <v>#NUM!</v>
      </c>
      <c r="M42" t="e">
        <f t="array" ref="M42">(--INDEX('Raw Data'!$A$4:D$998,$F42,6))</f>
        <v>#NUM!</v>
      </c>
      <c r="N42" t="e">
        <f t="array" ref="N42">(--INDEX('Raw Data'!$A$4:D$998,$F42,7))</f>
        <v>#NUM!</v>
      </c>
      <c r="O42" t="e">
        <f t="array" ref="O42">IF(--INDEX('Raw Data'!$A$4:E$998,$F42,8)= 0, 1, 0)</f>
        <v>#NUM!</v>
      </c>
      <c r="P42" t="e">
        <f t="array" ref="P42">IF(--INDEX('Raw Data'!$A$4:F$998,$F42,8)= 1, 1, 0)</f>
        <v>#NUM!</v>
      </c>
      <c r="Q42" t="e">
        <f t="array" ref="Q42">IF(--INDEX('Raw Data'!$A$4:G$998,$F42,13)= 1, 1, 0)</f>
        <v>#NUM!</v>
      </c>
      <c r="R42" t="e">
        <f t="array" ref="R42">IF(--INDEX('Raw Data'!$A$4:H$998,$F42,14)= 1, 1, 0)</f>
        <v>#NUM!</v>
      </c>
      <c r="S42" t="e">
        <f t="array" ref="S42">IF(--INDEX('Raw Data'!$A$4:I$998,$F42,15)= 1, 1, 0)</f>
        <v>#NUM!</v>
      </c>
      <c r="T42" t="e">
        <f t="array" ref="T42">IF(--INDEX('Raw Data'!$A$4:I$998,$F42,15)= 1, 1, 0)</f>
        <v>#NUM!</v>
      </c>
      <c r="U42" t="e">
        <f t="array" ref="U42">IF(--INDEX('Raw Data'!$A$4:J$998,$F42,16)= 1, 1, 0)</f>
        <v>#NUM!</v>
      </c>
      <c r="V42" t="e">
        <f t="array" ref="V42">IF(--INDEX('Raw Data'!$A$4:K$998,$F42,17)= 1, 1, 0)</f>
        <v>#NUM!</v>
      </c>
      <c r="W42" t="e">
        <f t="array" ref="W42">INDEX('Raw Data'!$A:$O,$F42,19)</f>
        <v>#NUM!</v>
      </c>
      <c r="X42" t="e">
        <f t="array" ref="X42">INDEX('Raw Data'!$A:$O,$F42,20)</f>
        <v>#NUM!</v>
      </c>
      <c r="Y42" t="e">
        <f t="array" ref="Y42">INDEX('Raw Data'!$A:$O,F42,21)</f>
        <v>#NUM!</v>
      </c>
      <c r="Z42" t="e">
        <f t="array" ref="Z42">INDEX('Raw Data'!$A:$O,$F42,3)</f>
        <v>#NUM!</v>
      </c>
      <c r="AA42" t="e">
        <f t="array" ref="AA42">INDEX('Raw Data'!$A:$O,$F42,22)</f>
        <v>#NUM!</v>
      </c>
      <c r="AB42" t="e">
        <f t="array" ref="AB42">INDEX('Raw Data'!$A:$O,$F42,23)</f>
        <v>#NUM!</v>
      </c>
      <c r="BA42" s="2"/>
      <c r="BB42" s="2"/>
      <c r="BC42" s="2"/>
      <c r="BD42" s="2"/>
      <c r="BE42" s="2"/>
      <c r="BF42" s="2"/>
    </row>
    <row r="43" spans="1:58" x14ac:dyDescent="0.25">
      <c r="F43" t="e">
        <f t="array" ref="F43">SMALL(IF('Raw Data'!A:A=C31,ROW('Raw Data'!A:A)),ROW('Raw Data'!$12:$12))</f>
        <v>#NUM!</v>
      </c>
      <c r="G43" t="e">
        <f t="array" ref="G43">INDEX('Raw Data'!A:A,F43,9)</f>
        <v>#NUM!</v>
      </c>
      <c r="H43" t="e">
        <f t="array" ref="H43">INDEX('Raw Data'!A:A,F43,10)</f>
        <v>#NUM!</v>
      </c>
      <c r="I43" t="e">
        <f t="array" ref="I43">INDEX('Raw Data'!$A:A,$F43,11)</f>
        <v>#NUM!</v>
      </c>
      <c r="J43" t="e">
        <f t="array" ref="J43">INDEX('Raw Data'!$A:A,F43,12)</f>
        <v>#NUM!</v>
      </c>
      <c r="K43" t="e">
        <f t="array" ref="K43">(--INDEX('Raw Data'!$A$4:B$998,F43,4))</f>
        <v>#NUM!</v>
      </c>
      <c r="L43" t="e">
        <f t="array" ref="L43">(--INDEX('Raw Data'!$A$4:B$998,F43,5))</f>
        <v>#NUM!</v>
      </c>
      <c r="M43" t="e">
        <f t="array" ref="M43">(--INDEX('Raw Data'!$A$4:D$998,$F43,6))</f>
        <v>#NUM!</v>
      </c>
      <c r="N43" t="e">
        <f t="array" ref="N43">(--INDEX('Raw Data'!$A$4:D$998,$F43,7))</f>
        <v>#NUM!</v>
      </c>
      <c r="O43" t="e">
        <f t="array" ref="O43">IF(--INDEX('Raw Data'!$A$4:E$998,$F43,8)= 0, 1, 0)</f>
        <v>#NUM!</v>
      </c>
      <c r="P43" t="e">
        <f t="array" ref="P43">IF(--INDEX('Raw Data'!$A$4:F$998,$F43,8)= 1, 1, 0)</f>
        <v>#NUM!</v>
      </c>
      <c r="Q43" t="e">
        <f t="array" ref="Q43">IF(--INDEX('Raw Data'!$A$4:G$998,$F43,13)= 1, 1, 0)</f>
        <v>#NUM!</v>
      </c>
      <c r="R43" t="e">
        <f t="array" ref="R43">IF(--INDEX('Raw Data'!$A$4:H$998,$F43,14)= 1, 1, 0)</f>
        <v>#NUM!</v>
      </c>
      <c r="S43" t="e">
        <f t="array" ref="S43">IF(--INDEX('Raw Data'!$A$4:I$998,$F43,15)= 1, 1, 0)</f>
        <v>#NUM!</v>
      </c>
      <c r="T43" t="e">
        <f t="array" ref="T43">IF(--INDEX('Raw Data'!$A$4:I$998,$F43,15)= 1, 1, 0)</f>
        <v>#NUM!</v>
      </c>
      <c r="U43" t="e">
        <f t="array" ref="U43">IF(--INDEX('Raw Data'!$A$4:J$998,$F43,16)= 1, 1, 0)</f>
        <v>#NUM!</v>
      </c>
      <c r="V43" t="e">
        <f t="array" ref="V43">IF(--INDEX('Raw Data'!$A$4:K$998,$F43,17)= 1, 1, 0)</f>
        <v>#NUM!</v>
      </c>
      <c r="W43" t="e">
        <f t="array" ref="W43">INDEX('Raw Data'!$A:$O,$F43,19)</f>
        <v>#NUM!</v>
      </c>
      <c r="X43" t="e">
        <f t="array" ref="X43">INDEX('Raw Data'!$A:$O,$F43,20)</f>
        <v>#NUM!</v>
      </c>
      <c r="Y43" t="e">
        <f t="array" ref="Y43">INDEX('Raw Data'!$A:$O,F43,21)</f>
        <v>#NUM!</v>
      </c>
      <c r="Z43" t="e">
        <f t="array" ref="Z43">INDEX('Raw Data'!$A:$O,$F43,3)</f>
        <v>#NUM!</v>
      </c>
      <c r="AA43" t="e">
        <f t="array" ref="AA43">INDEX('Raw Data'!$A:$O,$F43,22)</f>
        <v>#NUM!</v>
      </c>
      <c r="AB43" t="e">
        <f t="array" ref="AB43">INDEX('Raw Data'!$A:$O,$F43,23)</f>
        <v>#NUM!</v>
      </c>
      <c r="BA43" s="2"/>
      <c r="BB43" s="2"/>
      <c r="BC43" s="2"/>
      <c r="BD43" s="2"/>
      <c r="BE43" s="2"/>
      <c r="BF43" s="2"/>
    </row>
    <row r="44" spans="1:58" x14ac:dyDescent="0.25">
      <c r="F44" t="e">
        <f t="array" ref="F44">SMALL(IF('Raw Data'!A:A=C31,ROW('Raw Data'!A:A)),ROW('Raw Data'!$13:$13))</f>
        <v>#NUM!</v>
      </c>
      <c r="G44" t="e">
        <f t="array" ref="G44">INDEX('Raw Data'!A:A,F44,9)</f>
        <v>#NUM!</v>
      </c>
      <c r="H44" t="e">
        <f t="array" ref="H44">INDEX('Raw Data'!A:A,F44,10)</f>
        <v>#NUM!</v>
      </c>
      <c r="I44" t="e">
        <f t="array" ref="I44">INDEX('Raw Data'!$A:A,$F44,11)</f>
        <v>#NUM!</v>
      </c>
      <c r="J44" t="e">
        <f t="array" ref="J44">INDEX('Raw Data'!$A:A,F44,12)</f>
        <v>#NUM!</v>
      </c>
      <c r="K44" t="e">
        <f t="array" ref="K44">(--INDEX('Raw Data'!$A$4:B$998,F44,4))</f>
        <v>#NUM!</v>
      </c>
      <c r="L44" t="e">
        <f t="array" ref="L44">(--INDEX('Raw Data'!$A$4:B$998,F44,5))</f>
        <v>#NUM!</v>
      </c>
      <c r="M44" t="e">
        <f t="array" ref="M44">(--INDEX('Raw Data'!$A$4:D$998,$F44,6))</f>
        <v>#NUM!</v>
      </c>
      <c r="N44" t="e">
        <f t="array" ref="N44">(--INDEX('Raw Data'!$A$4:D$998,$F44,7))</f>
        <v>#NUM!</v>
      </c>
      <c r="O44" t="e">
        <f t="array" ref="O44">IF(--INDEX('Raw Data'!$A$4:E$998,$F44,8)= 0, 1, 0)</f>
        <v>#NUM!</v>
      </c>
      <c r="P44" t="e">
        <f t="array" ref="P44">IF(--INDEX('Raw Data'!$A$4:F$998,$F44,8)= 1, 1, 0)</f>
        <v>#NUM!</v>
      </c>
      <c r="Q44" t="e">
        <f t="array" ref="Q44">IF(--INDEX('Raw Data'!$A$4:G$998,$F44,13)= 1, 1, 0)</f>
        <v>#NUM!</v>
      </c>
      <c r="R44" t="e">
        <f t="array" ref="R44">IF(--INDEX('Raw Data'!$A$4:H$998,$F44,14)= 1, 1, 0)</f>
        <v>#NUM!</v>
      </c>
      <c r="S44" t="e">
        <f t="array" ref="S44">IF(--INDEX('Raw Data'!$A$4:I$998,$F44,15)= 1, 1, 0)</f>
        <v>#NUM!</v>
      </c>
      <c r="T44" t="e">
        <f t="array" ref="T44">IF(--INDEX('Raw Data'!$A$4:I$998,$F44,15)= 1, 1, 0)</f>
        <v>#NUM!</v>
      </c>
      <c r="U44" t="e">
        <f t="array" ref="U44">IF(--INDEX('Raw Data'!$A$4:J$998,$F44,16)= 1, 1, 0)</f>
        <v>#NUM!</v>
      </c>
      <c r="V44" t="e">
        <f t="array" ref="V44">IF(--INDEX('Raw Data'!$A$4:K$998,$F44,17)= 1, 1, 0)</f>
        <v>#NUM!</v>
      </c>
      <c r="W44" t="e">
        <f t="array" ref="W44">INDEX('Raw Data'!$A:$O,$F44,19)</f>
        <v>#NUM!</v>
      </c>
      <c r="X44" t="e">
        <f t="array" ref="X44">INDEX('Raw Data'!$A:$O,$F44,20)</f>
        <v>#NUM!</v>
      </c>
      <c r="Y44" t="e">
        <f t="array" ref="Y44">INDEX('Raw Data'!$A:$O,F44,21)</f>
        <v>#NUM!</v>
      </c>
      <c r="Z44" t="e">
        <f t="array" ref="Z44">INDEX('Raw Data'!$A:$O,$F44,3)</f>
        <v>#NUM!</v>
      </c>
      <c r="AA44" t="e">
        <f t="array" ref="AA44">INDEX('Raw Data'!$A:$O,$F44,22)</f>
        <v>#NUM!</v>
      </c>
      <c r="AB44" t="e">
        <f t="array" ref="AB44">INDEX('Raw Data'!$A:$O,$F44,23)</f>
        <v>#NUM!</v>
      </c>
      <c r="BA44" s="2"/>
      <c r="BB44" s="2"/>
      <c r="BC44" s="2"/>
      <c r="BD44" s="2"/>
      <c r="BE44" s="2"/>
      <c r="BF44" s="2"/>
    </row>
    <row r="45" spans="1:58" x14ac:dyDescent="0.25">
      <c r="F45" t="e">
        <f t="array" ref="F45">SMALL(IF('Raw Data'!A:A=C31,ROW('Raw Data'!A:A)),ROW('Raw Data'!$14:$14))</f>
        <v>#NUM!</v>
      </c>
      <c r="G45" t="e">
        <f t="array" ref="G45">INDEX('Raw Data'!A:A,F45,9)</f>
        <v>#NUM!</v>
      </c>
      <c r="H45" t="e">
        <f t="array" ref="H45">INDEX('Raw Data'!A:A,F45,10)</f>
        <v>#NUM!</v>
      </c>
      <c r="I45" t="e">
        <f t="array" ref="I45">INDEX('Raw Data'!$A:A,$F45,11)</f>
        <v>#NUM!</v>
      </c>
      <c r="J45" t="e">
        <f t="array" ref="J45">INDEX('Raw Data'!$A:A,F45,12)</f>
        <v>#NUM!</v>
      </c>
      <c r="K45" t="e">
        <f t="array" ref="K45">(--INDEX('Raw Data'!$A$4:B$998,F45,4))</f>
        <v>#NUM!</v>
      </c>
      <c r="L45" t="e">
        <f t="array" ref="L45">(--INDEX('Raw Data'!$A$4:B$998,F45,5))</f>
        <v>#NUM!</v>
      </c>
      <c r="M45" t="e">
        <f t="array" ref="M45">(--INDEX('Raw Data'!$A$4:D$998,$F45,6))</f>
        <v>#NUM!</v>
      </c>
      <c r="N45" t="e">
        <f t="array" ref="N45">(--INDEX('Raw Data'!$A$4:D$998,$F45,7))</f>
        <v>#NUM!</v>
      </c>
      <c r="O45" t="e">
        <f t="array" ref="O45">IF(--INDEX('Raw Data'!$A$4:E$998,$F45,8)= 0, 1, 0)</f>
        <v>#NUM!</v>
      </c>
      <c r="P45" t="e">
        <f t="array" ref="P45">IF(--INDEX('Raw Data'!$A$4:F$998,$F45,8)= 1, 1, 0)</f>
        <v>#NUM!</v>
      </c>
      <c r="Q45" t="e">
        <f t="array" ref="Q45">IF(--INDEX('Raw Data'!$A$4:G$998,$F45,13)= 1, 1, 0)</f>
        <v>#NUM!</v>
      </c>
      <c r="R45" t="e">
        <f t="array" ref="R45">IF(--INDEX('Raw Data'!$A$4:H$998,$F45,14)= 1, 1, 0)</f>
        <v>#NUM!</v>
      </c>
      <c r="S45" t="e">
        <f t="array" ref="S45">IF(--INDEX('Raw Data'!$A$4:I$998,$F45,15)= 1, 1, 0)</f>
        <v>#NUM!</v>
      </c>
      <c r="T45" t="e">
        <f t="array" ref="T45">IF(--INDEX('Raw Data'!$A$4:I$998,$F45,15)= 1, 1, 0)</f>
        <v>#NUM!</v>
      </c>
      <c r="U45" t="e">
        <f t="array" ref="U45">IF(--INDEX('Raw Data'!$A$4:J$998,$F45,16)= 1, 1, 0)</f>
        <v>#NUM!</v>
      </c>
      <c r="V45" t="e">
        <f t="array" ref="V45">IF(--INDEX('Raw Data'!$A$4:K$998,$F45,17)= 1, 1, 0)</f>
        <v>#NUM!</v>
      </c>
      <c r="W45" t="e">
        <f t="array" ref="W45">INDEX('Raw Data'!$A:$O,$F45,19)</f>
        <v>#NUM!</v>
      </c>
      <c r="X45" t="e">
        <f t="array" ref="X45">INDEX('Raw Data'!$A:$O,$F45,20)</f>
        <v>#NUM!</v>
      </c>
      <c r="Y45" t="e">
        <f t="array" ref="Y45">INDEX('Raw Data'!$A:$O,F45,21)</f>
        <v>#NUM!</v>
      </c>
      <c r="Z45" t="e">
        <f t="array" ref="Z45">INDEX('Raw Data'!$A:$O,$F45,3)</f>
        <v>#NUM!</v>
      </c>
      <c r="AA45" t="e">
        <f t="array" ref="AA45">INDEX('Raw Data'!$A:$O,$F45,22)</f>
        <v>#NUM!</v>
      </c>
      <c r="AB45" t="e">
        <f t="array" ref="AB45">INDEX('Raw Data'!$A:$O,$F45,23)</f>
        <v>#NUM!</v>
      </c>
      <c r="BA45" s="2"/>
      <c r="BB45" s="2"/>
      <c r="BC45" s="2"/>
      <c r="BD45" s="2"/>
      <c r="BE45" s="2"/>
      <c r="BF45" s="2"/>
    </row>
    <row r="46" spans="1:58" x14ac:dyDescent="0.25">
      <c r="F46" t="e">
        <f t="array" ref="F46">SMALL(IF('Raw Data'!A:A=C31,ROW('Raw Data'!A:A)),ROW('Raw Data'!$15:$15))</f>
        <v>#NUM!</v>
      </c>
      <c r="G46" t="e">
        <f t="array" ref="G46">INDEX('Raw Data'!A:A,F46,9)</f>
        <v>#NUM!</v>
      </c>
      <c r="H46" t="e">
        <f t="array" ref="H46">INDEX('Raw Data'!A:A,F46,10)</f>
        <v>#NUM!</v>
      </c>
      <c r="I46" t="e">
        <f t="array" ref="I46">INDEX('Raw Data'!$A:A,$F46,11)</f>
        <v>#NUM!</v>
      </c>
      <c r="J46" t="e">
        <f t="array" ref="J46">INDEX('Raw Data'!$A:A,F46,12)</f>
        <v>#NUM!</v>
      </c>
      <c r="K46" t="e">
        <f t="array" ref="K46">(--INDEX('Raw Data'!$A$4:B$998,F46,4))</f>
        <v>#NUM!</v>
      </c>
      <c r="L46" t="e">
        <f t="array" ref="L46">(--INDEX('Raw Data'!$A$4:B$998,F46,5))</f>
        <v>#NUM!</v>
      </c>
      <c r="M46" t="e">
        <f t="array" ref="M46">(--INDEX('Raw Data'!$A$4:D$998,$F46,6))</f>
        <v>#NUM!</v>
      </c>
      <c r="N46" t="e">
        <f t="array" ref="N46">(--INDEX('Raw Data'!$A$4:D$998,$F46,7))</f>
        <v>#NUM!</v>
      </c>
      <c r="O46" t="e">
        <f t="array" ref="O46">IF(--INDEX('Raw Data'!$A$4:E$998,$F46,8)= 0, 1, 0)</f>
        <v>#NUM!</v>
      </c>
      <c r="P46" t="e">
        <f t="array" ref="P46">IF(--INDEX('Raw Data'!$A$4:F$998,$F46,8)= 1, 1, 0)</f>
        <v>#NUM!</v>
      </c>
      <c r="Q46" t="e">
        <f t="array" ref="Q46">IF(--INDEX('Raw Data'!$A$4:G$998,$F46,13)= 1, 1, 0)</f>
        <v>#NUM!</v>
      </c>
      <c r="R46" t="e">
        <f t="array" ref="R46">IF(--INDEX('Raw Data'!$A$4:H$998,$F46,14)= 1, 1, 0)</f>
        <v>#NUM!</v>
      </c>
      <c r="S46" t="e">
        <f t="array" ref="S46">IF(--INDEX('Raw Data'!$A$4:I$998,$F46,15)= 1, 1, 0)</f>
        <v>#NUM!</v>
      </c>
      <c r="T46" t="e">
        <f t="array" ref="T46">IF(--INDEX('Raw Data'!$A$4:I$998,$F46,15)= 1, 1, 0)</f>
        <v>#NUM!</v>
      </c>
      <c r="U46" t="e">
        <f t="array" ref="U46">IF(--INDEX('Raw Data'!$A$4:J$998,$F46,16)= 1, 1, 0)</f>
        <v>#NUM!</v>
      </c>
      <c r="V46" t="e">
        <f t="array" ref="V46">IF(--INDEX('Raw Data'!$A$4:K$998,$F46,17)= 1, 1, 0)</f>
        <v>#NUM!</v>
      </c>
      <c r="W46" t="e">
        <f t="array" ref="W46">INDEX('Raw Data'!$A:$O,$F46,19)</f>
        <v>#NUM!</v>
      </c>
      <c r="X46" t="e">
        <f t="array" ref="X46">INDEX('Raw Data'!$A:$O,$F46,20)</f>
        <v>#NUM!</v>
      </c>
      <c r="Y46" t="e">
        <f t="array" ref="Y46">INDEX('Raw Data'!$A:$O,F46,21)</f>
        <v>#NUM!</v>
      </c>
      <c r="Z46" t="e">
        <f t="array" ref="Z46">INDEX('Raw Data'!$A:$O,$F46,3)</f>
        <v>#NUM!</v>
      </c>
      <c r="AA46" t="e">
        <f t="array" ref="AA46">INDEX('Raw Data'!$A:$O,$F46,22)</f>
        <v>#NUM!</v>
      </c>
      <c r="AB46" t="e">
        <f t="array" ref="AB46">INDEX('Raw Data'!$A:$O,$F46,23)</f>
        <v>#NUM!</v>
      </c>
      <c r="BA46" s="2"/>
      <c r="BB46" s="2"/>
      <c r="BC46" s="2"/>
      <c r="BD46" s="2"/>
      <c r="BE46" s="2"/>
      <c r="BF46" s="2"/>
    </row>
    <row r="47" spans="1:58" x14ac:dyDescent="0.25">
      <c r="A47" t="s">
        <v>55</v>
      </c>
      <c r="C47" s="2" t="e">
        <f>B37/B36</f>
        <v>#DIV/0!</v>
      </c>
      <c r="F47">
        <f t="array" ref="F47">COUNTIF(F32:F46,"&gt;0")</f>
        <v>0</v>
      </c>
      <c r="G47">
        <f t="array" ref="G47">SUMIF(G32:G46,"&gt;0")</f>
        <v>0</v>
      </c>
      <c r="H47">
        <f t="array" ref="H47">SUMIF(H32:H46,"&gt;0")</f>
        <v>0</v>
      </c>
      <c r="I47">
        <f t="array" ref="I47">SUMIF(I32:I46,"&gt;0")</f>
        <v>0</v>
      </c>
      <c r="J47">
        <f t="array" ref="J47">SUMIF(J32:J46,"&gt;0")</f>
        <v>0</v>
      </c>
      <c r="K47">
        <f t="array" ref="K47">SUMIF(K32:K46,"&gt;0")</f>
        <v>0</v>
      </c>
      <c r="L47">
        <f t="array" ref="L47">SUMIF(L32:L46,"&gt;0")</f>
        <v>0</v>
      </c>
      <c r="M47">
        <f t="array" ref="M47">SUMIF(M32:M46,"&gt;0")</f>
        <v>0</v>
      </c>
      <c r="N47">
        <f t="array" ref="N47">SUMIF(N32:N46,"&gt;0")</f>
        <v>0</v>
      </c>
      <c r="O47">
        <f t="array" ref="O47">SUMIF(O32:O46,"&gt;0")</f>
        <v>0</v>
      </c>
      <c r="P47">
        <f t="array" ref="P47">SUMIF(P32:P46,"&gt;0")</f>
        <v>0</v>
      </c>
      <c r="Q47">
        <f t="array" ref="Q47">SUMIF(Q32:Q46,"&gt;0")</f>
        <v>0</v>
      </c>
      <c r="R47">
        <f t="array" ref="R47">SUMIF(R32:R46,"&gt;0")</f>
        <v>0</v>
      </c>
      <c r="S47">
        <f t="array" ref="S47">SUMIF(S32:S46,"&gt;0")</f>
        <v>0</v>
      </c>
      <c r="T47">
        <f t="array" ref="T47">SUMIF(T32:T46,"&gt;0")</f>
        <v>0</v>
      </c>
      <c r="U47">
        <f t="array" ref="U47">SUMIF(U32:U46,"&gt;0")</f>
        <v>0</v>
      </c>
      <c r="V47">
        <f t="array" ref="V47">SUMIF(V32:V46,"&gt;0")</f>
        <v>0</v>
      </c>
      <c r="W47">
        <f t="array" ref="W47">SUMIF(W32:W46,"&gt;0")</f>
        <v>0</v>
      </c>
      <c r="X47">
        <f t="array" ref="X47">SUMIF(X32:X46,"&gt;0")</f>
        <v>0</v>
      </c>
      <c r="Y47">
        <f t="array" ref="Y47">SUMIF(Y32:Y46,"&gt;0")</f>
        <v>0</v>
      </c>
      <c r="Z47">
        <f t="array" ref="Z47">SUMIF(Z32:Z46,"&gt;0")</f>
        <v>0</v>
      </c>
      <c r="AA47">
        <f t="array" ref="AA47">SUMIF(AA32:AA46,"&gt;0")</f>
        <v>0</v>
      </c>
      <c r="AB47">
        <f t="array" ref="AB47">SUMIF(AB32:AB46,"&gt;0")</f>
        <v>0</v>
      </c>
      <c r="BA47" s="2"/>
      <c r="BB47" s="2"/>
      <c r="BC47" s="2"/>
      <c r="BD47" s="2"/>
      <c r="BE47" s="2"/>
      <c r="BF47" s="2"/>
    </row>
    <row r="48" spans="1:58" x14ac:dyDescent="0.25">
      <c r="A48" t="s">
        <v>58</v>
      </c>
      <c r="C48" s="2">
        <f t="array" ref="C48">IF((K47+L47)&lt;&gt;0, (L47/(K47+L47)),0)</f>
        <v>0</v>
      </c>
      <c r="J48" s="6">
        <f t="array" ref="J48">J47*10</f>
        <v>0</v>
      </c>
      <c r="K48"/>
      <c r="P48" t="s">
        <v>95</v>
      </c>
      <c r="Q48" s="2" t="e">
        <f t="array" ref="Q48">Q47/$F47</f>
        <v>#DIV/0!</v>
      </c>
      <c r="R48" s="2" t="e">
        <f t="array" ref="R48">R47/$F47</f>
        <v>#DIV/0!</v>
      </c>
      <c r="S48" s="2" t="e">
        <f t="array" ref="S48">S47/$F47</f>
        <v>#DIV/0!</v>
      </c>
      <c r="T48" s="2" t="e">
        <f t="array" ref="T48">T47/$F47</f>
        <v>#DIV/0!</v>
      </c>
      <c r="U48" s="2" t="e">
        <f t="array" ref="U48">U47/$F47</f>
        <v>#DIV/0!</v>
      </c>
      <c r="V48" s="2" t="e">
        <f t="array" ref="V48">V47/$F47</f>
        <v>#DIV/0!</v>
      </c>
      <c r="W48" s="2" t="e">
        <f t="array" ref="W48">W47/$F47</f>
        <v>#DIV/0!</v>
      </c>
      <c r="X48" s="2" t="e">
        <f t="array" ref="X48">X47/$F47</f>
        <v>#DIV/0!</v>
      </c>
      <c r="Z48" s="2" t="e">
        <f t="array" ref="Z48">Z47/F47</f>
        <v>#DIV/0!</v>
      </c>
      <c r="AA48" s="1"/>
      <c r="AR48" s="23"/>
      <c r="BA48" s="2"/>
      <c r="BB48" s="2"/>
      <c r="BC48" s="2"/>
      <c r="BD48" s="2"/>
      <c r="BE48" s="2"/>
      <c r="BF48" s="2"/>
    </row>
    <row r="49" spans="1:58" x14ac:dyDescent="0.25">
      <c r="A49" t="s">
        <v>60</v>
      </c>
      <c r="C49" s="2">
        <f t="array" ref="C49">IF((M47+N47)&lt;&gt;0, (N47/(M47+N47)),0)</f>
        <v>0</v>
      </c>
      <c r="J49"/>
      <c r="K49"/>
      <c r="AA49" s="1"/>
      <c r="AR49" s="23"/>
      <c r="BA49" s="2"/>
      <c r="BB49" s="2"/>
      <c r="BC49" s="2"/>
      <c r="BD49" s="2"/>
      <c r="BE49" s="2"/>
      <c r="BF49" s="2"/>
    </row>
    <row r="50" spans="1:58" ht="28.5" x14ac:dyDescent="0.45">
      <c r="A50" t="s">
        <v>61</v>
      </c>
      <c r="C50" s="2">
        <f t="array" ref="C50">IF(((K47+N47+L47+M47)&lt;&gt;0), ((L47+N47)/(K47+N47+L47+M47)),0)</f>
        <v>0</v>
      </c>
      <c r="F50" s="17" t="s">
        <v>106</v>
      </c>
      <c r="G50" s="17" t="e">
        <f t="array" ref="G50">'Weighting &amp; Ranking Sheet'!$B$3*Math!$C48+'Weighting &amp; Ranking Sheet'!$B$4*Math!$C49+'Weighting &amp; Ranking Sheet'!$B$5*Math!$C50+'Weighting &amp; Ranking Sheet'!$B$6*Math!$C51+'Weighting &amp; Ranking Sheet'!$B$7*Math!$C35+'Weighting &amp; Ranking Sheet'!$B$8*Math!$C47+'Weighting &amp; Ranking Sheet'!$B$9*Math!$C54+'Weighting &amp; Ranking Sheet'!$B$10*Math!$C52+'Weighting &amp; Ranking Sheet'!$B$11*Math!$C53+'Weighting &amp; Ranking Sheet'!$B$12*Math!$C55*0.01+'Weighting &amp; Ranking Sheet'!$B$13*Math!$Q48+'Weighting &amp; Ranking Sheet'!$B$14*Math!$R48+'Weighting &amp; Ranking Sheet'!$B$15*Math!$S48+'Weighting &amp; Ranking Sheet'!$B$16*Math!$T48+'Weighting &amp; Ranking Sheet'!$B$17*Math!$U48+'Weighting &amp; Ranking Sheet'!$B$18*Math!$V48+'Weighting &amp; Ranking Sheet'!$B$2*Math!$Z48</f>
        <v>#DIV/0!</v>
      </c>
      <c r="H50" s="17"/>
      <c r="J50"/>
      <c r="K50"/>
      <c r="AA50" s="1"/>
      <c r="AR50" s="25"/>
      <c r="BA50" s="2"/>
      <c r="BB50" s="2"/>
      <c r="BC50" s="2"/>
      <c r="BD50" s="2"/>
      <c r="BE50" s="2"/>
      <c r="BF50" s="2"/>
    </row>
    <row r="51" spans="1:58" x14ac:dyDescent="0.25">
      <c r="A51" t="s">
        <v>62</v>
      </c>
      <c r="C51" s="2">
        <f t="array" ref="C51">IF((O47+P47&lt;&gt;0),(P47/(O47+P47)), 0)</f>
        <v>0</v>
      </c>
      <c r="J51"/>
      <c r="K51"/>
      <c r="AA51" s="1"/>
      <c r="AR51" s="25"/>
      <c r="BA51" s="2"/>
      <c r="BB51" s="2"/>
      <c r="BC51" s="2"/>
      <c r="BD51" s="2"/>
      <c r="BE51" s="2"/>
      <c r="BF51" s="2"/>
    </row>
    <row r="52" spans="1:58" x14ac:dyDescent="0.25">
      <c r="A52" t="s">
        <v>77</v>
      </c>
      <c r="C52" s="8" t="e">
        <f t="array" ref="C52">W47/F47</f>
        <v>#DIV/0!</v>
      </c>
      <c r="J52"/>
      <c r="K52"/>
      <c r="AA52" s="1"/>
      <c r="AR52" s="23"/>
      <c r="BA52" s="2"/>
      <c r="BB52" s="2"/>
      <c r="BC52" s="2"/>
      <c r="BD52" s="2"/>
      <c r="BE52" s="2"/>
      <c r="BF52" s="2"/>
    </row>
    <row r="53" spans="1:58" x14ac:dyDescent="0.25">
      <c r="A53" t="s">
        <v>78</v>
      </c>
      <c r="C53" s="8" t="e">
        <f t="array" ref="C53">X47/F47</f>
        <v>#DIV/0!</v>
      </c>
      <c r="J53"/>
      <c r="K53"/>
      <c r="AA53" s="1"/>
      <c r="BA53" s="2"/>
      <c r="BB53" s="2"/>
      <c r="BC53" s="2"/>
      <c r="BD53" s="2"/>
      <c r="BE53" s="2"/>
      <c r="BF53" s="2"/>
    </row>
    <row r="54" spans="1:58" x14ac:dyDescent="0.25">
      <c r="A54" t="s">
        <v>91</v>
      </c>
      <c r="C54" s="2" t="e">
        <f t="array" ref="C54">(C35+C47)/2</f>
        <v>#DIV/0!</v>
      </c>
      <c r="J54"/>
      <c r="K54"/>
      <c r="AA54" s="1"/>
      <c r="BA54" s="2"/>
      <c r="BB54" s="2"/>
      <c r="BC54" s="2"/>
      <c r="BD54" s="2"/>
      <c r="BE54" s="2"/>
      <c r="BF54" s="2"/>
    </row>
    <row r="55" spans="1:58" x14ac:dyDescent="0.25">
      <c r="A55" t="s">
        <v>92</v>
      </c>
      <c r="C55" s="8" t="e">
        <f t="array" ref="C55">Y47/F47</f>
        <v>#DIV/0!</v>
      </c>
      <c r="J55"/>
      <c r="K55"/>
      <c r="AA55" s="1"/>
      <c r="BA55" s="2"/>
      <c r="BB55" s="2"/>
      <c r="BC55" s="2"/>
      <c r="BD55" s="2"/>
      <c r="BE55" s="2"/>
      <c r="BF55" s="2"/>
    </row>
    <row r="56" spans="1:58" x14ac:dyDescent="0.25">
      <c r="C56" s="2"/>
      <c r="J56"/>
      <c r="K56"/>
      <c r="AA56" s="1"/>
      <c r="BA56" s="2"/>
      <c r="BB56" s="2"/>
      <c r="BC56" s="2"/>
      <c r="BD56" s="2"/>
      <c r="BE56" s="2"/>
      <c r="BF56" s="2"/>
    </row>
    <row r="57" spans="1:58" x14ac:dyDescent="0.25">
      <c r="C57" s="2"/>
      <c r="J57"/>
      <c r="K57"/>
      <c r="AA57" s="1"/>
      <c r="BA57" s="2"/>
      <c r="BB57" s="2"/>
      <c r="BC57" s="2"/>
      <c r="BD57" s="2"/>
      <c r="BE57" s="2"/>
      <c r="BF57" s="2"/>
    </row>
    <row r="58" spans="1:58" x14ac:dyDescent="0.25">
      <c r="K58" s="6"/>
      <c r="AA58" s="1"/>
      <c r="BA58" s="2"/>
      <c r="BB58" s="2"/>
      <c r="BC58" s="2"/>
      <c r="BD58" s="2"/>
      <c r="BE58" s="2"/>
      <c r="BF58" s="2"/>
    </row>
    <row r="59" spans="1:58" x14ac:dyDescent="0.25">
      <c r="A59" t="s">
        <v>3</v>
      </c>
      <c r="C59" s="5">
        <v>25</v>
      </c>
      <c r="F59" t="s">
        <v>6</v>
      </c>
      <c r="AA59" s="1"/>
      <c r="BA59" s="2"/>
      <c r="BB59" s="2"/>
      <c r="BC59" s="2"/>
      <c r="BD59" s="2"/>
      <c r="BE59" s="2"/>
      <c r="BF59" s="2"/>
    </row>
    <row r="60" spans="1:58" x14ac:dyDescent="0.25">
      <c r="F60" t="e">
        <f t="array" ref="F60">SMALL(IF('Raw Data'!A:A=C59,ROW('Raw Data'!A:A)),ROW('Raw Data'!$1:$1))</f>
        <v>#NUM!</v>
      </c>
      <c r="G60" t="e">
        <f t="array" ref="G60">INDEX('Raw Data'!A:A,F60,9)</f>
        <v>#NUM!</v>
      </c>
      <c r="H60" t="e">
        <f t="array" ref="H60">INDEX('Raw Data'!A:A,F60,10)</f>
        <v>#NUM!</v>
      </c>
      <c r="I60" t="e">
        <f t="array" ref="I60">INDEX('Raw Data'!$A:A,$F60,11)</f>
        <v>#NUM!</v>
      </c>
      <c r="J60" t="e">
        <f t="array" ref="J60">INDEX('Raw Data'!$A:A,F60,12)</f>
        <v>#NUM!</v>
      </c>
      <c r="K60" t="e">
        <f>(--INDEX('Raw Data'!$A$4:B$993,F60,4))</f>
        <v>#NUM!</v>
      </c>
      <c r="L60" t="e">
        <f t="array" ref="L60">(--INDEX('Raw Data'!$A$4:B$993,F60,5))</f>
        <v>#NUM!</v>
      </c>
      <c r="M60" t="e">
        <f t="array" ref="M60">(--INDEX('Raw Data'!$A$4:D$993,$F60,6))</f>
        <v>#NUM!</v>
      </c>
      <c r="N60" t="e">
        <f t="array" ref="N60">(--INDEX('Raw Data'!$A$4:D$993,$F60,7))</f>
        <v>#NUM!</v>
      </c>
      <c r="O60" t="e">
        <f t="array" ref="O60">IF(--INDEX('Raw Data'!$A$4:E$993,$F60,8)= 0, 1, 0)</f>
        <v>#NUM!</v>
      </c>
      <c r="P60" t="e">
        <f t="array" ref="P60">IF(--INDEX('Raw Data'!$A$4:F$993,$F60,8)= 1, 1, 0)</f>
        <v>#NUM!</v>
      </c>
      <c r="Q60" t="e">
        <f t="array" ref="Q60">IF(--INDEX('Raw Data'!$A$4:G$993,$F60,13)= 1, 1, 0)</f>
        <v>#NUM!</v>
      </c>
      <c r="R60" t="e">
        <f t="array" ref="R60">IF(--INDEX('Raw Data'!$A$4:H$993,$F60,14)= 1, 1, 0)</f>
        <v>#NUM!</v>
      </c>
      <c r="S60" t="e">
        <f t="array" ref="S60">IF(--INDEX('Raw Data'!$A$4:I$993,$F60,15)= 1, 1, 0)</f>
        <v>#NUM!</v>
      </c>
      <c r="T60" t="e">
        <f t="array" ref="T60">IF(--INDEX('Raw Data'!$A$4:I$993,$F60,15)= 1, 1, 0)</f>
        <v>#NUM!</v>
      </c>
      <c r="U60" t="e">
        <f t="array" ref="U60">IF(--INDEX('Raw Data'!$A$4:J$993,$F60,16)= 1, 1, 0)</f>
        <v>#NUM!</v>
      </c>
      <c r="V60" t="e">
        <f t="array" ref="V60">IF(--INDEX('Raw Data'!$A$4:K$993,$F60,17)= 1, 1, 0)</f>
        <v>#NUM!</v>
      </c>
      <c r="W60" t="e">
        <f t="array" ref="W60">INDEX('Raw Data'!$A:$O,$F60,19)</f>
        <v>#NUM!</v>
      </c>
      <c r="X60" t="e">
        <f t="array" ref="X60">INDEX('Raw Data'!$A:$O,$F60,20)</f>
        <v>#NUM!</v>
      </c>
      <c r="Y60" t="e">
        <f t="array" ref="Y60">INDEX('Raw Data'!$A:$O,F60,21)</f>
        <v>#NUM!</v>
      </c>
      <c r="Z60" t="e">
        <f t="array" ref="Z60">INDEX('Raw Data'!$A:$O,$F60,3)</f>
        <v>#NUM!</v>
      </c>
      <c r="AA60" t="e">
        <f t="array" ref="AA60">INDEX('Raw Data'!$A:$O,$F60,22)</f>
        <v>#NUM!</v>
      </c>
      <c r="AB60" t="e">
        <f t="array" ref="AB60">INDEX('Raw Data'!$A:$O,$F60,23)</f>
        <v>#NUM!</v>
      </c>
      <c r="BA60" s="2"/>
      <c r="BB60" s="2"/>
      <c r="BC60" s="2"/>
      <c r="BD60" s="2"/>
      <c r="BE60" s="2"/>
      <c r="BF60" s="2"/>
    </row>
    <row r="61" spans="1:58" x14ac:dyDescent="0.25">
      <c r="A61" t="s">
        <v>0</v>
      </c>
      <c r="B61">
        <f>G75</f>
        <v>0</v>
      </c>
      <c r="F61" t="e">
        <f t="array" ref="F61">SMALL(IF('Raw Data'!A:A=C59,ROW('Raw Data'!A:A)),ROW('Raw Data'!$2:$2))</f>
        <v>#NUM!</v>
      </c>
      <c r="G61" t="e">
        <f t="array" ref="G61">INDEX('Raw Data'!A:A,F61,9)</f>
        <v>#NUM!</v>
      </c>
      <c r="H61" t="e">
        <f t="array" ref="H61">INDEX('Raw Data'!A:A,F61,10)</f>
        <v>#NUM!</v>
      </c>
      <c r="I61" t="e">
        <f t="array" ref="I61">INDEX('Raw Data'!$A:A,$F61,11)</f>
        <v>#NUM!</v>
      </c>
      <c r="J61" t="e">
        <f t="array" ref="J61">INDEX('Raw Data'!$A:A,F61,12)</f>
        <v>#NUM!</v>
      </c>
      <c r="K61" t="e">
        <f>(--INDEX('Raw Data'!$A$4:B$993,F61,4))</f>
        <v>#NUM!</v>
      </c>
      <c r="L61" t="e">
        <f t="array" ref="L61">(--INDEX('Raw Data'!$A$4:B$993,F61,5))</f>
        <v>#NUM!</v>
      </c>
      <c r="M61" t="e">
        <f t="array" ref="M61">(--INDEX('Raw Data'!$A$4:D$993,$F61,6))</f>
        <v>#NUM!</v>
      </c>
      <c r="N61" t="e">
        <f t="array" ref="N61">(--INDEX('Raw Data'!$A$4:D$993,$F61,7))</f>
        <v>#NUM!</v>
      </c>
      <c r="O61" t="e">
        <f t="array" ref="O61">IF(--INDEX('Raw Data'!$A$4:E$993,$F61,8)= 0, 1, 0)</f>
        <v>#NUM!</v>
      </c>
      <c r="P61" t="e">
        <f t="array" ref="P61">IF(--INDEX('Raw Data'!$A$4:F$993,$F61,8)= 1, 1, 0)</f>
        <v>#NUM!</v>
      </c>
      <c r="Q61" t="e">
        <f t="array" ref="Q61">IF(--INDEX('Raw Data'!$A$4:G$993,$F61,13)= 1, 1, 0)</f>
        <v>#NUM!</v>
      </c>
      <c r="R61" t="e">
        <f t="array" ref="R61">IF(--INDEX('Raw Data'!$A$4:H$993,$F61,14)= 1, 1, 0)</f>
        <v>#NUM!</v>
      </c>
      <c r="S61" t="e">
        <f t="array" ref="S61">IF(--INDEX('Raw Data'!$A$4:I$993,$F61,15)= 1, 1, 0)</f>
        <v>#NUM!</v>
      </c>
      <c r="T61" t="e">
        <f t="array" ref="T61">IF(--INDEX('Raw Data'!$A$4:I$993,$F61,15)= 1, 1, 0)</f>
        <v>#NUM!</v>
      </c>
      <c r="U61" t="e">
        <f t="array" ref="U61">IF(--INDEX('Raw Data'!$A$4:J$993,$F61,16)= 1, 1, 0)</f>
        <v>#NUM!</v>
      </c>
      <c r="V61" t="e">
        <f t="array" ref="V61">IF(--INDEX('Raw Data'!$A$4:K$993,$F61,17)= 1, 1, 0)</f>
        <v>#NUM!</v>
      </c>
      <c r="W61" t="e">
        <f t="array" ref="W61">INDEX('Raw Data'!$A:$O,$F61,19)</f>
        <v>#NUM!</v>
      </c>
      <c r="X61" t="e">
        <f t="array" ref="X61">INDEX('Raw Data'!$A:$O,$F61,20)</f>
        <v>#NUM!</v>
      </c>
      <c r="Y61" t="e">
        <f t="array" ref="Y61">INDEX('Raw Data'!$A:$O,F61,21)</f>
        <v>#NUM!</v>
      </c>
      <c r="Z61" t="e">
        <f t="array" ref="Z61">INDEX('Raw Data'!$A:$O,$F61,3)</f>
        <v>#NUM!</v>
      </c>
      <c r="AA61" t="e">
        <f t="array" ref="AA61">INDEX('Raw Data'!$A:$O,$F61,22)</f>
        <v>#NUM!</v>
      </c>
      <c r="AB61" t="e">
        <f t="array" ref="AB61">INDEX('Raw Data'!$A:$O,$F61,23)</f>
        <v>#NUM!</v>
      </c>
      <c r="BA61" s="2"/>
      <c r="BB61" s="2"/>
      <c r="BC61" s="2"/>
      <c r="BD61" s="2"/>
      <c r="BE61" s="2"/>
      <c r="BF61" s="2"/>
    </row>
    <row r="62" spans="1:58" x14ac:dyDescent="0.25">
      <c r="A62" t="s">
        <v>1</v>
      </c>
      <c r="B62">
        <f>H75</f>
        <v>0</v>
      </c>
      <c r="F62" t="e">
        <f t="array" ref="F62">SMALL(IF('Raw Data'!A:A=C59,ROW('Raw Data'!A:A)),ROW('Raw Data'!$3:$3))</f>
        <v>#NUM!</v>
      </c>
      <c r="G62" t="e">
        <f t="array" ref="G62">INDEX('Raw Data'!A:A,F62,9)</f>
        <v>#NUM!</v>
      </c>
      <c r="H62" t="e">
        <f t="array" ref="H62">INDEX('Raw Data'!A:A,F62,10)</f>
        <v>#NUM!</v>
      </c>
      <c r="I62" t="e">
        <f t="array" ref="I62">INDEX('Raw Data'!$A:A,$F62,11)</f>
        <v>#NUM!</v>
      </c>
      <c r="J62" t="e">
        <f t="array" ref="J62">INDEX('Raw Data'!$A:A,F62,12)</f>
        <v>#NUM!</v>
      </c>
      <c r="K62" t="e">
        <f>(--INDEX('Raw Data'!$A$4:B$993,F62,4))</f>
        <v>#NUM!</v>
      </c>
      <c r="L62" t="e">
        <f t="array" ref="L62">(--INDEX('Raw Data'!$A$4:B$993,F62,5))</f>
        <v>#NUM!</v>
      </c>
      <c r="M62" t="e">
        <f t="array" ref="M62">(--INDEX('Raw Data'!$A$4:D$993,$F62,6))</f>
        <v>#NUM!</v>
      </c>
      <c r="N62" t="e">
        <f t="array" ref="N62">(--INDEX('Raw Data'!$A$4:D$993,$F62,7))</f>
        <v>#NUM!</v>
      </c>
      <c r="O62" t="e">
        <f t="array" ref="O62">IF(--INDEX('Raw Data'!$A$4:E$993,$F62,8)= 0, 1, 0)</f>
        <v>#NUM!</v>
      </c>
      <c r="P62" t="e">
        <f t="array" ref="P62">IF(--INDEX('Raw Data'!$A$4:F$993,$F62,8)= 1, 1, 0)</f>
        <v>#NUM!</v>
      </c>
      <c r="Q62" t="e">
        <f t="array" ref="Q62">IF(--INDEX('Raw Data'!$A$4:G$993,$F62,13)= 1, 1, 0)</f>
        <v>#NUM!</v>
      </c>
      <c r="R62" t="e">
        <f t="array" ref="R62">IF(--INDEX('Raw Data'!$A$4:H$993,$F62,14)= 1, 1, 0)</f>
        <v>#NUM!</v>
      </c>
      <c r="S62" t="e">
        <f t="array" ref="S62">IF(--INDEX('Raw Data'!$A$4:I$993,$F62,15)= 1, 1, 0)</f>
        <v>#NUM!</v>
      </c>
      <c r="T62" t="e">
        <f t="array" ref="T62">IF(--INDEX('Raw Data'!$A$4:I$993,$F62,15)= 1, 1, 0)</f>
        <v>#NUM!</v>
      </c>
      <c r="U62" t="e">
        <f t="array" ref="U62">IF(--INDEX('Raw Data'!$A$4:J$993,$F62,16)= 1, 1, 0)</f>
        <v>#NUM!</v>
      </c>
      <c r="V62" t="e">
        <f t="array" ref="V62">IF(--INDEX('Raw Data'!$A$4:K$993,$F62,17)= 1, 1, 0)</f>
        <v>#NUM!</v>
      </c>
      <c r="W62" t="e">
        <f t="array" ref="W62">INDEX('Raw Data'!$A:$O,$F62,19)</f>
        <v>#NUM!</v>
      </c>
      <c r="X62" t="e">
        <f t="array" ref="X62">INDEX('Raw Data'!$A:$O,$F62,20)</f>
        <v>#NUM!</v>
      </c>
      <c r="Y62" t="e">
        <f t="array" ref="Y62">INDEX('Raw Data'!$A:$O,F62,21)</f>
        <v>#NUM!</v>
      </c>
      <c r="Z62" t="e">
        <f t="array" ref="Z62">INDEX('Raw Data'!$A:$O,$F62,3)</f>
        <v>#NUM!</v>
      </c>
      <c r="AA62" t="e">
        <f t="array" ref="AA62">INDEX('Raw Data'!$A:$O,$F62,22)</f>
        <v>#NUM!</v>
      </c>
      <c r="AB62" t="e">
        <f t="array" ref="AB62">INDEX('Raw Data'!$A:$O,$F62,23)</f>
        <v>#NUM!</v>
      </c>
      <c r="BA62" s="2"/>
      <c r="BB62" s="2"/>
      <c r="BC62" s="2"/>
      <c r="BD62" s="2"/>
      <c r="BE62" s="2"/>
      <c r="BF62" s="2"/>
    </row>
    <row r="63" spans="1:58" x14ac:dyDescent="0.25">
      <c r="A63" t="s">
        <v>2</v>
      </c>
      <c r="C63" s="3" t="e">
        <f>B62/B61</f>
        <v>#DIV/0!</v>
      </c>
      <c r="F63" t="e">
        <f t="array" ref="F63">SMALL(IF('Raw Data'!A:A=C59,ROW('Raw Data'!A:A)),ROW('Raw Data'!$4:$4))</f>
        <v>#NUM!</v>
      </c>
      <c r="G63" t="e">
        <f t="array" ref="G63">INDEX('Raw Data'!A:A,F63,9)</f>
        <v>#NUM!</v>
      </c>
      <c r="H63" t="e">
        <f t="array" ref="H63">INDEX('Raw Data'!A:A,F63,10)</f>
        <v>#NUM!</v>
      </c>
      <c r="I63" t="e">
        <f t="array" ref="I63">INDEX('Raw Data'!$A:A,$F63,11)</f>
        <v>#NUM!</v>
      </c>
      <c r="J63" t="e">
        <f t="array" ref="J63">INDEX('Raw Data'!$A:A,F63,12)</f>
        <v>#NUM!</v>
      </c>
      <c r="K63" t="e">
        <f>(--INDEX('Raw Data'!$A$4:B$993,F63,4))</f>
        <v>#NUM!</v>
      </c>
      <c r="L63" t="e">
        <f t="array" ref="L63">(--INDEX('Raw Data'!$A$4:B$993,F63,5))</f>
        <v>#NUM!</v>
      </c>
      <c r="M63" t="e">
        <f t="array" ref="M63">(--INDEX('Raw Data'!$A$4:D$993,$F63,6))</f>
        <v>#NUM!</v>
      </c>
      <c r="N63" t="e">
        <f t="array" ref="N63">(--INDEX('Raw Data'!$A$4:D$993,$F63,7))</f>
        <v>#NUM!</v>
      </c>
      <c r="O63" t="e">
        <f t="array" ref="O63">IF(--INDEX('Raw Data'!$A$4:E$993,$F63,8)= 0, 1, 0)</f>
        <v>#NUM!</v>
      </c>
      <c r="P63" t="e">
        <f t="array" ref="P63">IF(--INDEX('Raw Data'!$A$4:F$993,$F63,8)= 1, 1, 0)</f>
        <v>#NUM!</v>
      </c>
      <c r="Q63" t="e">
        <f t="array" ref="Q63">IF(--INDEX('Raw Data'!$A$4:G$993,$F63,13)= 1, 1, 0)</f>
        <v>#NUM!</v>
      </c>
      <c r="R63" t="e">
        <f t="array" ref="R63">IF(--INDEX('Raw Data'!$A$4:H$993,$F63,14)= 1, 1, 0)</f>
        <v>#NUM!</v>
      </c>
      <c r="S63" t="e">
        <f t="array" ref="S63">IF(--INDEX('Raw Data'!$A$4:I$993,$F63,15)= 1, 1, 0)</f>
        <v>#NUM!</v>
      </c>
      <c r="T63" t="e">
        <f t="array" ref="T63">IF(--INDEX('Raw Data'!$A$4:I$993,$F63,15)= 1, 1, 0)</f>
        <v>#NUM!</v>
      </c>
      <c r="U63" t="e">
        <f t="array" ref="U63">IF(--INDEX('Raw Data'!$A$4:J$993,$F63,16)= 1, 1, 0)</f>
        <v>#NUM!</v>
      </c>
      <c r="V63" t="e">
        <f t="array" ref="V63">IF(--INDEX('Raw Data'!$A$4:K$993,$F63,17)= 1, 1, 0)</f>
        <v>#NUM!</v>
      </c>
      <c r="W63" t="e">
        <f t="array" ref="W63">INDEX('Raw Data'!$A:$O,$F63,19)</f>
        <v>#NUM!</v>
      </c>
      <c r="X63" t="e">
        <f t="array" ref="X63">INDEX('Raw Data'!$A:$O,$F63,20)</f>
        <v>#NUM!</v>
      </c>
      <c r="Y63" t="e">
        <f t="array" ref="Y63">INDEX('Raw Data'!$A:$O,F63,21)</f>
        <v>#NUM!</v>
      </c>
      <c r="Z63" t="e">
        <f t="array" ref="Z63">INDEX('Raw Data'!$A:$O,$F63,3)</f>
        <v>#NUM!</v>
      </c>
      <c r="AA63" t="e">
        <f t="array" ref="AA63">INDEX('Raw Data'!$A:$O,$F63,22)</f>
        <v>#NUM!</v>
      </c>
      <c r="AB63" t="e">
        <f t="array" ref="AB63">INDEX('Raw Data'!$A:$O,$F63,23)</f>
        <v>#NUM!</v>
      </c>
      <c r="BA63" s="2"/>
      <c r="BB63" s="2"/>
      <c r="BC63" s="2"/>
      <c r="BD63" s="2"/>
      <c r="BE63" s="2"/>
      <c r="BF63" s="2"/>
    </row>
    <row r="64" spans="1:58" x14ac:dyDescent="0.25">
      <c r="A64" t="s">
        <v>54</v>
      </c>
      <c r="B64">
        <f>I75</f>
        <v>0</v>
      </c>
      <c r="F64" t="e">
        <f t="array" ref="F64">SMALL(IF('Raw Data'!A:A=C59,ROW('Raw Data'!A:A)),ROW('Raw Data'!$5:$5))</f>
        <v>#NUM!</v>
      </c>
      <c r="G64" t="e">
        <f t="array" ref="G64">INDEX('Raw Data'!A:A,F64,9)</f>
        <v>#NUM!</v>
      </c>
      <c r="H64" t="e">
        <f t="array" ref="H64">INDEX('Raw Data'!A:A,F64,10)</f>
        <v>#NUM!</v>
      </c>
      <c r="I64" t="e">
        <f t="array" ref="I64">INDEX('Raw Data'!$A:A,$F64,11)</f>
        <v>#NUM!</v>
      </c>
      <c r="J64" t="e">
        <f t="array" ref="J64">INDEX('Raw Data'!$A:A,F64,12)</f>
        <v>#NUM!</v>
      </c>
      <c r="K64" t="e">
        <f>(--INDEX('Raw Data'!$A$4:B$993,F64,4))</f>
        <v>#NUM!</v>
      </c>
      <c r="L64" t="e">
        <f t="array" ref="L64">(--INDEX('Raw Data'!$A$4:B$993,F64,5))</f>
        <v>#NUM!</v>
      </c>
      <c r="M64" t="e">
        <f t="array" ref="M64">(--INDEX('Raw Data'!$A$4:D$993,$F64,6))</f>
        <v>#NUM!</v>
      </c>
      <c r="N64" t="e">
        <f t="array" ref="N64">(--INDEX('Raw Data'!$A$4:D$993,$F64,7))</f>
        <v>#NUM!</v>
      </c>
      <c r="O64" t="e">
        <f t="array" ref="O64">IF(--INDEX('Raw Data'!$A$4:E$993,$F64,8)= 0, 1, 0)</f>
        <v>#NUM!</v>
      </c>
      <c r="P64" t="e">
        <f t="array" ref="P64">IF(--INDEX('Raw Data'!$A$4:F$993,$F64,8)= 1, 1, 0)</f>
        <v>#NUM!</v>
      </c>
      <c r="Q64" t="e">
        <f t="array" ref="Q64">IF(--INDEX('Raw Data'!$A$4:G$993,$F64,13)= 1, 1, 0)</f>
        <v>#NUM!</v>
      </c>
      <c r="R64" t="e">
        <f t="array" ref="R64">IF(--INDEX('Raw Data'!$A$4:H$993,$F64,14)= 1, 1, 0)</f>
        <v>#NUM!</v>
      </c>
      <c r="S64" t="e">
        <f t="array" ref="S64">IF(--INDEX('Raw Data'!$A$4:I$993,$F64,15)= 1, 1, 0)</f>
        <v>#NUM!</v>
      </c>
      <c r="T64" t="e">
        <f t="array" ref="T64">IF(--INDEX('Raw Data'!$A$4:I$993,$F64,15)= 1, 1, 0)</f>
        <v>#NUM!</v>
      </c>
      <c r="U64" t="e">
        <f t="array" ref="U64">IF(--INDEX('Raw Data'!$A$4:J$993,$F64,16)= 1, 1, 0)</f>
        <v>#NUM!</v>
      </c>
      <c r="V64" t="e">
        <f t="array" ref="V64">IF(--INDEX('Raw Data'!$A$4:K$993,$F64,17)= 1, 1, 0)</f>
        <v>#NUM!</v>
      </c>
      <c r="W64" t="e">
        <f t="array" ref="W64">INDEX('Raw Data'!$A:$O,$F64,19)</f>
        <v>#NUM!</v>
      </c>
      <c r="X64" t="e">
        <f t="array" ref="X64">INDEX('Raw Data'!$A:$O,$F64,20)</f>
        <v>#NUM!</v>
      </c>
      <c r="Y64" t="e">
        <f t="array" ref="Y64">INDEX('Raw Data'!$A:$O,F64,21)</f>
        <v>#NUM!</v>
      </c>
      <c r="Z64" t="e">
        <f t="array" ref="Z64">INDEX('Raw Data'!$A:$O,$F64,3)</f>
        <v>#NUM!</v>
      </c>
      <c r="AA64" t="e">
        <f t="array" ref="AA64">INDEX('Raw Data'!$A:$O,$F64,22)</f>
        <v>#NUM!</v>
      </c>
      <c r="AB64" t="e">
        <f t="array" ref="AB64">INDEX('Raw Data'!$A:$O,$F64,23)</f>
        <v>#NUM!</v>
      </c>
      <c r="BA64" s="2"/>
      <c r="BB64" s="2"/>
      <c r="BC64" s="2"/>
      <c r="BD64" s="2"/>
      <c r="BE64" s="2"/>
      <c r="BF64" s="2"/>
    </row>
    <row r="65" spans="1:58" x14ac:dyDescent="0.25">
      <c r="A65" t="s">
        <v>35</v>
      </c>
      <c r="B65">
        <f>J75</f>
        <v>0</v>
      </c>
      <c r="F65" t="e">
        <f t="array" ref="F65">SMALL(IF('Raw Data'!A:A=C59,ROW('Raw Data'!A:A)),ROW('Raw Data'!$6:$6))</f>
        <v>#NUM!</v>
      </c>
      <c r="G65" t="e">
        <f t="array" ref="G65">INDEX('Raw Data'!A:A,F65,9)</f>
        <v>#NUM!</v>
      </c>
      <c r="H65" t="e">
        <f t="array" ref="H65">INDEX('Raw Data'!A:A,F65,10)</f>
        <v>#NUM!</v>
      </c>
      <c r="I65" t="e">
        <f t="array" ref="I65">INDEX('Raw Data'!$A:A,$F65,11)</f>
        <v>#NUM!</v>
      </c>
      <c r="J65" t="e">
        <f t="array" ref="J65">INDEX('Raw Data'!$A:A,F65,12)</f>
        <v>#NUM!</v>
      </c>
      <c r="K65" t="e">
        <f>(--INDEX('Raw Data'!$A$4:B$993,F65,4))</f>
        <v>#NUM!</v>
      </c>
      <c r="L65" t="e">
        <f t="array" ref="L65">(--INDEX('Raw Data'!$A$4:B$998,F65,5))</f>
        <v>#NUM!</v>
      </c>
      <c r="M65" t="e">
        <f t="array" ref="M65">(--INDEX('Raw Data'!$A$4:D$998,$F65,6))</f>
        <v>#NUM!</v>
      </c>
      <c r="N65" t="e">
        <f t="array" ref="N65">(--INDEX('Raw Data'!$A$4:D$993,$F65,7))</f>
        <v>#NUM!</v>
      </c>
      <c r="O65" t="e">
        <f t="array" ref="O65">IF(--INDEX('Raw Data'!$A$4:E$993,$F65,8)= 0, 1, 0)</f>
        <v>#NUM!</v>
      </c>
      <c r="P65" t="e">
        <f t="array" ref="P65">IF(--INDEX('Raw Data'!$A$4:F$998,$F65,8)= 1, 1, 0)</f>
        <v>#NUM!</v>
      </c>
      <c r="Q65" t="e">
        <f t="array" ref="Q65">IF(--INDEX('Raw Data'!$A$4:G$998,$F65,13)= 1, 1, 0)</f>
        <v>#NUM!</v>
      </c>
      <c r="R65" t="e">
        <f t="array" ref="R65">IF(--INDEX('Raw Data'!$A$4:H$998,$F65,14)= 1, 1, 0)</f>
        <v>#NUM!</v>
      </c>
      <c r="S65" t="e">
        <f t="array" ref="S65">IF(--INDEX('Raw Data'!$A$4:I$993,$F65,15)= 1, 1, 0)</f>
        <v>#NUM!</v>
      </c>
      <c r="T65" t="e">
        <f t="array" ref="T65">IF(--INDEX('Raw Data'!$A$4:I$998,$F65,15)= 1, 1, 0)</f>
        <v>#NUM!</v>
      </c>
      <c r="U65" t="e">
        <f t="array" ref="U65">IF(--INDEX('Raw Data'!$A$4:J$998,$F65,16)= 1, 1, 0)</f>
        <v>#NUM!</v>
      </c>
      <c r="V65" t="e">
        <f t="array" ref="V65">IF(--INDEX('Raw Data'!$A$4:K$993,$F65,17)= 1, 1, 0)</f>
        <v>#NUM!</v>
      </c>
      <c r="W65" t="e">
        <f t="array" ref="W65">INDEX('Raw Data'!$A:$O,$F65,19)</f>
        <v>#NUM!</v>
      </c>
      <c r="X65" t="e">
        <f t="array" ref="X65">INDEX('Raw Data'!$A:$O,$F65,20)</f>
        <v>#NUM!</v>
      </c>
      <c r="Y65" t="e">
        <f t="array" ref="Y65">INDEX('Raw Data'!$A:$O,F65,21)</f>
        <v>#NUM!</v>
      </c>
      <c r="Z65" t="e">
        <f t="array" ref="Z65">INDEX('Raw Data'!$A:$O,$F65,3)</f>
        <v>#NUM!</v>
      </c>
      <c r="AA65" t="e">
        <f t="array" ref="AA65">INDEX('Raw Data'!$A:$O,$F65,22)</f>
        <v>#NUM!</v>
      </c>
      <c r="AB65" t="e">
        <f t="array" ref="AB65">INDEX('Raw Data'!$A:$O,$F65,23)</f>
        <v>#NUM!</v>
      </c>
      <c r="BA65" s="2"/>
      <c r="BB65" s="2"/>
      <c r="BC65" s="2"/>
      <c r="BD65" s="2"/>
      <c r="BE65" s="2"/>
      <c r="BF65" s="2"/>
    </row>
    <row r="66" spans="1:58" ht="28.5" x14ac:dyDescent="0.45">
      <c r="F66" t="e">
        <f t="array" ref="F66">SMALL(IF('Raw Data'!A:A=C59,ROW('Raw Data'!A:A)),ROW('Raw Data'!$7:$7))</f>
        <v>#NUM!</v>
      </c>
      <c r="G66" t="e">
        <f t="array" ref="G66">INDEX('Raw Data'!A:A,F66,9)</f>
        <v>#NUM!</v>
      </c>
      <c r="H66" t="e">
        <f t="array" ref="H66">INDEX('Raw Data'!A:A,F66,10)</f>
        <v>#NUM!</v>
      </c>
      <c r="I66" t="e">
        <f t="array" ref="I66">INDEX('Raw Data'!$A:A,$F66,11)</f>
        <v>#NUM!</v>
      </c>
      <c r="J66" t="e">
        <f t="array" ref="J66">INDEX('Raw Data'!$A:A,F66,12)</f>
        <v>#NUM!</v>
      </c>
      <c r="K66" t="e">
        <f t="array" ref="K66">(--INDEX('Raw Data'!$A$4:B$998,F66,4))</f>
        <v>#NUM!</v>
      </c>
      <c r="L66" t="e">
        <f t="array" ref="L66">(--INDEX('Raw Data'!$A$4:B$998,F66,5))</f>
        <v>#NUM!</v>
      </c>
      <c r="M66" t="e">
        <f t="array" ref="M66">(--INDEX('Raw Data'!$A$4:D$998,$F66,6))</f>
        <v>#NUM!</v>
      </c>
      <c r="N66" t="e">
        <f t="array" ref="N66">(--INDEX('Raw Data'!$A$4:D$998,$F66,7))</f>
        <v>#NUM!</v>
      </c>
      <c r="O66" t="e">
        <f t="array" ref="O66">IF(--INDEX('Raw Data'!$A$4:E$998,$F66,8)= 0, 1, 0)</f>
        <v>#NUM!</v>
      </c>
      <c r="P66" t="e">
        <f t="array" ref="P66">IF(--INDEX('Raw Data'!$A$4:F$998,$F66,8)= 1, 1, 0)</f>
        <v>#NUM!</v>
      </c>
      <c r="Q66" t="e">
        <f t="array" ref="Q66">IF(--INDEX('Raw Data'!$A$4:G$998,$F66,13)= 1, 1, 0)</f>
        <v>#NUM!</v>
      </c>
      <c r="R66" t="e">
        <f t="array" ref="R66">IF(--INDEX('Raw Data'!$A$4:H$998,$F66,14)= 1, 1, 0)</f>
        <v>#NUM!</v>
      </c>
      <c r="S66" t="e">
        <f t="array" ref="S66">IF(--INDEX('Raw Data'!$A$4:I$998,$F66,15)= 1, 1, 0)</f>
        <v>#NUM!</v>
      </c>
      <c r="T66" t="e">
        <f t="array" ref="T66">IF(--INDEX('Raw Data'!$A$4:I$998,$F66,15)= 1, 1, 0)</f>
        <v>#NUM!</v>
      </c>
      <c r="U66" t="e">
        <f t="array" ref="U66">IF(--INDEX('Raw Data'!$A$4:J$998,$F66,16)= 1, 1, 0)</f>
        <v>#NUM!</v>
      </c>
      <c r="V66" t="e">
        <f t="array" ref="V66">IF(--INDEX('Raw Data'!$A$4:K$998,$F66,17)= 1, 1, 0)</f>
        <v>#NUM!</v>
      </c>
      <c r="W66" t="e">
        <f t="array" ref="W66">INDEX('Raw Data'!$A:$O,$F66,19)</f>
        <v>#NUM!</v>
      </c>
      <c r="X66" t="e">
        <f t="array" ref="X66">INDEX('Raw Data'!$A:$O,$F66,20)</f>
        <v>#NUM!</v>
      </c>
      <c r="Y66" t="e">
        <f t="array" ref="Y66">INDEX('Raw Data'!$A:$O,F66,21)</f>
        <v>#NUM!</v>
      </c>
      <c r="Z66" t="e">
        <f t="array" ref="Z66">INDEX('Raw Data'!$A:$O,$F66,3)</f>
        <v>#NUM!</v>
      </c>
      <c r="AA66" t="e">
        <f t="array" ref="AA66">INDEX('Raw Data'!$A:$O,$F66,22)</f>
        <v>#NUM!</v>
      </c>
      <c r="AB66" t="e">
        <f t="array" ref="AB66">INDEX('Raw Data'!$A:$O,$F66,23)</f>
        <v>#NUM!</v>
      </c>
      <c r="AM66" s="21"/>
      <c r="BA66" s="2"/>
      <c r="BB66" s="2"/>
      <c r="BC66" s="2"/>
      <c r="BD66" s="2"/>
      <c r="BE66" s="2"/>
      <c r="BF66" s="2"/>
    </row>
    <row r="67" spans="1:58" x14ac:dyDescent="0.25">
      <c r="F67" t="e">
        <f t="array" ref="F67">SMALL(IF('Raw Data'!A:A=C59,ROW('Raw Data'!A:A)),ROW('Raw Data'!$8:$8))</f>
        <v>#NUM!</v>
      </c>
      <c r="G67" t="e">
        <f t="array" ref="G67">INDEX('Raw Data'!A:A,F67,9)</f>
        <v>#NUM!</v>
      </c>
      <c r="H67" t="e">
        <f t="array" ref="H67">INDEX('Raw Data'!A:A,F67,10)</f>
        <v>#NUM!</v>
      </c>
      <c r="I67" t="e">
        <f t="array" ref="I67">INDEX('Raw Data'!$A:A,$F67,11)</f>
        <v>#NUM!</v>
      </c>
      <c r="J67" t="e">
        <f t="array" ref="J67">INDEX('Raw Data'!$A:A,F67,12)</f>
        <v>#NUM!</v>
      </c>
      <c r="K67" t="e">
        <f t="array" ref="K67">(--INDEX('Raw Data'!$A$4:B$998,F67,4))</f>
        <v>#NUM!</v>
      </c>
      <c r="L67" t="e">
        <f t="array" ref="L67">(--INDEX('Raw Data'!$A$4:B$998,F67,5))</f>
        <v>#NUM!</v>
      </c>
      <c r="M67" t="e">
        <f t="array" ref="M67">(--INDEX('Raw Data'!$A$4:D$998,$F67,6))</f>
        <v>#NUM!</v>
      </c>
      <c r="N67" t="e">
        <f t="array" ref="N67">(--INDEX('Raw Data'!$A$4:D$998,$F67,7))</f>
        <v>#NUM!</v>
      </c>
      <c r="O67" t="e">
        <f t="array" ref="O67">IF(--INDEX('Raw Data'!$A$4:E$998,$F67,8)= 0, 1, 0)</f>
        <v>#NUM!</v>
      </c>
      <c r="P67" t="e">
        <f t="array" ref="P67">IF(--INDEX('Raw Data'!$A$4:F$998,$F67,8)= 1, 1, 0)</f>
        <v>#NUM!</v>
      </c>
      <c r="Q67" t="e">
        <f t="array" ref="Q67">IF(--INDEX('Raw Data'!$A$4:G$998,$F67,13)= 1, 1, 0)</f>
        <v>#NUM!</v>
      </c>
      <c r="R67" t="e">
        <f t="array" ref="R67">IF(--INDEX('Raw Data'!$A$4:H$998,$F67,14)= 1, 1, 0)</f>
        <v>#NUM!</v>
      </c>
      <c r="S67" t="e">
        <f t="array" ref="S67">IF(--INDEX('Raw Data'!$A$4:I$998,$F67,15)= 1, 1, 0)</f>
        <v>#NUM!</v>
      </c>
      <c r="T67" t="e">
        <f t="array" ref="T67">IF(--INDEX('Raw Data'!$A$4:I$998,$F67,15)= 1, 1, 0)</f>
        <v>#NUM!</v>
      </c>
      <c r="U67" t="e">
        <f t="array" ref="U67">IF(--INDEX('Raw Data'!$A$4:J$998,$F67,16)= 1, 1, 0)</f>
        <v>#NUM!</v>
      </c>
      <c r="V67" t="e">
        <f t="array" ref="V67">IF(--INDEX('Raw Data'!$A$4:K$998,$F67,17)= 1, 1, 0)</f>
        <v>#NUM!</v>
      </c>
      <c r="W67" t="e">
        <f t="array" ref="W67">INDEX('Raw Data'!$A:$O,$F67,19)</f>
        <v>#NUM!</v>
      </c>
      <c r="X67" t="e">
        <f t="array" ref="X67">INDEX('Raw Data'!$A:$O,$F67,20)</f>
        <v>#NUM!</v>
      </c>
      <c r="Y67" t="e">
        <f t="array" ref="Y67">INDEX('Raw Data'!$A:$O,F67,21)</f>
        <v>#NUM!</v>
      </c>
      <c r="Z67" t="e">
        <f t="array" ref="Z67">INDEX('Raw Data'!$A:$O,$F67,3)</f>
        <v>#NUM!</v>
      </c>
      <c r="AA67" t="e">
        <f t="array" ref="AA67">INDEX('Raw Data'!$A:$O,$F67,22)</f>
        <v>#NUM!</v>
      </c>
      <c r="AB67" t="e">
        <f t="array" ref="AB67">INDEX('Raw Data'!$A:$O,$F67,23)</f>
        <v>#NUM!</v>
      </c>
      <c r="BA67" s="2"/>
      <c r="BB67" s="2"/>
      <c r="BC67" s="2"/>
      <c r="BD67" s="2"/>
      <c r="BE67" s="2"/>
      <c r="BF67" s="2"/>
    </row>
    <row r="68" spans="1:58" x14ac:dyDescent="0.25">
      <c r="F68" t="e">
        <f t="array" ref="F68">SMALL(IF('Raw Data'!A:A=C59,ROW('Raw Data'!A:A)),ROW('Raw Data'!$9:$9))</f>
        <v>#NUM!</v>
      </c>
      <c r="G68" t="e">
        <f t="array" ref="G68">INDEX('Raw Data'!A:A,F68,9)</f>
        <v>#NUM!</v>
      </c>
      <c r="H68" t="e">
        <f t="array" ref="H68">INDEX('Raw Data'!A:A,F68,10)</f>
        <v>#NUM!</v>
      </c>
      <c r="I68" t="e">
        <f t="array" ref="I68">INDEX('Raw Data'!$A:A,$F68,11)</f>
        <v>#NUM!</v>
      </c>
      <c r="J68" t="e">
        <f t="array" ref="J68">INDEX('Raw Data'!$A:A,F68,12)</f>
        <v>#NUM!</v>
      </c>
      <c r="K68" t="e">
        <f t="array" ref="K68">(--INDEX('Raw Data'!$A$4:B$998,F68,4))</f>
        <v>#NUM!</v>
      </c>
      <c r="L68" t="e">
        <f t="array" ref="L68">(--INDEX('Raw Data'!$A$4:B$998,F68,5))</f>
        <v>#NUM!</v>
      </c>
      <c r="M68" t="e">
        <f t="array" ref="M68">(--INDEX('Raw Data'!$A$4:D$998,$F68,6))</f>
        <v>#NUM!</v>
      </c>
      <c r="N68" t="e">
        <f t="array" ref="N68">(--INDEX('Raw Data'!$A$4:D$998,$F68,7))</f>
        <v>#NUM!</v>
      </c>
      <c r="O68" t="e">
        <f t="array" ref="O68">IF(--INDEX('Raw Data'!$A$4:E$998,$F68,8)= 0, 1, 0)</f>
        <v>#NUM!</v>
      </c>
      <c r="P68" t="e">
        <f t="array" ref="P68">IF(--INDEX('Raw Data'!$A$4:F$998,$F68,8)= 1, 1, 0)</f>
        <v>#NUM!</v>
      </c>
      <c r="Q68" t="e">
        <f t="array" ref="Q68">IF(--INDEX('Raw Data'!$A$4:G$998,$F68,13)= 1, 1, 0)</f>
        <v>#NUM!</v>
      </c>
      <c r="R68" t="e">
        <f t="array" ref="R68">IF(--INDEX('Raw Data'!$A$4:H$998,$F68,14)= 1, 1, 0)</f>
        <v>#NUM!</v>
      </c>
      <c r="S68" t="e">
        <f t="array" ref="S68">IF(--INDEX('Raw Data'!$A$4:I$998,$F68,15)= 1, 1, 0)</f>
        <v>#NUM!</v>
      </c>
      <c r="T68" t="e">
        <f t="array" ref="T68">IF(--INDEX('Raw Data'!$A$4:I$998,$F68,15)= 1, 1, 0)</f>
        <v>#NUM!</v>
      </c>
      <c r="U68" t="e">
        <f t="array" ref="U68">IF(--INDEX('Raw Data'!$A$4:J$998,$F68,16)= 1, 1, 0)</f>
        <v>#NUM!</v>
      </c>
      <c r="V68" t="e">
        <f t="array" ref="V68">IF(--INDEX('Raw Data'!$A$4:K$998,$F68,17)= 1, 1, 0)</f>
        <v>#NUM!</v>
      </c>
      <c r="W68" t="e">
        <f t="array" ref="W68">INDEX('Raw Data'!$A:$O,$F68,19)</f>
        <v>#NUM!</v>
      </c>
      <c r="X68" t="e">
        <f t="array" ref="X68">INDEX('Raw Data'!$A:$O,$F68,20)</f>
        <v>#NUM!</v>
      </c>
      <c r="Y68" t="e">
        <f t="array" ref="Y68">INDEX('Raw Data'!$A:$O,F68,21)</f>
        <v>#NUM!</v>
      </c>
      <c r="Z68" t="e">
        <f t="array" ref="Z68">INDEX('Raw Data'!$A:$O,$F68,3)</f>
        <v>#NUM!</v>
      </c>
      <c r="AA68" t="e">
        <f t="array" ref="AA68">INDEX('Raw Data'!$A:$O,$F68,22)</f>
        <v>#NUM!</v>
      </c>
      <c r="AB68" t="e">
        <f t="array" ref="AB68">INDEX('Raw Data'!$A:$O,$F68,23)</f>
        <v>#NUM!</v>
      </c>
      <c r="BA68" s="2"/>
      <c r="BB68" s="2"/>
      <c r="BC68" s="2"/>
      <c r="BD68" s="2"/>
      <c r="BE68" s="2"/>
      <c r="BF68" s="2"/>
    </row>
    <row r="69" spans="1:58" x14ac:dyDescent="0.25">
      <c r="F69" t="e">
        <f t="array" ref="F69">SMALL(IF('Raw Data'!A:A=C59,ROW('Raw Data'!A:A)),ROW('Raw Data'!$10:$10))</f>
        <v>#NUM!</v>
      </c>
      <c r="G69" t="e">
        <f t="array" ref="G69">INDEX('Raw Data'!A:A,F69,9)</f>
        <v>#NUM!</v>
      </c>
      <c r="H69" t="e">
        <f t="array" ref="H69">INDEX('Raw Data'!A:A,F69,10)</f>
        <v>#NUM!</v>
      </c>
      <c r="I69" t="e">
        <f t="array" ref="I69">INDEX('Raw Data'!$A:A,$F69,11)</f>
        <v>#NUM!</v>
      </c>
      <c r="J69" t="e">
        <f t="array" ref="J69">INDEX('Raw Data'!$A:A,F69,12)</f>
        <v>#NUM!</v>
      </c>
      <c r="K69" t="e">
        <f t="array" ref="K69">(--INDEX('Raw Data'!$A$4:B$998,F69,4))</f>
        <v>#NUM!</v>
      </c>
      <c r="L69" t="e">
        <f t="array" ref="L69">(--INDEX('Raw Data'!$A$4:B$998,F69,5))</f>
        <v>#NUM!</v>
      </c>
      <c r="M69" t="e">
        <f t="array" ref="M69">(--INDEX('Raw Data'!$A$4:D$998,$F69,6))</f>
        <v>#NUM!</v>
      </c>
      <c r="N69" t="e">
        <f t="array" ref="N69">(--INDEX('Raw Data'!$A$4:D$998,$F69,7))</f>
        <v>#NUM!</v>
      </c>
      <c r="O69" t="e">
        <f t="array" ref="O69">IF(--INDEX('Raw Data'!$A$4:E$998,$F69,8)= 0, 1, 0)</f>
        <v>#NUM!</v>
      </c>
      <c r="P69" t="e">
        <f t="array" ref="P69">IF(--INDEX('Raw Data'!$A$4:F$998,$F69,8)= 1, 1, 0)</f>
        <v>#NUM!</v>
      </c>
      <c r="Q69" t="e">
        <f t="array" ref="Q69">IF(--INDEX('Raw Data'!$A$4:G$998,$F69,13)= 1, 1, 0)</f>
        <v>#NUM!</v>
      </c>
      <c r="R69" t="e">
        <f t="array" ref="R69">IF(--INDEX('Raw Data'!$A$4:H$998,$F69,14)= 1, 1, 0)</f>
        <v>#NUM!</v>
      </c>
      <c r="S69" t="e">
        <f t="array" ref="S69">IF(--INDEX('Raw Data'!$A$4:I$998,$F69,15)= 1, 1, 0)</f>
        <v>#NUM!</v>
      </c>
      <c r="T69" t="e">
        <f t="array" ref="T69">IF(--INDEX('Raw Data'!$A$4:I$998,$F69,15)= 1, 1, 0)</f>
        <v>#NUM!</v>
      </c>
      <c r="U69" t="e">
        <f t="array" ref="U69">IF(--INDEX('Raw Data'!$A$4:J$998,$F69,16)= 1, 1, 0)</f>
        <v>#NUM!</v>
      </c>
      <c r="V69" t="e">
        <f t="array" ref="V69">IF(--INDEX('Raw Data'!$A$4:K$998,$F69,17)= 1, 1, 0)</f>
        <v>#NUM!</v>
      </c>
      <c r="W69" t="e">
        <f t="array" ref="W69">INDEX('Raw Data'!$A:$O,$F69,19)</f>
        <v>#NUM!</v>
      </c>
      <c r="X69" t="e">
        <f t="array" ref="X69">INDEX('Raw Data'!$A:$O,$F69,20)</f>
        <v>#NUM!</v>
      </c>
      <c r="Y69" t="e">
        <f t="array" ref="Y69">INDEX('Raw Data'!$A:$O,F69,21)</f>
        <v>#NUM!</v>
      </c>
      <c r="Z69" t="e">
        <f t="array" ref="Z69">INDEX('Raw Data'!$A:$O,$F69,3)</f>
        <v>#NUM!</v>
      </c>
      <c r="AA69" t="e">
        <f t="array" ref="AA69">INDEX('Raw Data'!$A:$O,$F69,22)</f>
        <v>#NUM!</v>
      </c>
      <c r="AB69" t="e">
        <f t="array" ref="AB69">INDEX('Raw Data'!$A:$O,$F69,23)</f>
        <v>#NUM!</v>
      </c>
      <c r="BA69" s="2"/>
      <c r="BB69" s="2"/>
      <c r="BC69" s="2"/>
      <c r="BD69" s="2"/>
      <c r="BE69" s="2"/>
      <c r="BF69" s="2"/>
    </row>
    <row r="70" spans="1:58" x14ac:dyDescent="0.25">
      <c r="F70" t="e">
        <f t="array" ref="F70">SMALL(IF('Raw Data'!A:A=C59,ROW('Raw Data'!A:A)),ROW('Raw Data'!$11:$11))</f>
        <v>#NUM!</v>
      </c>
      <c r="G70" t="e">
        <f t="array" ref="G70">INDEX('Raw Data'!A:A,F70,9)</f>
        <v>#NUM!</v>
      </c>
      <c r="H70" t="e">
        <f t="array" ref="H70">INDEX('Raw Data'!A:A,F70,10)</f>
        <v>#NUM!</v>
      </c>
      <c r="I70" t="e">
        <f t="array" ref="I70">INDEX('Raw Data'!$A:A,$F70,11)</f>
        <v>#NUM!</v>
      </c>
      <c r="J70" t="e">
        <f t="array" ref="J70">INDEX('Raw Data'!$A:A,F70,12)</f>
        <v>#NUM!</v>
      </c>
      <c r="K70" t="e">
        <f t="array" ref="K70">(--INDEX('Raw Data'!$A$4:B$998,F70,4))</f>
        <v>#NUM!</v>
      </c>
      <c r="L70" t="e">
        <f t="array" ref="L70">(--INDEX('Raw Data'!$A$4:B$998,F70,5))</f>
        <v>#NUM!</v>
      </c>
      <c r="M70" t="e">
        <f t="array" ref="M70">(--INDEX('Raw Data'!$A$4:D$998,$F70,6))</f>
        <v>#NUM!</v>
      </c>
      <c r="N70" t="e">
        <f t="array" ref="N70">(--INDEX('Raw Data'!$A$4:D$998,$F70,7))</f>
        <v>#NUM!</v>
      </c>
      <c r="O70" t="e">
        <f t="array" ref="O70">IF(--INDEX('Raw Data'!$A$4:E$998,$F70,8)= 0, 1, 0)</f>
        <v>#NUM!</v>
      </c>
      <c r="P70" t="e">
        <f t="array" ref="P70">IF(--INDEX('Raw Data'!$A$4:F$998,$F70,8)= 1, 1, 0)</f>
        <v>#NUM!</v>
      </c>
      <c r="Q70" t="e">
        <f t="array" ref="Q70">IF(--INDEX('Raw Data'!$A$4:G$998,$F70,13)= 1, 1, 0)</f>
        <v>#NUM!</v>
      </c>
      <c r="R70" t="e">
        <f t="array" ref="R70">IF(--INDEX('Raw Data'!$A$4:H$998,$F70,14)= 1, 1, 0)</f>
        <v>#NUM!</v>
      </c>
      <c r="S70" t="e">
        <f t="array" ref="S70">IF(--INDEX('Raw Data'!$A$4:I$998,$F70,15)= 1, 1, 0)</f>
        <v>#NUM!</v>
      </c>
      <c r="T70" t="e">
        <f t="array" ref="T70">IF(--INDEX('Raw Data'!$A$4:I$998,$F70,15)= 1, 1, 0)</f>
        <v>#NUM!</v>
      </c>
      <c r="U70" t="e">
        <f t="array" ref="U70">IF(--INDEX('Raw Data'!$A$4:J$998,$F70,16)= 1, 1, 0)</f>
        <v>#NUM!</v>
      </c>
      <c r="V70" t="e">
        <f t="array" ref="V70">IF(--INDEX('Raw Data'!$A$4:K$998,$F70,17)= 1, 1, 0)</f>
        <v>#NUM!</v>
      </c>
      <c r="W70" t="e">
        <f t="array" ref="W70">INDEX('Raw Data'!$A:$O,$F70,19)</f>
        <v>#NUM!</v>
      </c>
      <c r="X70" t="e">
        <f t="array" ref="X70">INDEX('Raw Data'!$A:$O,$F70,20)</f>
        <v>#NUM!</v>
      </c>
      <c r="Y70" t="e">
        <f t="array" ref="Y70">INDEX('Raw Data'!$A:$O,F70,21)</f>
        <v>#NUM!</v>
      </c>
      <c r="Z70" t="e">
        <f t="array" ref="Z70">INDEX('Raw Data'!$A:$O,$F70,3)</f>
        <v>#NUM!</v>
      </c>
      <c r="AA70" t="e">
        <f t="array" ref="AA70">INDEX('Raw Data'!$A:$O,$F70,22)</f>
        <v>#NUM!</v>
      </c>
      <c r="AB70" t="e">
        <f t="array" ref="AB70">INDEX('Raw Data'!$A:$O,$F70,23)</f>
        <v>#NUM!</v>
      </c>
      <c r="BA70" s="2"/>
      <c r="BB70" s="2"/>
      <c r="BC70" s="2"/>
      <c r="BD70" s="2"/>
      <c r="BE70" s="2"/>
      <c r="BF70" s="2"/>
    </row>
    <row r="71" spans="1:58" x14ac:dyDescent="0.25">
      <c r="F71" t="e">
        <f t="array" ref="F71">SMALL(IF('Raw Data'!A:A=C59,ROW('Raw Data'!A:A)),ROW('Raw Data'!$12:$12))</f>
        <v>#NUM!</v>
      </c>
      <c r="G71" t="e">
        <f t="array" ref="G71">INDEX('Raw Data'!A:A,F71,9)</f>
        <v>#NUM!</v>
      </c>
      <c r="H71" t="e">
        <f t="array" ref="H71">INDEX('Raw Data'!A:A,F71,10)</f>
        <v>#NUM!</v>
      </c>
      <c r="I71" t="e">
        <f t="array" ref="I71">INDEX('Raw Data'!$A:A,$F71,11)</f>
        <v>#NUM!</v>
      </c>
      <c r="J71" t="e">
        <f t="array" ref="J71">INDEX('Raw Data'!$A:A,F71,12)</f>
        <v>#NUM!</v>
      </c>
      <c r="K71" t="e">
        <f t="array" ref="K71">(--INDEX('Raw Data'!$A$4:B$998,F71,4))</f>
        <v>#NUM!</v>
      </c>
      <c r="L71" t="e">
        <f t="array" ref="L71">(--INDEX('Raw Data'!$A$4:B$998,F71,5))</f>
        <v>#NUM!</v>
      </c>
      <c r="M71" t="e">
        <f t="array" ref="M71">(--INDEX('Raw Data'!$A$4:D$998,$F71,6))</f>
        <v>#NUM!</v>
      </c>
      <c r="N71" t="e">
        <f t="array" ref="N71">(--INDEX('Raw Data'!$A$4:D$998,$F71,7))</f>
        <v>#NUM!</v>
      </c>
      <c r="O71" t="e">
        <f t="array" ref="O71">IF(--INDEX('Raw Data'!$A$4:E$998,$F71,8)= 0, 1, 0)</f>
        <v>#NUM!</v>
      </c>
      <c r="P71" t="e">
        <f t="array" ref="P71">IF(--INDEX('Raw Data'!$A$4:F$998,$F71,8)= 1, 1, 0)</f>
        <v>#NUM!</v>
      </c>
      <c r="Q71" t="e">
        <f t="array" ref="Q71">IF(--INDEX('Raw Data'!$A$4:G$998,$F71,13)= 1, 1, 0)</f>
        <v>#NUM!</v>
      </c>
      <c r="R71" t="e">
        <f t="array" ref="R71">IF(--INDEX('Raw Data'!$A$4:H$998,$F71,14)= 1, 1, 0)</f>
        <v>#NUM!</v>
      </c>
      <c r="S71" t="e">
        <f t="array" ref="S71">IF(--INDEX('Raw Data'!$A$4:I$998,$F71,15)= 1, 1, 0)</f>
        <v>#NUM!</v>
      </c>
      <c r="T71" t="e">
        <f t="array" ref="T71">IF(--INDEX('Raw Data'!$A$4:I$998,$F71,15)= 1, 1, 0)</f>
        <v>#NUM!</v>
      </c>
      <c r="U71" t="e">
        <f t="array" ref="U71">IF(--INDEX('Raw Data'!$A$4:J$998,$F71,16)= 1, 1, 0)</f>
        <v>#NUM!</v>
      </c>
      <c r="V71" t="e">
        <f t="array" ref="V71">IF(--INDEX('Raw Data'!$A$4:K$998,$F71,17)= 1, 1, 0)</f>
        <v>#NUM!</v>
      </c>
      <c r="W71" t="e">
        <f t="array" ref="W71">INDEX('Raw Data'!$A:$O,$F71,19)</f>
        <v>#NUM!</v>
      </c>
      <c r="X71" t="e">
        <f t="array" ref="X71">INDEX('Raw Data'!$A:$O,$F71,20)</f>
        <v>#NUM!</v>
      </c>
      <c r="Y71" t="e">
        <f t="array" ref="Y71">INDEX('Raw Data'!$A:$O,F71,21)</f>
        <v>#NUM!</v>
      </c>
      <c r="Z71" t="e">
        <f t="array" ref="Z71">INDEX('Raw Data'!$A:$O,$F71,3)</f>
        <v>#NUM!</v>
      </c>
      <c r="AA71" t="e">
        <f t="array" ref="AA71">INDEX('Raw Data'!$A:$O,$F71,22)</f>
        <v>#NUM!</v>
      </c>
      <c r="AB71" t="e">
        <f t="array" ref="AB71">INDEX('Raw Data'!$A:$O,$F71,23)</f>
        <v>#NUM!</v>
      </c>
      <c r="BA71" s="2"/>
      <c r="BB71" s="2"/>
      <c r="BC71" s="2"/>
      <c r="BD71" s="2"/>
      <c r="BE71" s="2"/>
      <c r="BF71" s="2"/>
    </row>
    <row r="72" spans="1:58" x14ac:dyDescent="0.25">
      <c r="F72" t="e">
        <f t="array" ref="F72">SMALL(IF('Raw Data'!A:A=C59,ROW('Raw Data'!A:A)),ROW('Raw Data'!$13:$13))</f>
        <v>#NUM!</v>
      </c>
      <c r="G72" t="e">
        <f t="array" ref="G72">INDEX('Raw Data'!A:A,F72,9)</f>
        <v>#NUM!</v>
      </c>
      <c r="H72" t="e">
        <f t="array" ref="H72">INDEX('Raw Data'!A:A,F72,10)</f>
        <v>#NUM!</v>
      </c>
      <c r="I72" t="e">
        <f t="array" ref="I72">INDEX('Raw Data'!$A:A,$F72,11)</f>
        <v>#NUM!</v>
      </c>
      <c r="J72" t="e">
        <f t="array" ref="J72">INDEX('Raw Data'!$A:A,F72,12)</f>
        <v>#NUM!</v>
      </c>
      <c r="K72" t="e">
        <f t="array" ref="K72">(--INDEX('Raw Data'!$A$4:B$998,F72,4))</f>
        <v>#NUM!</v>
      </c>
      <c r="L72" t="e">
        <f t="array" ref="L72">(--INDEX('Raw Data'!$A$4:B$998,F72,5))</f>
        <v>#NUM!</v>
      </c>
      <c r="M72" t="e">
        <f t="array" ref="M72">(--INDEX('Raw Data'!$A$4:D$998,$F72,6))</f>
        <v>#NUM!</v>
      </c>
      <c r="N72" t="e">
        <f t="array" ref="N72">(--INDEX('Raw Data'!$A$4:D$998,$F72,7))</f>
        <v>#NUM!</v>
      </c>
      <c r="O72" t="e">
        <f t="array" ref="O72">IF(--INDEX('Raw Data'!$A$4:E$998,$F72,8)= 0, 1, 0)</f>
        <v>#NUM!</v>
      </c>
      <c r="P72" t="e">
        <f t="array" ref="P72">IF(--INDEX('Raw Data'!$A$4:F$998,$F72,8)= 1, 1, 0)</f>
        <v>#NUM!</v>
      </c>
      <c r="Q72" t="e">
        <f t="array" ref="Q72">IF(--INDEX('Raw Data'!$A$4:G$998,$F72,13)= 1, 1, 0)</f>
        <v>#NUM!</v>
      </c>
      <c r="R72" t="e">
        <f t="array" ref="R72">IF(--INDEX('Raw Data'!$A$4:H$998,$F72,14)= 1, 1, 0)</f>
        <v>#NUM!</v>
      </c>
      <c r="S72" t="e">
        <f t="array" ref="S72">IF(--INDEX('Raw Data'!$A$4:I$998,$F72,15)= 1, 1, 0)</f>
        <v>#NUM!</v>
      </c>
      <c r="T72" t="e">
        <f t="array" ref="T72">IF(--INDEX('Raw Data'!$A$4:I$998,$F72,15)= 1, 1, 0)</f>
        <v>#NUM!</v>
      </c>
      <c r="U72" t="e">
        <f t="array" ref="U72">IF(--INDEX('Raw Data'!$A$4:J$998,$F72,16)= 1, 1, 0)</f>
        <v>#NUM!</v>
      </c>
      <c r="V72" t="e">
        <f t="array" ref="V72">IF(--INDEX('Raw Data'!$A$4:K$998,$F72,17)= 1, 1, 0)</f>
        <v>#NUM!</v>
      </c>
      <c r="W72" t="e">
        <f t="array" ref="W72">INDEX('Raw Data'!$A:$O,$F72,19)</f>
        <v>#NUM!</v>
      </c>
      <c r="X72" t="e">
        <f t="array" ref="X72">INDEX('Raw Data'!$A:$O,$F72,20)</f>
        <v>#NUM!</v>
      </c>
      <c r="Y72" t="e">
        <f t="array" ref="Y72">INDEX('Raw Data'!$A:$O,F72,21)</f>
        <v>#NUM!</v>
      </c>
      <c r="Z72" t="e">
        <f t="array" ref="Z72">INDEX('Raw Data'!$A:$O,$F72,3)</f>
        <v>#NUM!</v>
      </c>
      <c r="AA72" t="e">
        <f t="array" ref="AA72">INDEX('Raw Data'!$A:$O,$F72,22)</f>
        <v>#NUM!</v>
      </c>
      <c r="AB72" t="e">
        <f t="array" ref="AB72">INDEX('Raw Data'!$A:$O,$F72,23)</f>
        <v>#NUM!</v>
      </c>
      <c r="BA72" s="2"/>
      <c r="BB72" s="2"/>
      <c r="BC72" s="2"/>
      <c r="BD72" s="2"/>
      <c r="BE72" s="2"/>
      <c r="BF72" s="2"/>
    </row>
    <row r="73" spans="1:58" x14ac:dyDescent="0.25">
      <c r="F73" t="e">
        <f t="array" ref="F73">SMALL(IF('Raw Data'!A:A=C59,ROW('Raw Data'!A:A)),ROW('Raw Data'!$14:$14))</f>
        <v>#NUM!</v>
      </c>
      <c r="G73" t="e">
        <f t="array" ref="G73">INDEX('Raw Data'!A:A,F73,9)</f>
        <v>#NUM!</v>
      </c>
      <c r="H73" t="e">
        <f t="array" ref="H73">INDEX('Raw Data'!A:A,F73,10)</f>
        <v>#NUM!</v>
      </c>
      <c r="I73" t="e">
        <f t="array" ref="I73">INDEX('Raw Data'!$A:A,$F73,11)</f>
        <v>#NUM!</v>
      </c>
      <c r="J73" t="e">
        <f t="array" ref="J73">INDEX('Raw Data'!$A:A,F73,12)</f>
        <v>#NUM!</v>
      </c>
      <c r="K73" t="e">
        <f t="array" ref="K73">(--INDEX('Raw Data'!$A$4:B$998,F73,4))</f>
        <v>#NUM!</v>
      </c>
      <c r="L73" t="e">
        <f t="array" ref="L73">(--INDEX('Raw Data'!$A$4:B$998,F73,5))</f>
        <v>#NUM!</v>
      </c>
      <c r="M73" t="e">
        <f t="array" ref="M73">(--INDEX('Raw Data'!$A$4:D$998,$F73,6))</f>
        <v>#NUM!</v>
      </c>
      <c r="N73" t="e">
        <f t="array" ref="N73">(--INDEX('Raw Data'!$A$4:D$998,$F73,7))</f>
        <v>#NUM!</v>
      </c>
      <c r="O73" t="e">
        <f t="array" ref="O73">IF(--INDEX('Raw Data'!$A$4:E$998,$F73,8)= 0, 1, 0)</f>
        <v>#NUM!</v>
      </c>
      <c r="P73" t="e">
        <f t="array" ref="P73">IF(--INDEX('Raw Data'!$A$4:F$998,$F73,8)= 1, 1, 0)</f>
        <v>#NUM!</v>
      </c>
      <c r="Q73" t="e">
        <f t="array" ref="Q73">IF(--INDEX('Raw Data'!$A$4:G$998,$F73,13)= 1, 1, 0)</f>
        <v>#NUM!</v>
      </c>
      <c r="R73" t="e">
        <f t="array" ref="R73">IF(--INDEX('Raw Data'!$A$4:H$998,$F73,14)= 1, 1, 0)</f>
        <v>#NUM!</v>
      </c>
      <c r="S73" t="e">
        <f t="array" ref="S73">IF(--INDEX('Raw Data'!$A$4:I$998,$F73,15)= 1, 1, 0)</f>
        <v>#NUM!</v>
      </c>
      <c r="T73" t="e">
        <f t="array" ref="T73">IF(--INDEX('Raw Data'!$A$4:I$998,$F73,15)= 1, 1, 0)</f>
        <v>#NUM!</v>
      </c>
      <c r="U73" t="e">
        <f t="array" ref="U73">IF(--INDEX('Raw Data'!$A$4:J$998,$F73,16)= 1, 1, 0)</f>
        <v>#NUM!</v>
      </c>
      <c r="V73" t="e">
        <f t="array" ref="V73">IF(--INDEX('Raw Data'!$A$4:K$998,$F73,17)= 1, 1, 0)</f>
        <v>#NUM!</v>
      </c>
      <c r="W73" t="e">
        <f t="array" ref="W73">INDEX('Raw Data'!$A:$O,$F73,19)</f>
        <v>#NUM!</v>
      </c>
      <c r="X73" t="e">
        <f t="array" ref="X73">INDEX('Raw Data'!$A:$O,$F73,20)</f>
        <v>#NUM!</v>
      </c>
      <c r="Y73" t="e">
        <f t="array" ref="Y73">INDEX('Raw Data'!$A:$O,F73,21)</f>
        <v>#NUM!</v>
      </c>
      <c r="Z73" t="e">
        <f t="array" ref="Z73">INDEX('Raw Data'!$A:$O,$F73,3)</f>
        <v>#NUM!</v>
      </c>
      <c r="AA73" t="e">
        <f t="array" ref="AA73">INDEX('Raw Data'!$A:$O,$F73,22)</f>
        <v>#NUM!</v>
      </c>
      <c r="AB73" t="e">
        <f t="array" ref="AB73">INDEX('Raw Data'!$A:$O,$F73,23)</f>
        <v>#NUM!</v>
      </c>
      <c r="BA73" s="2"/>
      <c r="BB73" s="2"/>
      <c r="BC73" s="2"/>
      <c r="BD73" s="2"/>
      <c r="BE73" s="2"/>
      <c r="BF73" s="2"/>
    </row>
    <row r="74" spans="1:58" x14ac:dyDescent="0.25">
      <c r="F74" t="e">
        <f t="array" ref="F74">SMALL(IF('Raw Data'!A:A=C59,ROW('Raw Data'!A:A)),ROW('Raw Data'!$15:$15))</f>
        <v>#NUM!</v>
      </c>
      <c r="G74" t="e">
        <f t="array" ref="G74">INDEX('Raw Data'!A:A,F74,9)</f>
        <v>#NUM!</v>
      </c>
      <c r="H74" t="e">
        <f t="array" ref="H74">INDEX('Raw Data'!A:A,F74,10)</f>
        <v>#NUM!</v>
      </c>
      <c r="I74" t="e">
        <f t="array" ref="I74">INDEX('Raw Data'!$A:A,$F74,11)</f>
        <v>#NUM!</v>
      </c>
      <c r="J74" t="e">
        <f t="array" ref="J74">INDEX('Raw Data'!$A:A,F74,12)</f>
        <v>#NUM!</v>
      </c>
      <c r="K74" t="e">
        <f t="array" ref="K74">(--INDEX('Raw Data'!$A$4:B$998,F74,4))</f>
        <v>#NUM!</v>
      </c>
      <c r="L74" t="e">
        <f t="array" ref="L74">(--INDEX('Raw Data'!$A$4:B$998,F74,5))</f>
        <v>#NUM!</v>
      </c>
      <c r="M74" t="e">
        <f t="array" ref="M74">(--INDEX('Raw Data'!$A$4:D$998,$F74,6))</f>
        <v>#NUM!</v>
      </c>
      <c r="N74" t="e">
        <f t="array" ref="N74">(--INDEX('Raw Data'!$A$4:D$998,$F74,7))</f>
        <v>#NUM!</v>
      </c>
      <c r="O74" t="e">
        <f t="array" ref="O74">IF(--INDEX('Raw Data'!$A$4:E$998,$F74,8)= 0, 1, 0)</f>
        <v>#NUM!</v>
      </c>
      <c r="P74" t="e">
        <f t="array" ref="P74">IF(--INDEX('Raw Data'!$A$4:F$998,$F74,8)= 1, 1, 0)</f>
        <v>#NUM!</v>
      </c>
      <c r="Q74" t="e">
        <f t="array" ref="Q74">IF(--INDEX('Raw Data'!$A$4:G$998,$F74,13)= 1, 1, 0)</f>
        <v>#NUM!</v>
      </c>
      <c r="R74" t="e">
        <f t="array" ref="R74">IF(--INDEX('Raw Data'!$A$4:H$998,$F74,14)= 1, 1, 0)</f>
        <v>#NUM!</v>
      </c>
      <c r="S74" t="e">
        <f t="array" ref="S74">IF(--INDEX('Raw Data'!$A$4:I$998,$F74,15)= 1, 1, 0)</f>
        <v>#NUM!</v>
      </c>
      <c r="T74" t="e">
        <f t="array" ref="T74">IF(--INDEX('Raw Data'!$A$4:I$998,$F74,15)= 1, 1, 0)</f>
        <v>#NUM!</v>
      </c>
      <c r="U74" t="e">
        <f t="array" ref="U74">IF(--INDEX('Raw Data'!$A$4:J$998,$F74,16)= 1, 1, 0)</f>
        <v>#NUM!</v>
      </c>
      <c r="V74" t="e">
        <f t="array" ref="V74">IF(--INDEX('Raw Data'!$A$4:K$998,$F74,17)= 1, 1, 0)</f>
        <v>#NUM!</v>
      </c>
      <c r="W74" t="e">
        <f t="array" ref="W74">INDEX('Raw Data'!$A:$O,$F74,19)</f>
        <v>#NUM!</v>
      </c>
      <c r="X74" t="e">
        <f t="array" ref="X74">INDEX('Raw Data'!$A:$O,$F74,20)</f>
        <v>#NUM!</v>
      </c>
      <c r="Y74" t="e">
        <f t="array" ref="Y74">INDEX('Raw Data'!$A:$O,F74,21)</f>
        <v>#NUM!</v>
      </c>
      <c r="Z74" t="e">
        <f t="array" ref="Z74">INDEX('Raw Data'!$A:$O,$F74,3)</f>
        <v>#NUM!</v>
      </c>
      <c r="AA74" t="e">
        <f t="array" ref="AA74">INDEX('Raw Data'!$A:$O,$F74,22)</f>
        <v>#NUM!</v>
      </c>
      <c r="AB74" t="e">
        <f t="array" ref="AB74">INDEX('Raw Data'!$A:$O,$F74,23)</f>
        <v>#NUM!</v>
      </c>
      <c r="BA74" s="2"/>
      <c r="BB74" s="2"/>
      <c r="BC74" s="2"/>
      <c r="BD74" s="2"/>
      <c r="BE74" s="2"/>
      <c r="BF74" s="2"/>
    </row>
    <row r="75" spans="1:58" x14ac:dyDescent="0.25">
      <c r="A75" t="s">
        <v>55</v>
      </c>
      <c r="C75" s="2" t="e">
        <f>B65/B64</f>
        <v>#DIV/0!</v>
      </c>
      <c r="F75">
        <f t="array" ref="F75">COUNTIF(F60:F74,"&gt;0")</f>
        <v>0</v>
      </c>
      <c r="G75">
        <f t="array" ref="G75">SUMIF(G60:G74,"&gt;0")</f>
        <v>0</v>
      </c>
      <c r="H75">
        <f t="array" ref="H75">SUMIF(H60:H74,"&gt;0")</f>
        <v>0</v>
      </c>
      <c r="I75">
        <f t="array" ref="I75">SUMIF(I60:I74,"&gt;0")</f>
        <v>0</v>
      </c>
      <c r="J75">
        <f t="array" ref="J75">SUMIF(J60:J74,"&gt;0")</f>
        <v>0</v>
      </c>
      <c r="K75">
        <f t="array" ref="K75">SUMIF(K60:K74,"&gt;0")</f>
        <v>0</v>
      </c>
      <c r="L75">
        <f t="array" ref="L75">SUMIF(L60:L74,"&gt;0")</f>
        <v>0</v>
      </c>
      <c r="M75">
        <f t="array" ref="M75">SUMIF(M60:M74,"&gt;0")</f>
        <v>0</v>
      </c>
      <c r="N75">
        <f t="array" ref="N75">SUMIF(N60:N74,"&gt;0")</f>
        <v>0</v>
      </c>
      <c r="O75">
        <f t="array" ref="O75">SUMIF(O60:O74,"&gt;0")</f>
        <v>0</v>
      </c>
      <c r="P75">
        <f t="array" ref="P75">SUMIF(P60:P74,"&gt;0")</f>
        <v>0</v>
      </c>
      <c r="Q75">
        <f t="array" ref="Q75">SUMIF(Q60:Q74,"&gt;0")</f>
        <v>0</v>
      </c>
      <c r="R75">
        <f t="array" ref="R75">SUMIF(R60:R74,"&gt;0")</f>
        <v>0</v>
      </c>
      <c r="S75">
        <f t="array" ref="S75">SUMIF(S60:S74,"&gt;0")</f>
        <v>0</v>
      </c>
      <c r="T75">
        <f t="array" ref="T75">SUMIF(T60:T74,"&gt;0")</f>
        <v>0</v>
      </c>
      <c r="U75">
        <f t="array" ref="U75">SUMIF(U60:U74,"&gt;0")</f>
        <v>0</v>
      </c>
      <c r="V75">
        <f t="array" ref="V75">SUMIF(V60:V74,"&gt;0")</f>
        <v>0</v>
      </c>
      <c r="W75">
        <f t="array" ref="W75">SUMIF(W60:W74,"&gt;0")</f>
        <v>0</v>
      </c>
      <c r="X75">
        <f t="array" ref="X75">SUMIF(X60:X74,"&gt;0")</f>
        <v>0</v>
      </c>
      <c r="Y75">
        <f t="array" ref="Y75">SUMIF(Y60:Y74,"&gt;0")</f>
        <v>0</v>
      </c>
      <c r="Z75">
        <f t="array" ref="Z75">SUMIF(Z60:Z74,"&gt;0")</f>
        <v>0</v>
      </c>
      <c r="AA75">
        <f t="array" ref="AA75">SUMIF(AA60:AA74,"&gt;0")</f>
        <v>0</v>
      </c>
      <c r="AB75">
        <f t="array" ref="AB75">SUMIF(AB60:AB74,"&gt;0")</f>
        <v>0</v>
      </c>
      <c r="BA75" s="2"/>
      <c r="BB75" s="2"/>
      <c r="BC75" s="2"/>
      <c r="BD75" s="2"/>
      <c r="BE75" s="2"/>
      <c r="BF75" s="2"/>
    </row>
    <row r="76" spans="1:58" x14ac:dyDescent="0.25">
      <c r="A76" t="s">
        <v>58</v>
      </c>
      <c r="C76" s="2">
        <f t="array" ref="C76">IF((K75+L75)&lt;&gt;0, (L75/(K75+L75)),0)</f>
        <v>0</v>
      </c>
      <c r="J76" s="6">
        <f t="array" ref="J76">J75*10</f>
        <v>0</v>
      </c>
      <c r="K76"/>
      <c r="P76" t="s">
        <v>95</v>
      </c>
      <c r="Q76" s="2" t="e">
        <f t="array" ref="Q76">Q75/$F75</f>
        <v>#DIV/0!</v>
      </c>
      <c r="R76" s="2" t="e">
        <f t="array" ref="R76">R75/$F75</f>
        <v>#DIV/0!</v>
      </c>
      <c r="S76" s="2" t="e">
        <f t="array" ref="S76">S75/$F75</f>
        <v>#DIV/0!</v>
      </c>
      <c r="T76" s="2" t="e">
        <f t="array" ref="T76">T75/$F75</f>
        <v>#DIV/0!</v>
      </c>
      <c r="U76" s="2" t="e">
        <f t="array" ref="U76">U75/$F75</f>
        <v>#DIV/0!</v>
      </c>
      <c r="V76" s="2" t="e">
        <f t="array" ref="V76">V75/$F75</f>
        <v>#DIV/0!</v>
      </c>
      <c r="W76" s="2" t="e">
        <f t="array" ref="W76">W75/$F75</f>
        <v>#DIV/0!</v>
      </c>
      <c r="X76" s="2" t="e">
        <f t="array" ref="X76">X75/$F75</f>
        <v>#DIV/0!</v>
      </c>
      <c r="Z76" s="2" t="e">
        <f t="array" ref="Z76">Z75/F75</f>
        <v>#DIV/0!</v>
      </c>
      <c r="AA76" s="1"/>
      <c r="BA76" s="2"/>
      <c r="BB76" s="2"/>
      <c r="BC76" s="2"/>
      <c r="BD76" s="2"/>
      <c r="BE76" s="2"/>
      <c r="BF76" s="2"/>
    </row>
    <row r="77" spans="1:58" x14ac:dyDescent="0.25">
      <c r="A77" t="s">
        <v>60</v>
      </c>
      <c r="C77" s="2">
        <f t="array" ref="C77">IF((M75+N75)&lt;&gt;0, (N75/(M75+N75)),0)</f>
        <v>0</v>
      </c>
      <c r="J77"/>
      <c r="K77"/>
      <c r="AA77" s="1"/>
      <c r="BA77" s="2"/>
      <c r="BB77" s="2"/>
      <c r="BC77" s="2"/>
      <c r="BD77" s="2"/>
      <c r="BE77" s="2"/>
      <c r="BF77" s="2"/>
    </row>
    <row r="78" spans="1:58" ht="28.5" x14ac:dyDescent="0.45">
      <c r="A78" t="s">
        <v>61</v>
      </c>
      <c r="C78" s="2">
        <f t="array" ref="C78">IF(((K75+N75+L75+M75)&lt;&gt;0), ((L75+N75)/(K75+N75+L75+M75)),0)</f>
        <v>0</v>
      </c>
      <c r="F78" s="17" t="s">
        <v>106</v>
      </c>
      <c r="G78" s="17" t="e">
        <f t="array" ref="G78">'Weighting &amp; Ranking Sheet'!$B$3*Math!$C76+'Weighting &amp; Ranking Sheet'!$B$4*Math!$C77+'Weighting &amp; Ranking Sheet'!$B$5*Math!$C78+'Weighting &amp; Ranking Sheet'!$B$6*Math!$C79+'Weighting &amp; Ranking Sheet'!$B$7*Math!$C63+'Weighting &amp; Ranking Sheet'!$B$8*Math!$C75+'Weighting &amp; Ranking Sheet'!$B$9*Math!$C82+'Weighting &amp; Ranking Sheet'!$B$10*Math!$C80+'Weighting &amp; Ranking Sheet'!$B$11*Math!$C81+'Weighting &amp; Ranking Sheet'!$B$12*Math!$C83*0.01+'Weighting &amp; Ranking Sheet'!$B$13*Math!$Q76+'Weighting &amp; Ranking Sheet'!$B$14*Math!$R76+'Weighting &amp; Ranking Sheet'!$B$15*Math!$S76+'Weighting &amp; Ranking Sheet'!$B$16*Math!$T76+'Weighting &amp; Ranking Sheet'!$B$17*Math!$U76+'Weighting &amp; Ranking Sheet'!$B$18*Math!$V76+'Weighting &amp; Ranking Sheet'!$B$2*Math!$Z76</f>
        <v>#DIV/0!</v>
      </c>
      <c r="J78"/>
      <c r="K78"/>
      <c r="AA78" s="1"/>
      <c r="BA78" s="2"/>
      <c r="BB78" s="2"/>
      <c r="BC78" s="2"/>
      <c r="BD78" s="2"/>
      <c r="BE78" s="2"/>
      <c r="BF78" s="2"/>
    </row>
    <row r="79" spans="1:58" x14ac:dyDescent="0.25">
      <c r="A79" t="s">
        <v>62</v>
      </c>
      <c r="C79" s="2">
        <f t="array" ref="C79">IF((O75+P75&lt;&gt;0),(P75/(O75+P75)), 0)</f>
        <v>0</v>
      </c>
      <c r="J79"/>
      <c r="K79"/>
      <c r="AR79" s="25"/>
    </row>
    <row r="80" spans="1:58" x14ac:dyDescent="0.25">
      <c r="A80" t="s">
        <v>77</v>
      </c>
      <c r="C80" s="8" t="e">
        <f t="array" ref="C80">W75/F75</f>
        <v>#DIV/0!</v>
      </c>
      <c r="J80"/>
      <c r="K80"/>
      <c r="AR80" s="23"/>
    </row>
    <row r="81" spans="1:39" x14ac:dyDescent="0.25">
      <c r="A81" t="s">
        <v>78</v>
      </c>
      <c r="C81" s="8" t="e">
        <f t="array" ref="C81">X75/F75</f>
        <v>#DIV/0!</v>
      </c>
      <c r="J81"/>
      <c r="K81"/>
    </row>
    <row r="82" spans="1:39" x14ac:dyDescent="0.25">
      <c r="A82" t="s">
        <v>91</v>
      </c>
      <c r="C82" s="2" t="e">
        <f t="array" ref="C82">(C63+C75)/2</f>
        <v>#DIV/0!</v>
      </c>
      <c r="J82"/>
      <c r="K82"/>
    </row>
    <row r="83" spans="1:39" x14ac:dyDescent="0.25">
      <c r="A83" t="s">
        <v>92</v>
      </c>
      <c r="C83" s="8" t="e">
        <f t="array" ref="C83">Y75/F75</f>
        <v>#DIV/0!</v>
      </c>
      <c r="J83"/>
      <c r="K83"/>
    </row>
    <row r="84" spans="1:39" x14ac:dyDescent="0.25">
      <c r="C84" s="8"/>
      <c r="J84"/>
      <c r="K84"/>
    </row>
    <row r="85" spans="1:39" x14ac:dyDescent="0.25">
      <c r="C85" s="2"/>
      <c r="J85"/>
      <c r="K85"/>
    </row>
    <row r="86" spans="1:39" x14ac:dyDescent="0.25">
      <c r="K86" s="6"/>
    </row>
    <row r="87" spans="1:39" x14ac:dyDescent="0.25">
      <c r="A87" t="s">
        <v>3</v>
      </c>
      <c r="C87" s="5">
        <v>87</v>
      </c>
      <c r="F87" t="s">
        <v>7</v>
      </c>
    </row>
    <row r="88" spans="1:39" x14ac:dyDescent="0.25">
      <c r="F88" t="e">
        <f t="array" ref="F88">SMALL(IF('Raw Data'!A:A=C87,ROW('Raw Data'!A:A)),ROW('Raw Data'!$1:$1))</f>
        <v>#NUM!</v>
      </c>
      <c r="G88" t="e">
        <f t="array" ref="G88">INDEX('Raw Data'!A:A,F88,9)</f>
        <v>#NUM!</v>
      </c>
      <c r="H88" t="e">
        <f t="array" ref="H88">INDEX('Raw Data'!A:A,F88,10)</f>
        <v>#NUM!</v>
      </c>
      <c r="I88" t="e">
        <f t="array" ref="I88">INDEX('Raw Data'!$A:A,$F88,11)</f>
        <v>#NUM!</v>
      </c>
      <c r="J88" t="e">
        <f t="array" ref="J88">INDEX('Raw Data'!$A:A,F88,12)</f>
        <v>#NUM!</v>
      </c>
      <c r="K88" t="e">
        <f>(--INDEX('Raw Data'!$A$4:B$993,F88,4))</f>
        <v>#NUM!</v>
      </c>
      <c r="L88" t="e">
        <f t="array" ref="L88">(--INDEX('Raw Data'!$A$4:B$993,F88,5))</f>
        <v>#NUM!</v>
      </c>
      <c r="M88" t="e">
        <f t="array" ref="M88">(--INDEX('Raw Data'!$A$4:D$993,$F88,6))</f>
        <v>#NUM!</v>
      </c>
      <c r="N88" t="e">
        <f t="array" ref="N88">(--INDEX('Raw Data'!$A$4:D$993,$F88,7))</f>
        <v>#NUM!</v>
      </c>
      <c r="O88" t="e">
        <f t="array" ref="O88">IF(--INDEX('Raw Data'!$A$4:E$993,$F88,8)= 0, 1, 0)</f>
        <v>#NUM!</v>
      </c>
      <c r="P88" t="e">
        <f t="array" ref="P88">IF(--INDEX('Raw Data'!$A$4:F$993,$F88,8)= 1, 1, 0)</f>
        <v>#NUM!</v>
      </c>
      <c r="Q88" t="e">
        <f t="array" ref="Q88">IF(--INDEX('Raw Data'!$A$4:G$993,$F88,13)= 1, 1, 0)</f>
        <v>#NUM!</v>
      </c>
      <c r="R88" t="e">
        <f t="array" ref="R88">IF(--INDEX('Raw Data'!$A$4:H$993,$F88,14)= 1, 1, 0)</f>
        <v>#NUM!</v>
      </c>
      <c r="S88" t="e">
        <f t="array" ref="S88">IF(--INDEX('Raw Data'!$A$4:I$993,$F88,15)= 1, 1, 0)</f>
        <v>#NUM!</v>
      </c>
      <c r="T88" t="e">
        <f t="array" ref="T88">IF(--INDEX('Raw Data'!$A$4:I$993,$F88,15)= 1, 1, 0)</f>
        <v>#NUM!</v>
      </c>
      <c r="U88" t="e">
        <f t="array" ref="U88">IF(--INDEX('Raw Data'!$A$4:J$993,$F88,16)= 1, 1, 0)</f>
        <v>#NUM!</v>
      </c>
      <c r="V88" t="e">
        <f t="array" ref="V88">IF(--INDEX('Raw Data'!$A$4:K$993,$F88,17)= 1, 1, 0)</f>
        <v>#NUM!</v>
      </c>
      <c r="W88" t="e">
        <f t="array" ref="W88">INDEX('Raw Data'!$A:$O,$F88,19)</f>
        <v>#NUM!</v>
      </c>
      <c r="X88" t="e">
        <f t="array" ref="X88">INDEX('Raw Data'!$A:$O,$F88,20)</f>
        <v>#NUM!</v>
      </c>
      <c r="Y88" t="e">
        <f t="array" ref="Y88">INDEX('Raw Data'!$A:$O,F88,21)</f>
        <v>#NUM!</v>
      </c>
      <c r="Z88" t="e">
        <f t="array" ref="Z88">INDEX('Raw Data'!$A:$O,$F88,3)</f>
        <v>#NUM!</v>
      </c>
      <c r="AA88" t="e">
        <f t="array" ref="AA88">INDEX('Raw Data'!$A:$O,$F88,22)</f>
        <v>#NUM!</v>
      </c>
      <c r="AB88" t="e">
        <f t="array" ref="AB88">INDEX('Raw Data'!$A:$O,$F88,23)</f>
        <v>#NUM!</v>
      </c>
    </row>
    <row r="89" spans="1:39" x14ac:dyDescent="0.25">
      <c r="A89" t="s">
        <v>0</v>
      </c>
      <c r="B89">
        <f>G103</f>
        <v>0</v>
      </c>
      <c r="F89" t="e">
        <f t="array" ref="F89">SMALL(IF('Raw Data'!A:A=C87,ROW('Raw Data'!A:A)),ROW('Raw Data'!$2:$2))</f>
        <v>#NUM!</v>
      </c>
      <c r="G89" t="e">
        <f t="array" ref="G89">INDEX('Raw Data'!A:A,F89,9)</f>
        <v>#NUM!</v>
      </c>
      <c r="H89" t="e">
        <f t="array" ref="H89">INDEX('Raw Data'!A:A,F89,10)</f>
        <v>#NUM!</v>
      </c>
      <c r="I89" t="e">
        <f t="array" ref="I89">INDEX('Raw Data'!$A:A,$F89,11)</f>
        <v>#NUM!</v>
      </c>
      <c r="J89" t="e">
        <f t="array" ref="J89">INDEX('Raw Data'!$A:A,F89,12)</f>
        <v>#NUM!</v>
      </c>
      <c r="K89" t="e">
        <f>(--INDEX('Raw Data'!$A$4:B$993,F89,4))</f>
        <v>#NUM!</v>
      </c>
      <c r="L89" t="e">
        <f t="array" ref="L89">(--INDEX('Raw Data'!$A$4:B$993,F89,5))</f>
        <v>#NUM!</v>
      </c>
      <c r="M89" t="e">
        <f t="array" ref="M89">(--INDEX('Raw Data'!$A$4:D$993,$F89,6))</f>
        <v>#NUM!</v>
      </c>
      <c r="N89" t="e">
        <f t="array" ref="N89">(--INDEX('Raw Data'!$A$4:D$993,$F89,7))</f>
        <v>#NUM!</v>
      </c>
      <c r="O89" t="e">
        <f t="array" ref="O89">IF(--INDEX('Raw Data'!$A$4:E$993,$F89,8)= 0, 1, 0)</f>
        <v>#NUM!</v>
      </c>
      <c r="P89" t="e">
        <f t="array" ref="P89">IF(--INDEX('Raw Data'!$A$4:F$993,$F89,8)= 1, 1, 0)</f>
        <v>#NUM!</v>
      </c>
      <c r="Q89" t="e">
        <f t="array" ref="Q89">IF(--INDEX('Raw Data'!$A$4:G$993,$F89,13)= 1, 1, 0)</f>
        <v>#NUM!</v>
      </c>
      <c r="R89" t="e">
        <f t="array" ref="R89">IF(--INDEX('Raw Data'!$A$4:H$993,$F89,14)= 1, 1, 0)</f>
        <v>#NUM!</v>
      </c>
      <c r="S89" t="e">
        <f t="array" ref="S89">IF(--INDEX('Raw Data'!$A$4:I$993,$F89,15)= 1, 1, 0)</f>
        <v>#NUM!</v>
      </c>
      <c r="T89" t="e">
        <f t="array" ref="T89">IF(--INDEX('Raw Data'!$A$4:I$993,$F89,15)= 1, 1, 0)</f>
        <v>#NUM!</v>
      </c>
      <c r="U89" t="e">
        <f t="array" ref="U89">IF(--INDEX('Raw Data'!$A$4:J$993,$F89,16)= 1, 1, 0)</f>
        <v>#NUM!</v>
      </c>
      <c r="V89" t="e">
        <f t="array" ref="V89">IF(--INDEX('Raw Data'!$A$4:K$993,$F89,17)= 1, 1, 0)</f>
        <v>#NUM!</v>
      </c>
      <c r="W89" t="e">
        <f t="array" ref="W89">INDEX('Raw Data'!$A:$O,$F89,19)</f>
        <v>#NUM!</v>
      </c>
      <c r="X89" t="e">
        <f t="array" ref="X89">INDEX('Raw Data'!$A:$O,$F89,20)</f>
        <v>#NUM!</v>
      </c>
      <c r="Y89" t="e">
        <f t="array" ref="Y89">INDEX('Raw Data'!$A:$O,F89,21)</f>
        <v>#NUM!</v>
      </c>
      <c r="Z89" t="e">
        <f t="array" ref="Z89">INDEX('Raw Data'!$A:$O,$F89,3)</f>
        <v>#NUM!</v>
      </c>
      <c r="AA89" t="e">
        <f t="array" ref="AA89">INDEX('Raw Data'!$A:$O,$F89,22)</f>
        <v>#NUM!</v>
      </c>
      <c r="AB89" t="e">
        <f t="array" ref="AB89">INDEX('Raw Data'!$A:$O,$F89,23)</f>
        <v>#NUM!</v>
      </c>
    </row>
    <row r="90" spans="1:39" x14ac:dyDescent="0.25">
      <c r="A90" t="s">
        <v>1</v>
      </c>
      <c r="B90">
        <f>H103</f>
        <v>0</v>
      </c>
      <c r="F90" t="e">
        <f t="array" ref="F90">SMALL(IF('Raw Data'!A:A=C87,ROW('Raw Data'!A:A)),ROW('Raw Data'!$3:$3))</f>
        <v>#NUM!</v>
      </c>
      <c r="G90" t="e">
        <f t="array" ref="G90">INDEX('Raw Data'!A:A,F90,9)</f>
        <v>#NUM!</v>
      </c>
      <c r="H90" t="e">
        <f t="array" ref="H90">INDEX('Raw Data'!A:A,F90,10)</f>
        <v>#NUM!</v>
      </c>
      <c r="I90" t="e">
        <f t="array" ref="I90">INDEX('Raw Data'!$A:A,$F90,11)</f>
        <v>#NUM!</v>
      </c>
      <c r="J90" t="e">
        <f t="array" ref="J90">INDEX('Raw Data'!$A:A,F90,12)</f>
        <v>#NUM!</v>
      </c>
      <c r="K90" t="e">
        <f>(--INDEX('Raw Data'!$A$4:B$993,F90,4))</f>
        <v>#NUM!</v>
      </c>
      <c r="L90" t="e">
        <f t="array" ref="L90">(--INDEX('Raw Data'!$A$4:B$993,F90,5))</f>
        <v>#NUM!</v>
      </c>
      <c r="M90" t="e">
        <f t="array" ref="M90">(--INDEX('Raw Data'!$A$4:D$993,$F90,6))</f>
        <v>#NUM!</v>
      </c>
      <c r="N90" t="e">
        <f t="array" ref="N90">(--INDEX('Raw Data'!$A$4:D$993,$F90,7))</f>
        <v>#NUM!</v>
      </c>
      <c r="O90" t="e">
        <f t="array" ref="O90">IF(--INDEX('Raw Data'!$A$4:E$993,$F90,8)= 0, 1, 0)</f>
        <v>#NUM!</v>
      </c>
      <c r="P90" t="e">
        <f t="array" ref="P90">IF(--INDEX('Raw Data'!$A$4:F$993,$F90,8)= 1, 1, 0)</f>
        <v>#NUM!</v>
      </c>
      <c r="Q90" t="e">
        <f t="array" ref="Q90">IF(--INDEX('Raw Data'!$A$4:G$993,$F90,13)= 1, 1, 0)</f>
        <v>#NUM!</v>
      </c>
      <c r="R90" t="e">
        <f t="array" ref="R90">IF(--INDEX('Raw Data'!$A$4:H$993,$F90,14)= 1, 1, 0)</f>
        <v>#NUM!</v>
      </c>
      <c r="S90" t="e">
        <f t="array" ref="S90">IF(--INDEX('Raw Data'!$A$4:I$993,$F90,15)= 1, 1, 0)</f>
        <v>#NUM!</v>
      </c>
      <c r="T90" t="e">
        <f t="array" ref="T90">IF(--INDEX('Raw Data'!$A$4:I$993,$F90,15)= 1, 1, 0)</f>
        <v>#NUM!</v>
      </c>
      <c r="U90" t="e">
        <f t="array" ref="U90">IF(--INDEX('Raw Data'!$A$4:J$993,$F90,16)= 1, 1, 0)</f>
        <v>#NUM!</v>
      </c>
      <c r="V90" t="e">
        <f t="array" ref="V90">IF(--INDEX('Raw Data'!$A$4:K$993,$F90,17)= 1, 1, 0)</f>
        <v>#NUM!</v>
      </c>
      <c r="W90" t="e">
        <f t="array" ref="W90">INDEX('Raw Data'!$A:$O,$F90,19)</f>
        <v>#NUM!</v>
      </c>
      <c r="X90" t="e">
        <f t="array" ref="X90">INDEX('Raw Data'!$A:$O,$F90,20)</f>
        <v>#NUM!</v>
      </c>
      <c r="Y90" t="e">
        <f t="array" ref="Y90">INDEX('Raw Data'!$A:$O,F90,21)</f>
        <v>#NUM!</v>
      </c>
      <c r="Z90" t="e">
        <f t="array" ref="Z90">INDEX('Raw Data'!$A:$O,$F90,3)</f>
        <v>#NUM!</v>
      </c>
      <c r="AA90" t="e">
        <f t="array" ref="AA90">INDEX('Raw Data'!$A:$O,$F90,22)</f>
        <v>#NUM!</v>
      </c>
      <c r="AB90" t="e">
        <f t="array" ref="AB90">INDEX('Raw Data'!$A:$O,$F90,23)</f>
        <v>#NUM!</v>
      </c>
    </row>
    <row r="91" spans="1:39" x14ac:dyDescent="0.25">
      <c r="A91" t="s">
        <v>2</v>
      </c>
      <c r="C91" s="3" t="e">
        <f>B90/B89</f>
        <v>#DIV/0!</v>
      </c>
      <c r="F91" t="e">
        <f t="array" ref="F91">SMALL(IF('Raw Data'!A:A=C87,ROW('Raw Data'!A:A)),ROW('Raw Data'!$4:$4))</f>
        <v>#NUM!</v>
      </c>
      <c r="G91" t="e">
        <f t="array" ref="G91">INDEX('Raw Data'!A:A,F91,9)</f>
        <v>#NUM!</v>
      </c>
      <c r="H91" t="e">
        <f t="array" ref="H91">INDEX('Raw Data'!A:A,F91,10)</f>
        <v>#NUM!</v>
      </c>
      <c r="I91" t="e">
        <f t="array" ref="I91">INDEX('Raw Data'!$A:A,$F91,11)</f>
        <v>#NUM!</v>
      </c>
      <c r="J91" t="e">
        <f t="array" ref="J91">INDEX('Raw Data'!$A:A,F91,12)</f>
        <v>#NUM!</v>
      </c>
      <c r="K91" t="e">
        <f>(--INDEX('Raw Data'!$A$4:B$993,F91,4))</f>
        <v>#NUM!</v>
      </c>
      <c r="L91" t="e">
        <f t="array" ref="L91">(--INDEX('Raw Data'!$A$4:B$993,F91,5))</f>
        <v>#NUM!</v>
      </c>
      <c r="M91" t="e">
        <f t="array" ref="M91">(--INDEX('Raw Data'!$A$4:D$993,$F91,6))</f>
        <v>#NUM!</v>
      </c>
      <c r="N91" t="e">
        <f t="array" ref="N91">(--INDEX('Raw Data'!$A$4:D$993,$F91,7))</f>
        <v>#NUM!</v>
      </c>
      <c r="O91" t="e">
        <f t="array" ref="O91">IF(--INDEX('Raw Data'!$A$4:E$993,$F91,8)= 0, 1, 0)</f>
        <v>#NUM!</v>
      </c>
      <c r="P91" t="e">
        <f t="array" ref="P91">IF(--INDEX('Raw Data'!$A$4:F$993,$F91,8)= 1, 1, 0)</f>
        <v>#NUM!</v>
      </c>
      <c r="Q91" t="e">
        <f t="array" ref="Q91">IF(--INDEX('Raw Data'!$A$4:G$993,$F91,13)= 1, 1, 0)</f>
        <v>#NUM!</v>
      </c>
      <c r="R91" t="e">
        <f t="array" ref="R91">IF(--INDEX('Raw Data'!$A$4:H$993,$F91,14)= 1, 1, 0)</f>
        <v>#NUM!</v>
      </c>
      <c r="S91" t="e">
        <f t="array" ref="S91">IF(--INDEX('Raw Data'!$A$4:I$993,$F91,15)= 1, 1, 0)</f>
        <v>#NUM!</v>
      </c>
      <c r="T91" t="e">
        <f t="array" ref="T91">IF(--INDEX('Raw Data'!$A$4:I$993,$F91,15)= 1, 1, 0)</f>
        <v>#NUM!</v>
      </c>
      <c r="U91" t="e">
        <f t="array" ref="U91">IF(--INDEX('Raw Data'!$A$4:J$993,$F91,16)= 1, 1, 0)</f>
        <v>#NUM!</v>
      </c>
      <c r="V91" t="e">
        <f t="array" ref="V91">IF(--INDEX('Raw Data'!$A$4:K$993,$F91,17)= 1, 1, 0)</f>
        <v>#NUM!</v>
      </c>
      <c r="W91" t="e">
        <f t="array" ref="W91">INDEX('Raw Data'!$A:$O,$F91,19)</f>
        <v>#NUM!</v>
      </c>
      <c r="X91" t="e">
        <f t="array" ref="X91">INDEX('Raw Data'!$A:$O,$F91,20)</f>
        <v>#NUM!</v>
      </c>
      <c r="Y91" t="e">
        <f t="array" ref="Y91">INDEX('Raw Data'!$A:$O,F91,21)</f>
        <v>#NUM!</v>
      </c>
      <c r="Z91" t="e">
        <f t="array" ref="Z91">INDEX('Raw Data'!$A:$O,$F91,3)</f>
        <v>#NUM!</v>
      </c>
      <c r="AA91" t="e">
        <f t="array" ref="AA91">INDEX('Raw Data'!$A:$O,$F91,22)</f>
        <v>#NUM!</v>
      </c>
      <c r="AB91" t="e">
        <f t="array" ref="AB91">INDEX('Raw Data'!$A:$O,$F91,23)</f>
        <v>#NUM!</v>
      </c>
    </row>
    <row r="92" spans="1:39" x14ac:dyDescent="0.25">
      <c r="A92" t="s">
        <v>54</v>
      </c>
      <c r="B92">
        <f>I103</f>
        <v>0</v>
      </c>
      <c r="F92" t="e">
        <f t="array" ref="F92">SMALL(IF('Raw Data'!A:A=C87,ROW('Raw Data'!A:A)),ROW('Raw Data'!$5:$5))</f>
        <v>#NUM!</v>
      </c>
      <c r="G92" t="e">
        <f t="array" ref="G92">INDEX('Raw Data'!A:A,F92,9)</f>
        <v>#NUM!</v>
      </c>
      <c r="H92" t="e">
        <f t="array" ref="H92">INDEX('Raw Data'!A:A,F92,10)</f>
        <v>#NUM!</v>
      </c>
      <c r="I92" t="e">
        <f t="array" ref="I92">INDEX('Raw Data'!$A:A,$F92,11)</f>
        <v>#NUM!</v>
      </c>
      <c r="J92" t="e">
        <f t="array" ref="J92">INDEX('Raw Data'!$A:A,F92,12)</f>
        <v>#NUM!</v>
      </c>
      <c r="K92" t="e">
        <f>(--INDEX('Raw Data'!$A$4:B$993,F92,4))</f>
        <v>#NUM!</v>
      </c>
      <c r="L92" t="e">
        <f t="array" ref="L92">(--INDEX('Raw Data'!$A$4:B$993,F92,5))</f>
        <v>#NUM!</v>
      </c>
      <c r="M92" t="e">
        <f t="array" ref="M92">(--INDEX('Raw Data'!$A$4:D$993,$F92,6))</f>
        <v>#NUM!</v>
      </c>
      <c r="N92" t="e">
        <f t="array" ref="N92">(--INDEX('Raw Data'!$A$4:D$993,$F92,7))</f>
        <v>#NUM!</v>
      </c>
      <c r="O92" t="e">
        <f t="array" ref="O92">IF(--INDEX('Raw Data'!$A$4:E$993,$F92,8)= 0, 1, 0)</f>
        <v>#NUM!</v>
      </c>
      <c r="P92" t="e">
        <f t="array" ref="P92">IF(--INDEX('Raw Data'!$A$4:F$993,$F92,8)= 1, 1, 0)</f>
        <v>#NUM!</v>
      </c>
      <c r="Q92" t="e">
        <f t="array" ref="Q92">IF(--INDEX('Raw Data'!$A$4:G$993,$F92,13)= 1, 1, 0)</f>
        <v>#NUM!</v>
      </c>
      <c r="R92" t="e">
        <f t="array" ref="R92">IF(--INDEX('Raw Data'!$A$4:H$993,$F92,14)= 1, 1, 0)</f>
        <v>#NUM!</v>
      </c>
      <c r="S92" t="e">
        <f t="array" ref="S92">IF(--INDEX('Raw Data'!$A$4:I$993,$F92,15)= 1, 1, 0)</f>
        <v>#NUM!</v>
      </c>
      <c r="T92" t="e">
        <f t="array" ref="T92">IF(--INDEX('Raw Data'!$A$4:I$993,$F92,15)= 1, 1, 0)</f>
        <v>#NUM!</v>
      </c>
      <c r="U92" t="e">
        <f t="array" ref="U92">IF(--INDEX('Raw Data'!$A$4:J$993,$F92,16)= 1, 1, 0)</f>
        <v>#NUM!</v>
      </c>
      <c r="V92" t="e">
        <f t="array" ref="V92">IF(--INDEX('Raw Data'!$A$4:K$993,$F92,17)= 1, 1, 0)</f>
        <v>#NUM!</v>
      </c>
      <c r="W92" t="e">
        <f t="array" ref="W92">INDEX('Raw Data'!$A:$O,$F92,19)</f>
        <v>#NUM!</v>
      </c>
      <c r="X92" t="e">
        <f t="array" ref="X92">INDEX('Raw Data'!$A:$O,$F92,20)</f>
        <v>#NUM!</v>
      </c>
      <c r="Y92" t="e">
        <f t="array" ref="Y92">INDEX('Raw Data'!$A:$O,F92,21)</f>
        <v>#NUM!</v>
      </c>
      <c r="Z92" t="e">
        <f t="array" ref="Z92">INDEX('Raw Data'!$A:$O,$F92,3)</f>
        <v>#NUM!</v>
      </c>
      <c r="AA92" t="e">
        <f t="array" ref="AA92">INDEX('Raw Data'!$A:$O,$F92,22)</f>
        <v>#NUM!</v>
      </c>
      <c r="AB92" t="e">
        <f t="array" ref="AB92">INDEX('Raw Data'!$A:$O,$F92,23)</f>
        <v>#NUM!</v>
      </c>
    </row>
    <row r="93" spans="1:39" x14ac:dyDescent="0.25">
      <c r="A93" t="s">
        <v>35</v>
      </c>
      <c r="B93">
        <f>J103</f>
        <v>0</v>
      </c>
      <c r="F93" t="e">
        <f t="array" ref="F93">SMALL(IF('Raw Data'!A:A=C87,ROW('Raw Data'!A:A)),ROW('Raw Data'!$6:$6))</f>
        <v>#NUM!</v>
      </c>
      <c r="G93" t="e">
        <f t="array" ref="G93">INDEX('Raw Data'!A:A,F93,9)</f>
        <v>#NUM!</v>
      </c>
      <c r="H93" t="e">
        <f t="array" ref="H93">INDEX('Raw Data'!A:A,F93,10)</f>
        <v>#NUM!</v>
      </c>
      <c r="I93" t="e">
        <f t="array" ref="I93">INDEX('Raw Data'!$A:A,$F93,11)</f>
        <v>#NUM!</v>
      </c>
      <c r="J93" t="e">
        <f t="array" ref="J93">INDEX('Raw Data'!$A:A,F93,12)</f>
        <v>#NUM!</v>
      </c>
      <c r="K93" t="e">
        <f>(--INDEX('Raw Data'!$A$4:B$993,F93,4))</f>
        <v>#NUM!</v>
      </c>
      <c r="L93" t="e">
        <f t="array" ref="L93">(--INDEX('Raw Data'!$A$4:B$998,F93,5))</f>
        <v>#NUM!</v>
      </c>
      <c r="M93" t="e">
        <f t="array" ref="M93">(--INDEX('Raw Data'!$A$4:D$998,$F93,6))</f>
        <v>#NUM!</v>
      </c>
      <c r="N93" t="e">
        <f t="array" ref="N93">(--INDEX('Raw Data'!$A$4:D$993,$F93,7))</f>
        <v>#NUM!</v>
      </c>
      <c r="O93" t="e">
        <f t="array" ref="O93">IF(--INDEX('Raw Data'!$A$4:E$993,$F93,8)= 0, 1, 0)</f>
        <v>#NUM!</v>
      </c>
      <c r="P93" t="e">
        <f t="array" ref="P93">IF(--INDEX('Raw Data'!$A$4:F$998,$F93,8)= 1, 1, 0)</f>
        <v>#NUM!</v>
      </c>
      <c r="Q93" t="e">
        <f t="array" ref="Q93">IF(--INDEX('Raw Data'!$A$4:G$998,$F93,13)= 1, 1, 0)</f>
        <v>#NUM!</v>
      </c>
      <c r="R93" t="e">
        <f t="array" ref="R93">IF(--INDEX('Raw Data'!$A$4:H$998,$F93,14)= 1, 1, 0)</f>
        <v>#NUM!</v>
      </c>
      <c r="S93" t="e">
        <f t="array" ref="S93">IF(--INDEX('Raw Data'!$A$4:I$993,$F93,15)= 1, 1, 0)</f>
        <v>#NUM!</v>
      </c>
      <c r="T93" t="e">
        <f t="array" ref="T93">IF(--INDEX('Raw Data'!$A$4:I$998,$F93,15)= 1, 1, 0)</f>
        <v>#NUM!</v>
      </c>
      <c r="U93" t="e">
        <f t="array" ref="U93">IF(--INDEX('Raw Data'!$A$4:J$998,$F93,16)= 1, 1, 0)</f>
        <v>#NUM!</v>
      </c>
      <c r="V93" t="e">
        <f t="array" ref="V93">IF(--INDEX('Raw Data'!$A$4:K$993,$F93,17)= 1, 1, 0)</f>
        <v>#NUM!</v>
      </c>
      <c r="W93" t="e">
        <f t="array" ref="W93">INDEX('Raw Data'!$A:$O,$F93,19)</f>
        <v>#NUM!</v>
      </c>
      <c r="X93" t="e">
        <f t="array" ref="X93">INDEX('Raw Data'!$A:$O,$F93,20)</f>
        <v>#NUM!</v>
      </c>
      <c r="Y93" t="e">
        <f t="array" ref="Y93">INDEX('Raw Data'!$A:$O,F93,21)</f>
        <v>#NUM!</v>
      </c>
      <c r="Z93" t="e">
        <f t="array" ref="Z93">INDEX('Raw Data'!$A:$O,$F93,3)</f>
        <v>#NUM!</v>
      </c>
      <c r="AA93" t="e">
        <f t="array" ref="AA93">INDEX('Raw Data'!$A:$O,$F93,22)</f>
        <v>#NUM!</v>
      </c>
      <c r="AB93" t="e">
        <f t="array" ref="AB93">INDEX('Raw Data'!$A:$O,$F93,23)</f>
        <v>#NUM!</v>
      </c>
    </row>
    <row r="94" spans="1:39" ht="28.5" x14ac:dyDescent="0.45">
      <c r="F94" t="e">
        <f t="array" ref="F94">SMALL(IF('Raw Data'!A:A=C87,ROW('Raw Data'!A:A)),ROW('Raw Data'!$7:$7))</f>
        <v>#NUM!</v>
      </c>
      <c r="G94" t="e">
        <f t="array" ref="G94">INDEX('Raw Data'!A:A,F94,9)</f>
        <v>#NUM!</v>
      </c>
      <c r="H94" t="e">
        <f t="array" ref="H94">INDEX('Raw Data'!A:A,F94,10)</f>
        <v>#NUM!</v>
      </c>
      <c r="I94" t="e">
        <f t="array" ref="I94">INDEX('Raw Data'!$A:A,$F94,11)</f>
        <v>#NUM!</v>
      </c>
      <c r="J94" t="e">
        <f t="array" ref="J94">INDEX('Raw Data'!$A:A,F94,12)</f>
        <v>#NUM!</v>
      </c>
      <c r="K94" t="e">
        <f t="array" ref="K94">(--INDEX('Raw Data'!$A$4:B$998,F94,4))</f>
        <v>#NUM!</v>
      </c>
      <c r="L94" t="e">
        <f t="array" ref="L94">(--INDEX('Raw Data'!$A$4:B$998,F94,5))</f>
        <v>#NUM!</v>
      </c>
      <c r="M94" t="e">
        <f t="array" ref="M94">(--INDEX('Raw Data'!$A$4:D$998,$F94,6))</f>
        <v>#NUM!</v>
      </c>
      <c r="N94" t="e">
        <f t="array" ref="N94">(--INDEX('Raw Data'!$A$4:D$998,$F94,7))</f>
        <v>#NUM!</v>
      </c>
      <c r="O94" t="e">
        <f t="array" ref="O94">IF(--INDEX('Raw Data'!$A$4:E$998,$F94,8)= 0, 1, 0)</f>
        <v>#NUM!</v>
      </c>
      <c r="P94" t="e">
        <f t="array" ref="P94">IF(--INDEX('Raw Data'!$A$4:F$998,$F94,8)= 1, 1, 0)</f>
        <v>#NUM!</v>
      </c>
      <c r="Q94" t="e">
        <f t="array" ref="Q94">IF(--INDEX('Raw Data'!$A$4:G$998,$F94,13)= 1, 1, 0)</f>
        <v>#NUM!</v>
      </c>
      <c r="R94" t="e">
        <f t="array" ref="R94">IF(--INDEX('Raw Data'!$A$4:H$998,$F94,14)= 1, 1, 0)</f>
        <v>#NUM!</v>
      </c>
      <c r="S94" t="e">
        <f t="array" ref="S94">IF(--INDEX('Raw Data'!$A$4:I$998,$F94,15)= 1, 1, 0)</f>
        <v>#NUM!</v>
      </c>
      <c r="T94" t="e">
        <f t="array" ref="T94">IF(--INDEX('Raw Data'!$A$4:I$998,$F94,15)= 1, 1, 0)</f>
        <v>#NUM!</v>
      </c>
      <c r="U94" t="e">
        <f t="array" ref="U94">IF(--INDEX('Raw Data'!$A$4:J$998,$F94,16)= 1, 1, 0)</f>
        <v>#NUM!</v>
      </c>
      <c r="V94" t="e">
        <f t="array" ref="V94">IF(--INDEX('Raw Data'!$A$4:K$998,$F94,17)= 1, 1, 0)</f>
        <v>#NUM!</v>
      </c>
      <c r="W94" t="e">
        <f t="array" ref="W94">INDEX('Raw Data'!$A:$O,$F94,19)</f>
        <v>#NUM!</v>
      </c>
      <c r="X94" t="e">
        <f t="array" ref="X94">INDEX('Raw Data'!$A:$O,$F94,20)</f>
        <v>#NUM!</v>
      </c>
      <c r="Y94" t="e">
        <f t="array" ref="Y94">INDEX('Raw Data'!$A:$O,F94,21)</f>
        <v>#NUM!</v>
      </c>
      <c r="Z94" t="e">
        <f t="array" ref="Z94">INDEX('Raw Data'!$A:$O,$F94,3)</f>
        <v>#NUM!</v>
      </c>
      <c r="AA94" t="e">
        <f t="array" ref="AA94">INDEX('Raw Data'!$A:$O,$F94,22)</f>
        <v>#NUM!</v>
      </c>
      <c r="AB94" t="e">
        <f t="array" ref="AB94">INDEX('Raw Data'!$A:$O,$F94,23)</f>
        <v>#NUM!</v>
      </c>
      <c r="AM94" s="21"/>
    </row>
    <row r="95" spans="1:39" x14ac:dyDescent="0.25">
      <c r="F95" t="e">
        <f t="array" ref="F95">SMALL(IF('Raw Data'!A:A=C87,ROW('Raw Data'!A:A)),ROW('Raw Data'!$8:$8))</f>
        <v>#NUM!</v>
      </c>
      <c r="G95" t="e">
        <f t="array" ref="G95">INDEX('Raw Data'!A:A,F95,9)</f>
        <v>#NUM!</v>
      </c>
      <c r="H95" t="e">
        <f t="array" ref="H95">INDEX('Raw Data'!A:A,F95,10)</f>
        <v>#NUM!</v>
      </c>
      <c r="I95" t="e">
        <f t="array" ref="I95">INDEX('Raw Data'!$A:A,$F95,11)</f>
        <v>#NUM!</v>
      </c>
      <c r="J95" t="e">
        <f t="array" ref="J95">INDEX('Raw Data'!$A:A,F95,12)</f>
        <v>#NUM!</v>
      </c>
      <c r="K95" t="e">
        <f t="array" ref="K95">(--INDEX('Raw Data'!$A$4:B$998,F95,4))</f>
        <v>#NUM!</v>
      </c>
      <c r="L95" t="e">
        <f t="array" ref="L95">(--INDEX('Raw Data'!$A$4:B$998,F95,5))</f>
        <v>#NUM!</v>
      </c>
      <c r="M95" t="e">
        <f t="array" ref="M95">(--INDEX('Raw Data'!$A$4:D$998,$F95,6))</f>
        <v>#NUM!</v>
      </c>
      <c r="N95" t="e">
        <f t="array" ref="N95">(--INDEX('Raw Data'!$A$4:D$998,$F95,7))</f>
        <v>#NUM!</v>
      </c>
      <c r="O95" t="e">
        <f t="array" ref="O95">IF(--INDEX('Raw Data'!$A$4:E$998,$F95,8)= 0, 1, 0)</f>
        <v>#NUM!</v>
      </c>
      <c r="P95" t="e">
        <f t="array" ref="P95">IF(--INDEX('Raw Data'!$A$4:F$998,$F95,8)= 1, 1, 0)</f>
        <v>#NUM!</v>
      </c>
      <c r="Q95" t="e">
        <f t="array" ref="Q95">IF(--INDEX('Raw Data'!$A$4:G$998,$F95,13)= 1, 1, 0)</f>
        <v>#NUM!</v>
      </c>
      <c r="R95" t="e">
        <f t="array" ref="R95">IF(--INDEX('Raw Data'!$A$4:H$998,$F95,14)= 1, 1, 0)</f>
        <v>#NUM!</v>
      </c>
      <c r="S95" t="e">
        <f t="array" ref="S95">IF(--INDEX('Raw Data'!$A$4:I$998,$F95,15)= 1, 1, 0)</f>
        <v>#NUM!</v>
      </c>
      <c r="T95" t="e">
        <f t="array" ref="T95">IF(--INDEX('Raw Data'!$A$4:I$998,$F95,15)= 1, 1, 0)</f>
        <v>#NUM!</v>
      </c>
      <c r="U95" t="e">
        <f t="array" ref="U95">IF(--INDEX('Raw Data'!$A$4:J$998,$F95,16)= 1, 1, 0)</f>
        <v>#NUM!</v>
      </c>
      <c r="V95" t="e">
        <f t="array" ref="V95">IF(--INDEX('Raw Data'!$A$4:K$998,$F95,17)= 1, 1, 0)</f>
        <v>#NUM!</v>
      </c>
      <c r="W95" t="e">
        <f t="array" ref="W95">INDEX('Raw Data'!$A:$O,$F95,19)</f>
        <v>#NUM!</v>
      </c>
      <c r="X95" t="e">
        <f t="array" ref="X95">INDEX('Raw Data'!$A:$O,$F95,20)</f>
        <v>#NUM!</v>
      </c>
      <c r="Y95" t="e">
        <f t="array" ref="Y95">INDEX('Raw Data'!$A:$O,F95,21)</f>
        <v>#NUM!</v>
      </c>
      <c r="Z95" t="e">
        <f t="array" ref="Z95">INDEX('Raw Data'!$A:$O,$F95,3)</f>
        <v>#NUM!</v>
      </c>
      <c r="AA95" t="e">
        <f t="array" ref="AA95">INDEX('Raw Data'!$A:$O,$F95,22)</f>
        <v>#NUM!</v>
      </c>
      <c r="AB95" t="e">
        <f t="array" ref="AB95">INDEX('Raw Data'!$A:$O,$F95,23)</f>
        <v>#NUM!</v>
      </c>
    </row>
    <row r="96" spans="1:39" x14ac:dyDescent="0.25">
      <c r="F96" t="e">
        <f t="array" ref="F96">SMALL(IF('Raw Data'!A:A=C87,ROW('Raw Data'!A:A)),ROW('Raw Data'!$9:$9))</f>
        <v>#NUM!</v>
      </c>
      <c r="G96" t="e">
        <f t="array" ref="G96">INDEX('Raw Data'!A:A,F96,9)</f>
        <v>#NUM!</v>
      </c>
      <c r="H96" t="e">
        <f t="array" ref="H96">INDEX('Raw Data'!A:A,F96,10)</f>
        <v>#NUM!</v>
      </c>
      <c r="I96" t="e">
        <f t="array" ref="I96">INDEX('Raw Data'!$A:A,$F96,11)</f>
        <v>#NUM!</v>
      </c>
      <c r="J96" t="e">
        <f t="array" ref="J96">INDEX('Raw Data'!$A:A,F96,12)</f>
        <v>#NUM!</v>
      </c>
      <c r="K96" t="e">
        <f t="array" ref="K96">(--INDEX('Raw Data'!$A$4:B$998,F96,4))</f>
        <v>#NUM!</v>
      </c>
      <c r="L96" t="e">
        <f t="array" ref="L96">(--INDEX('Raw Data'!$A$4:B$998,F96,5))</f>
        <v>#NUM!</v>
      </c>
      <c r="M96" t="e">
        <f t="array" ref="M96">(--INDEX('Raw Data'!$A$4:D$998,$F96,6))</f>
        <v>#NUM!</v>
      </c>
      <c r="N96" t="e">
        <f t="array" ref="N96">(--INDEX('Raw Data'!$A$4:D$998,$F96,7))</f>
        <v>#NUM!</v>
      </c>
      <c r="O96" t="e">
        <f t="array" ref="O96">IF(--INDEX('Raw Data'!$A$4:E$998,$F96,8)= 0, 1, 0)</f>
        <v>#NUM!</v>
      </c>
      <c r="P96" t="e">
        <f t="array" ref="P96">IF(--INDEX('Raw Data'!$A$4:F$998,$F96,8)= 1, 1, 0)</f>
        <v>#NUM!</v>
      </c>
      <c r="Q96" t="e">
        <f t="array" ref="Q96">IF(--INDEX('Raw Data'!$A$4:G$998,$F96,13)= 1, 1, 0)</f>
        <v>#NUM!</v>
      </c>
      <c r="R96" t="e">
        <f t="array" ref="R96">IF(--INDEX('Raw Data'!$A$4:H$998,$F96,14)= 1, 1, 0)</f>
        <v>#NUM!</v>
      </c>
      <c r="S96" t="e">
        <f t="array" ref="S96">IF(--INDEX('Raw Data'!$A$4:I$998,$F96,15)= 1, 1, 0)</f>
        <v>#NUM!</v>
      </c>
      <c r="T96" t="e">
        <f t="array" ref="T96">IF(--INDEX('Raw Data'!$A$4:I$998,$F96,15)= 1, 1, 0)</f>
        <v>#NUM!</v>
      </c>
      <c r="U96" t="e">
        <f t="array" ref="U96">IF(--INDEX('Raw Data'!$A$4:J$998,$F96,16)= 1, 1, 0)</f>
        <v>#NUM!</v>
      </c>
      <c r="V96" t="e">
        <f t="array" ref="V96">IF(--INDEX('Raw Data'!$A$4:K$998,$F96,17)= 1, 1, 0)</f>
        <v>#NUM!</v>
      </c>
      <c r="W96" t="e">
        <f t="array" ref="W96">INDEX('Raw Data'!$A:$O,$F96,19)</f>
        <v>#NUM!</v>
      </c>
      <c r="X96" t="e">
        <f t="array" ref="X96">INDEX('Raw Data'!$A:$O,$F96,20)</f>
        <v>#NUM!</v>
      </c>
      <c r="Y96" t="e">
        <f t="array" ref="Y96">INDEX('Raw Data'!$A:$O,F96,21)</f>
        <v>#NUM!</v>
      </c>
      <c r="Z96" t="e">
        <f t="array" ref="Z96">INDEX('Raw Data'!$A:$O,$F96,3)</f>
        <v>#NUM!</v>
      </c>
      <c r="AA96" t="e">
        <f t="array" ref="AA96">INDEX('Raw Data'!$A:$O,$F96,22)</f>
        <v>#NUM!</v>
      </c>
      <c r="AB96" t="e">
        <f t="array" ref="AB96">INDEX('Raw Data'!$A:$O,$F96,23)</f>
        <v>#NUM!</v>
      </c>
    </row>
    <row r="97" spans="1:44" x14ac:dyDescent="0.25">
      <c r="F97" t="e">
        <f t="array" ref="F97">SMALL(IF('Raw Data'!A:A=C87,ROW('Raw Data'!A:A)),ROW('Raw Data'!$10:$10))</f>
        <v>#NUM!</v>
      </c>
      <c r="G97" t="e">
        <f t="array" ref="G97">INDEX('Raw Data'!A:A,F97,9)</f>
        <v>#NUM!</v>
      </c>
      <c r="H97" t="e">
        <f t="array" ref="H97">INDEX('Raw Data'!A:A,F97,10)</f>
        <v>#NUM!</v>
      </c>
      <c r="I97" t="e">
        <f t="array" ref="I97">INDEX('Raw Data'!$A:A,$F97,11)</f>
        <v>#NUM!</v>
      </c>
      <c r="J97" t="e">
        <f t="array" ref="J97">INDEX('Raw Data'!$A:A,F97,12)</f>
        <v>#NUM!</v>
      </c>
      <c r="K97" t="e">
        <f t="array" ref="K97">(--INDEX('Raw Data'!$A$4:B$998,F97,4))</f>
        <v>#NUM!</v>
      </c>
      <c r="L97" t="e">
        <f t="array" ref="L97">(--INDEX('Raw Data'!$A$4:B$998,F97,5))</f>
        <v>#NUM!</v>
      </c>
      <c r="M97" t="e">
        <f t="array" ref="M97">(--INDEX('Raw Data'!$A$4:D$998,$F97,6))</f>
        <v>#NUM!</v>
      </c>
      <c r="N97" t="e">
        <f t="array" ref="N97">(--INDEX('Raw Data'!$A$4:D$998,$F97,7))</f>
        <v>#NUM!</v>
      </c>
      <c r="O97" t="e">
        <f t="array" ref="O97">IF(--INDEX('Raw Data'!$A$4:E$998,$F97,8)= 0, 1, 0)</f>
        <v>#NUM!</v>
      </c>
      <c r="P97" t="e">
        <f t="array" ref="P97">IF(--INDEX('Raw Data'!$A$4:F$998,$F97,8)= 1, 1, 0)</f>
        <v>#NUM!</v>
      </c>
      <c r="Q97" t="e">
        <f t="array" ref="Q97">IF(--INDEX('Raw Data'!$A$4:G$998,$F97,13)= 1, 1, 0)</f>
        <v>#NUM!</v>
      </c>
      <c r="R97" t="e">
        <f t="array" ref="R97">IF(--INDEX('Raw Data'!$A$4:H$998,$F97,14)= 1, 1, 0)</f>
        <v>#NUM!</v>
      </c>
      <c r="S97" t="e">
        <f t="array" ref="S97">IF(--INDEX('Raw Data'!$A$4:I$998,$F97,15)= 1, 1, 0)</f>
        <v>#NUM!</v>
      </c>
      <c r="T97" t="e">
        <f t="array" ref="T97">IF(--INDEX('Raw Data'!$A$4:I$998,$F97,15)= 1, 1, 0)</f>
        <v>#NUM!</v>
      </c>
      <c r="U97" t="e">
        <f t="array" ref="U97">IF(--INDEX('Raw Data'!$A$4:J$998,$F97,16)= 1, 1, 0)</f>
        <v>#NUM!</v>
      </c>
      <c r="V97" t="e">
        <f t="array" ref="V97">IF(--INDEX('Raw Data'!$A$4:K$998,$F97,17)= 1, 1, 0)</f>
        <v>#NUM!</v>
      </c>
      <c r="W97" t="e">
        <f t="array" ref="W97">INDEX('Raw Data'!$A:$O,$F97,19)</f>
        <v>#NUM!</v>
      </c>
      <c r="X97" t="e">
        <f t="array" ref="X97">INDEX('Raw Data'!$A:$O,$F97,20)</f>
        <v>#NUM!</v>
      </c>
      <c r="Y97" t="e">
        <f t="array" ref="Y97">INDEX('Raw Data'!$A:$O,F97,21)</f>
        <v>#NUM!</v>
      </c>
      <c r="Z97" t="e">
        <f t="array" ref="Z97">INDEX('Raw Data'!$A:$O,$F97,3)</f>
        <v>#NUM!</v>
      </c>
      <c r="AA97" t="e">
        <f t="array" ref="AA97">INDEX('Raw Data'!$A:$O,$F97,22)</f>
        <v>#NUM!</v>
      </c>
      <c r="AB97" t="e">
        <f t="array" ref="AB97">INDEX('Raw Data'!$A:$O,$F97,23)</f>
        <v>#NUM!</v>
      </c>
    </row>
    <row r="98" spans="1:44" x14ac:dyDescent="0.25">
      <c r="F98" t="e">
        <f t="array" ref="F98">SMALL(IF('Raw Data'!A:A=C87,ROW('Raw Data'!A:A)),ROW('Raw Data'!$11:$11))</f>
        <v>#NUM!</v>
      </c>
      <c r="G98" t="e">
        <f t="array" ref="G98">INDEX('Raw Data'!A:A,F98,9)</f>
        <v>#NUM!</v>
      </c>
      <c r="H98" t="e">
        <f t="array" ref="H98">INDEX('Raw Data'!A:A,F98,10)</f>
        <v>#NUM!</v>
      </c>
      <c r="I98" t="e">
        <f t="array" ref="I98">INDEX('Raw Data'!$A:A,$F98,11)</f>
        <v>#NUM!</v>
      </c>
      <c r="J98" t="e">
        <f t="array" ref="J98">INDEX('Raw Data'!$A:A,F98,12)</f>
        <v>#NUM!</v>
      </c>
      <c r="K98" t="e">
        <f t="array" ref="K98">(--INDEX('Raw Data'!$A$4:B$998,F98,4))</f>
        <v>#NUM!</v>
      </c>
      <c r="L98" t="e">
        <f t="array" ref="L98">(--INDEX('Raw Data'!$A$4:B$998,F98,5))</f>
        <v>#NUM!</v>
      </c>
      <c r="M98" t="e">
        <f t="array" ref="M98">(--INDEX('Raw Data'!$A$4:D$998,$F98,6))</f>
        <v>#NUM!</v>
      </c>
      <c r="N98" t="e">
        <f t="array" ref="N98">(--INDEX('Raw Data'!$A$4:D$998,$F98,7))</f>
        <v>#NUM!</v>
      </c>
      <c r="O98" t="e">
        <f t="array" ref="O98">IF(--INDEX('Raw Data'!$A$4:E$998,$F98,8)= 0, 1, 0)</f>
        <v>#NUM!</v>
      </c>
      <c r="P98" t="e">
        <f t="array" ref="P98">IF(--INDEX('Raw Data'!$A$4:F$998,$F98,8)= 1, 1, 0)</f>
        <v>#NUM!</v>
      </c>
      <c r="Q98" t="e">
        <f t="array" ref="Q98">IF(--INDEX('Raw Data'!$A$4:G$998,$F98,13)= 1, 1, 0)</f>
        <v>#NUM!</v>
      </c>
      <c r="R98" t="e">
        <f t="array" ref="R98">IF(--INDEX('Raw Data'!$A$4:H$998,$F98,14)= 1, 1, 0)</f>
        <v>#NUM!</v>
      </c>
      <c r="S98" t="e">
        <f t="array" ref="S98">IF(--INDEX('Raw Data'!$A$4:I$998,$F98,15)= 1, 1, 0)</f>
        <v>#NUM!</v>
      </c>
      <c r="T98" t="e">
        <f t="array" ref="T98">IF(--INDEX('Raw Data'!$A$4:I$998,$F98,15)= 1, 1, 0)</f>
        <v>#NUM!</v>
      </c>
      <c r="U98" t="e">
        <f t="array" ref="U98">IF(--INDEX('Raw Data'!$A$4:J$998,$F98,16)= 1, 1, 0)</f>
        <v>#NUM!</v>
      </c>
      <c r="V98" t="e">
        <f t="array" ref="V98">IF(--INDEX('Raw Data'!$A$4:K$998,$F98,17)= 1, 1, 0)</f>
        <v>#NUM!</v>
      </c>
      <c r="W98" t="e">
        <f t="array" ref="W98">INDEX('Raw Data'!$A:$O,$F98,19)</f>
        <v>#NUM!</v>
      </c>
      <c r="X98" t="e">
        <f t="array" ref="X98">INDEX('Raw Data'!$A:$O,$F98,20)</f>
        <v>#NUM!</v>
      </c>
      <c r="Y98" t="e">
        <f t="array" ref="Y98">INDEX('Raw Data'!$A:$O,F98,21)</f>
        <v>#NUM!</v>
      </c>
      <c r="Z98" t="e">
        <f t="array" ref="Z98">INDEX('Raw Data'!$A:$O,$F98,3)</f>
        <v>#NUM!</v>
      </c>
      <c r="AA98" t="e">
        <f t="array" ref="AA98">INDEX('Raw Data'!$A:$O,$F98,22)</f>
        <v>#NUM!</v>
      </c>
      <c r="AB98" t="e">
        <f t="array" ref="AB98">INDEX('Raw Data'!$A:$O,$F98,23)</f>
        <v>#NUM!</v>
      </c>
    </row>
    <row r="99" spans="1:44" x14ac:dyDescent="0.25">
      <c r="F99" t="e">
        <f t="array" ref="F99">SMALL(IF('Raw Data'!A:A=C87,ROW('Raw Data'!A:A)),ROW('Raw Data'!$12:$12))</f>
        <v>#NUM!</v>
      </c>
      <c r="G99" t="e">
        <f t="array" ref="G99">INDEX('Raw Data'!A:A,F99,9)</f>
        <v>#NUM!</v>
      </c>
      <c r="H99" t="e">
        <f t="array" ref="H99">INDEX('Raw Data'!A:A,F99,10)</f>
        <v>#NUM!</v>
      </c>
      <c r="I99" t="e">
        <f t="array" ref="I99">INDEX('Raw Data'!$A:A,$F99,11)</f>
        <v>#NUM!</v>
      </c>
      <c r="J99" t="e">
        <f t="array" ref="J99">INDEX('Raw Data'!$A:A,F99,12)</f>
        <v>#NUM!</v>
      </c>
      <c r="K99" t="e">
        <f t="array" ref="K99">(--INDEX('Raw Data'!$A$4:B$998,F99,4))</f>
        <v>#NUM!</v>
      </c>
      <c r="L99" t="e">
        <f t="array" ref="L99">(--INDEX('Raw Data'!$A$4:B$998,F99,5))</f>
        <v>#NUM!</v>
      </c>
      <c r="M99" t="e">
        <f t="array" ref="M99">(--INDEX('Raw Data'!$A$4:D$998,$F99,6))</f>
        <v>#NUM!</v>
      </c>
      <c r="N99" t="e">
        <f t="array" ref="N99">(--INDEX('Raw Data'!$A$4:D$998,$F99,7))</f>
        <v>#NUM!</v>
      </c>
      <c r="O99" t="e">
        <f t="array" ref="O99">IF(--INDEX('Raw Data'!$A$4:E$998,$F99,8)= 0, 1, 0)</f>
        <v>#NUM!</v>
      </c>
      <c r="P99" t="e">
        <f t="array" ref="P99">IF(--INDEX('Raw Data'!$A$4:F$998,$F99,8)= 1, 1, 0)</f>
        <v>#NUM!</v>
      </c>
      <c r="Q99" t="e">
        <f t="array" ref="Q99">IF(--INDEX('Raw Data'!$A$4:G$998,$F99,13)= 1, 1, 0)</f>
        <v>#NUM!</v>
      </c>
      <c r="R99" t="e">
        <f t="array" ref="R99">IF(--INDEX('Raw Data'!$A$4:H$998,$F99,14)= 1, 1, 0)</f>
        <v>#NUM!</v>
      </c>
      <c r="S99" t="e">
        <f t="array" ref="S99">IF(--INDEX('Raw Data'!$A$4:I$998,$F99,15)= 1, 1, 0)</f>
        <v>#NUM!</v>
      </c>
      <c r="T99" t="e">
        <f t="array" ref="T99">IF(--INDEX('Raw Data'!$A$4:I$998,$F99,15)= 1, 1, 0)</f>
        <v>#NUM!</v>
      </c>
      <c r="U99" t="e">
        <f t="array" ref="U99">IF(--INDEX('Raw Data'!$A$4:J$998,$F99,16)= 1, 1, 0)</f>
        <v>#NUM!</v>
      </c>
      <c r="V99" t="e">
        <f t="array" ref="V99">IF(--INDEX('Raw Data'!$A$4:K$998,$F99,17)= 1, 1, 0)</f>
        <v>#NUM!</v>
      </c>
      <c r="W99" t="e">
        <f t="array" ref="W99">INDEX('Raw Data'!$A:$O,$F99,19)</f>
        <v>#NUM!</v>
      </c>
      <c r="X99" t="e">
        <f t="array" ref="X99">INDEX('Raw Data'!$A:$O,$F99,20)</f>
        <v>#NUM!</v>
      </c>
      <c r="Y99" t="e">
        <f t="array" ref="Y99">INDEX('Raw Data'!$A:$O,F99,21)</f>
        <v>#NUM!</v>
      </c>
      <c r="Z99" t="e">
        <f t="array" ref="Z99">INDEX('Raw Data'!$A:$O,$F99,3)</f>
        <v>#NUM!</v>
      </c>
      <c r="AA99" t="e">
        <f t="array" ref="AA99">INDEX('Raw Data'!$A:$O,$F99,22)</f>
        <v>#NUM!</v>
      </c>
      <c r="AB99" t="e">
        <f t="array" ref="AB99">INDEX('Raw Data'!$A:$O,$F99,23)</f>
        <v>#NUM!</v>
      </c>
    </row>
    <row r="100" spans="1:44" x14ac:dyDescent="0.25">
      <c r="F100" t="e">
        <f t="array" ref="F100">SMALL(IF('Raw Data'!A:A=C87,ROW('Raw Data'!A:A)),ROW('Raw Data'!$13:$13))</f>
        <v>#NUM!</v>
      </c>
      <c r="G100" t="e">
        <f t="array" ref="G100">INDEX('Raw Data'!A:A,F100,9)</f>
        <v>#NUM!</v>
      </c>
      <c r="H100" t="e">
        <f t="array" ref="H100">INDEX('Raw Data'!A:A,F100,10)</f>
        <v>#NUM!</v>
      </c>
      <c r="I100" t="e">
        <f t="array" ref="I100">INDEX('Raw Data'!$A:A,$F100,11)</f>
        <v>#NUM!</v>
      </c>
      <c r="J100" t="e">
        <f t="array" ref="J100">INDEX('Raw Data'!$A:A,F100,12)</f>
        <v>#NUM!</v>
      </c>
      <c r="K100" t="e">
        <f t="array" ref="K100">(--INDEX('Raw Data'!$A$4:B$998,F100,4))</f>
        <v>#NUM!</v>
      </c>
      <c r="L100" t="e">
        <f t="array" ref="L100">(--INDEX('Raw Data'!$A$4:B$998,F100,5))</f>
        <v>#NUM!</v>
      </c>
      <c r="M100" t="e">
        <f t="array" ref="M100">(--INDEX('Raw Data'!$A$4:D$998,$F100,6))</f>
        <v>#NUM!</v>
      </c>
      <c r="N100" t="e">
        <f t="array" ref="N100">(--INDEX('Raw Data'!$A$4:D$998,$F100,7))</f>
        <v>#NUM!</v>
      </c>
      <c r="O100" t="e">
        <f t="array" ref="O100">IF(--INDEX('Raw Data'!$A$4:E$998,$F100,8)= 0, 1, 0)</f>
        <v>#NUM!</v>
      </c>
      <c r="P100" t="e">
        <f t="array" ref="P100">IF(--INDEX('Raw Data'!$A$4:F$998,$F100,8)= 1, 1, 0)</f>
        <v>#NUM!</v>
      </c>
      <c r="Q100" t="e">
        <f t="array" ref="Q100">IF(--INDEX('Raw Data'!$A$4:G$998,$F100,13)= 1, 1, 0)</f>
        <v>#NUM!</v>
      </c>
      <c r="R100" t="e">
        <f t="array" ref="R100">IF(--INDEX('Raw Data'!$A$4:H$998,$F100,14)= 1, 1, 0)</f>
        <v>#NUM!</v>
      </c>
      <c r="S100" t="e">
        <f t="array" ref="S100">IF(--INDEX('Raw Data'!$A$4:I$998,$F100,15)= 1, 1, 0)</f>
        <v>#NUM!</v>
      </c>
      <c r="T100" t="e">
        <f t="array" ref="T100">IF(--INDEX('Raw Data'!$A$4:I$998,$F100,15)= 1, 1, 0)</f>
        <v>#NUM!</v>
      </c>
      <c r="U100" t="e">
        <f t="array" ref="U100">IF(--INDEX('Raw Data'!$A$4:J$998,$F100,16)= 1, 1, 0)</f>
        <v>#NUM!</v>
      </c>
      <c r="V100" t="e">
        <f t="array" ref="V100">IF(--INDEX('Raw Data'!$A$4:K$998,$F100,17)= 1, 1, 0)</f>
        <v>#NUM!</v>
      </c>
      <c r="W100" t="e">
        <f t="array" ref="W100">INDEX('Raw Data'!$A:$O,$F100,19)</f>
        <v>#NUM!</v>
      </c>
      <c r="X100" t="e">
        <f t="array" ref="X100">INDEX('Raw Data'!$A:$O,$F100,20)</f>
        <v>#NUM!</v>
      </c>
      <c r="Y100" t="e">
        <f t="array" ref="Y100">INDEX('Raw Data'!$A:$O,F100,21)</f>
        <v>#NUM!</v>
      </c>
      <c r="Z100" t="e">
        <f t="array" ref="Z100">INDEX('Raw Data'!$A:$O,$F100,3)</f>
        <v>#NUM!</v>
      </c>
      <c r="AA100" t="e">
        <f t="array" ref="AA100">INDEX('Raw Data'!$A:$O,$F100,22)</f>
        <v>#NUM!</v>
      </c>
      <c r="AB100" t="e">
        <f t="array" ref="AB100">INDEX('Raw Data'!$A:$O,$F100,23)</f>
        <v>#NUM!</v>
      </c>
    </row>
    <row r="101" spans="1:44" x14ac:dyDescent="0.25">
      <c r="F101" t="e">
        <f t="array" ref="F101">SMALL(IF('Raw Data'!A:A=C87,ROW('Raw Data'!A:A)),ROW('Raw Data'!$14:$14))</f>
        <v>#NUM!</v>
      </c>
      <c r="G101" t="e">
        <f t="array" ref="G101">INDEX('Raw Data'!A:A,F101,9)</f>
        <v>#NUM!</v>
      </c>
      <c r="H101" t="e">
        <f t="array" ref="H101">INDEX('Raw Data'!A:A,F101,10)</f>
        <v>#NUM!</v>
      </c>
      <c r="I101" t="e">
        <f t="array" ref="I101">INDEX('Raw Data'!$A:A,$F101,11)</f>
        <v>#NUM!</v>
      </c>
      <c r="J101" t="e">
        <f t="array" ref="J101">INDEX('Raw Data'!$A:A,F101,12)</f>
        <v>#NUM!</v>
      </c>
      <c r="K101" t="e">
        <f t="array" ref="K101">(--INDEX('Raw Data'!$A$4:B$998,F101,4))</f>
        <v>#NUM!</v>
      </c>
      <c r="L101" t="e">
        <f t="array" ref="L101">(--INDEX('Raw Data'!$A$4:B$998,F101,5))</f>
        <v>#NUM!</v>
      </c>
      <c r="M101" t="e">
        <f t="array" ref="M101">(--INDEX('Raw Data'!$A$4:D$998,$F101,6))</f>
        <v>#NUM!</v>
      </c>
      <c r="N101" t="e">
        <f t="array" ref="N101">(--INDEX('Raw Data'!$A$4:D$998,$F101,7))</f>
        <v>#NUM!</v>
      </c>
      <c r="O101" t="e">
        <f t="array" ref="O101">IF(--INDEX('Raw Data'!$A$4:E$998,$F101,8)= 0, 1, 0)</f>
        <v>#NUM!</v>
      </c>
      <c r="P101" t="e">
        <f t="array" ref="P101">IF(--INDEX('Raw Data'!$A$4:F$998,$F101,8)= 1, 1, 0)</f>
        <v>#NUM!</v>
      </c>
      <c r="Q101" t="e">
        <f t="array" ref="Q101">IF(--INDEX('Raw Data'!$A$4:G$998,$F101,13)= 1, 1, 0)</f>
        <v>#NUM!</v>
      </c>
      <c r="R101" t="e">
        <f t="array" ref="R101">IF(--INDEX('Raw Data'!$A$4:H$998,$F101,14)= 1, 1, 0)</f>
        <v>#NUM!</v>
      </c>
      <c r="S101" t="e">
        <f t="array" ref="S101">IF(--INDEX('Raw Data'!$A$4:I$998,$F101,15)= 1, 1, 0)</f>
        <v>#NUM!</v>
      </c>
      <c r="T101" t="e">
        <f t="array" ref="T101">IF(--INDEX('Raw Data'!$A$4:I$998,$F101,15)= 1, 1, 0)</f>
        <v>#NUM!</v>
      </c>
      <c r="U101" t="e">
        <f t="array" ref="U101">IF(--INDEX('Raw Data'!$A$4:J$998,$F101,16)= 1, 1, 0)</f>
        <v>#NUM!</v>
      </c>
      <c r="V101" t="e">
        <f t="array" ref="V101">IF(--INDEX('Raw Data'!$A$4:K$998,$F101,17)= 1, 1, 0)</f>
        <v>#NUM!</v>
      </c>
      <c r="W101" t="e">
        <f t="array" ref="W101">INDEX('Raw Data'!$A:$O,$F101,19)</f>
        <v>#NUM!</v>
      </c>
      <c r="X101" t="e">
        <f t="array" ref="X101">INDEX('Raw Data'!$A:$O,$F101,20)</f>
        <v>#NUM!</v>
      </c>
      <c r="Y101" t="e">
        <f t="array" ref="Y101">INDEX('Raw Data'!$A:$O,F101,21)</f>
        <v>#NUM!</v>
      </c>
      <c r="Z101" t="e">
        <f t="array" ref="Z101">INDEX('Raw Data'!$A:$O,$F101,3)</f>
        <v>#NUM!</v>
      </c>
      <c r="AA101" t="e">
        <f t="array" ref="AA101">INDEX('Raw Data'!$A:$O,$F101,22)</f>
        <v>#NUM!</v>
      </c>
      <c r="AB101" t="e">
        <f t="array" ref="AB101">INDEX('Raw Data'!$A:$O,$F101,23)</f>
        <v>#NUM!</v>
      </c>
    </row>
    <row r="102" spans="1:44" x14ac:dyDescent="0.25">
      <c r="F102" t="e">
        <f t="array" ref="F102">SMALL(IF('Raw Data'!A:A=C87,ROW('Raw Data'!A:A)),ROW('Raw Data'!$15:$15))</f>
        <v>#NUM!</v>
      </c>
      <c r="G102" t="e">
        <f t="array" ref="G102">INDEX('Raw Data'!A:A,F102,9)</f>
        <v>#NUM!</v>
      </c>
      <c r="H102" t="e">
        <f t="array" ref="H102">INDEX('Raw Data'!A:A,F102,10)</f>
        <v>#NUM!</v>
      </c>
      <c r="I102" t="e">
        <f t="array" ref="I102">INDEX('Raw Data'!$A:A,$F102,11)</f>
        <v>#NUM!</v>
      </c>
      <c r="J102" t="e">
        <f t="array" ref="J102">INDEX('Raw Data'!$A:A,F102,12)</f>
        <v>#NUM!</v>
      </c>
      <c r="K102" t="e">
        <f t="array" ref="K102">(--INDEX('Raw Data'!$A$4:B$998,F102,4))</f>
        <v>#NUM!</v>
      </c>
      <c r="L102" t="e">
        <f t="array" ref="L102">(--INDEX('Raw Data'!$A$4:B$998,F102,5))</f>
        <v>#NUM!</v>
      </c>
      <c r="M102" t="e">
        <f t="array" ref="M102">(--INDEX('Raw Data'!$A$4:D$998,$F102,6))</f>
        <v>#NUM!</v>
      </c>
      <c r="N102" t="e">
        <f t="array" ref="N102">(--INDEX('Raw Data'!$A$4:D$998,$F102,7))</f>
        <v>#NUM!</v>
      </c>
      <c r="O102" t="e">
        <f t="array" ref="O102">IF(--INDEX('Raw Data'!$A$4:E$998,$F102,8)= 0, 1, 0)</f>
        <v>#NUM!</v>
      </c>
      <c r="P102" t="e">
        <f t="array" ref="P102">IF(--INDEX('Raw Data'!$A$4:F$998,$F102,8)= 1, 1, 0)</f>
        <v>#NUM!</v>
      </c>
      <c r="Q102" t="e">
        <f t="array" ref="Q102">IF(--INDEX('Raw Data'!$A$4:G$998,$F102,13)= 1, 1, 0)</f>
        <v>#NUM!</v>
      </c>
      <c r="R102" t="e">
        <f t="array" ref="R102">IF(--INDEX('Raw Data'!$A$4:H$998,$F102,14)= 1, 1, 0)</f>
        <v>#NUM!</v>
      </c>
      <c r="S102" t="e">
        <f t="array" ref="S102">IF(--INDEX('Raw Data'!$A$4:I$998,$F102,15)= 1, 1, 0)</f>
        <v>#NUM!</v>
      </c>
      <c r="T102" t="e">
        <f t="array" ref="T102">IF(--INDEX('Raw Data'!$A$4:I$998,$F102,15)= 1, 1, 0)</f>
        <v>#NUM!</v>
      </c>
      <c r="U102" t="e">
        <f t="array" ref="U102">IF(--INDEX('Raw Data'!$A$4:J$998,$F102,16)= 1, 1, 0)</f>
        <v>#NUM!</v>
      </c>
      <c r="V102" t="e">
        <f t="array" ref="V102">IF(--INDEX('Raw Data'!$A$4:K$998,$F102,17)= 1, 1, 0)</f>
        <v>#NUM!</v>
      </c>
      <c r="W102" t="e">
        <f t="array" ref="W102">INDEX('Raw Data'!$A:$O,$F102,19)</f>
        <v>#NUM!</v>
      </c>
      <c r="X102" t="e">
        <f t="array" ref="X102">INDEX('Raw Data'!$A:$O,$F102,20)</f>
        <v>#NUM!</v>
      </c>
      <c r="Y102" t="e">
        <f t="array" ref="Y102">INDEX('Raw Data'!$A:$O,F102,21)</f>
        <v>#NUM!</v>
      </c>
      <c r="Z102" t="e">
        <f t="array" ref="Z102">INDEX('Raw Data'!$A:$O,$F102,3)</f>
        <v>#NUM!</v>
      </c>
      <c r="AA102" t="e">
        <f t="array" ref="AA102">INDEX('Raw Data'!$A:$O,$F102,22)</f>
        <v>#NUM!</v>
      </c>
      <c r="AB102" t="e">
        <f t="array" ref="AB102">INDEX('Raw Data'!$A:$O,$F102,23)</f>
        <v>#NUM!</v>
      </c>
    </row>
    <row r="103" spans="1:44" x14ac:dyDescent="0.25">
      <c r="A103" t="s">
        <v>55</v>
      </c>
      <c r="C103" s="2" t="e">
        <f>B93/B92</f>
        <v>#DIV/0!</v>
      </c>
      <c r="F103">
        <f t="array" ref="F103">COUNTIF(F88:F102,"&gt;0")</f>
        <v>0</v>
      </c>
      <c r="G103">
        <f t="array" ref="G103">SUMIF(G88:G102,"&gt;0")</f>
        <v>0</v>
      </c>
      <c r="H103">
        <f t="array" ref="H103">SUMIF(H88:H102,"&gt;0")</f>
        <v>0</v>
      </c>
      <c r="I103">
        <f t="array" ref="I103">SUMIF(I88:I102,"&gt;0")</f>
        <v>0</v>
      </c>
      <c r="J103">
        <f t="array" ref="J103">SUMIF(J88:J102,"&gt;0")</f>
        <v>0</v>
      </c>
      <c r="K103">
        <f t="array" ref="K103">SUMIF(K88:K102,"&gt;0")</f>
        <v>0</v>
      </c>
      <c r="L103">
        <f t="array" ref="L103">SUMIF(L88:L102,"&gt;0")</f>
        <v>0</v>
      </c>
      <c r="M103">
        <f t="array" ref="M103">SUMIF(M88:M102,"&gt;0")</f>
        <v>0</v>
      </c>
      <c r="N103">
        <f t="array" ref="N103">SUMIF(N88:N102,"&gt;0")</f>
        <v>0</v>
      </c>
      <c r="O103">
        <f t="array" ref="O103">SUMIF(O88:O102,"&gt;0")</f>
        <v>0</v>
      </c>
      <c r="P103">
        <f t="array" ref="P103">SUMIF(P88:P102,"&gt;0")</f>
        <v>0</v>
      </c>
      <c r="Q103">
        <f t="array" ref="Q103">SUMIF(Q88:Q102,"&gt;0")</f>
        <v>0</v>
      </c>
      <c r="R103">
        <f t="array" ref="R103">SUMIF(R88:R102,"&gt;0")</f>
        <v>0</v>
      </c>
      <c r="S103">
        <f t="array" ref="S103">SUMIF(S88:S102,"&gt;0")</f>
        <v>0</v>
      </c>
      <c r="T103">
        <f t="array" ref="T103">SUMIF(T88:T102,"&gt;0")</f>
        <v>0</v>
      </c>
      <c r="U103">
        <f t="array" ref="U103">SUMIF(U88:U102,"&gt;0")</f>
        <v>0</v>
      </c>
      <c r="V103">
        <f t="array" ref="V103">SUMIF(V88:V102,"&gt;0")</f>
        <v>0</v>
      </c>
      <c r="W103">
        <f t="array" ref="W103">SUMIF(W88:W102,"&gt;0")</f>
        <v>0</v>
      </c>
      <c r="X103">
        <f t="array" ref="X103">SUMIF(X88:X102,"&gt;0")</f>
        <v>0</v>
      </c>
      <c r="Y103">
        <f t="array" ref="Y103">SUMIF(Y88:Y102,"&gt;0")</f>
        <v>0</v>
      </c>
      <c r="Z103">
        <f t="array" ref="Z103">SUMIF(Z88:Z102,"&gt;0")</f>
        <v>0</v>
      </c>
      <c r="AA103">
        <f t="array" ref="AA103">SUMIF(AA88:AA102,"&gt;0")</f>
        <v>0</v>
      </c>
      <c r="AB103">
        <f t="array" ref="AB103">SUMIF(AB88:AB102,"&gt;0")</f>
        <v>0</v>
      </c>
    </row>
    <row r="104" spans="1:44" x14ac:dyDescent="0.25">
      <c r="A104" t="s">
        <v>58</v>
      </c>
      <c r="C104" s="2">
        <f t="array" ref="C104">IF((K103+L103)&lt;&gt;0, (L103/(K103+L103)),0)</f>
        <v>0</v>
      </c>
      <c r="J104" s="6">
        <f t="array" ref="J104">J103*10</f>
        <v>0</v>
      </c>
      <c r="K104"/>
      <c r="P104" t="s">
        <v>95</v>
      </c>
      <c r="Q104" s="2" t="e">
        <f t="array" ref="Q104">Q103/$F103</f>
        <v>#DIV/0!</v>
      </c>
      <c r="R104" s="2" t="e">
        <f t="array" ref="R104">R103/$F103</f>
        <v>#DIV/0!</v>
      </c>
      <c r="S104" s="2" t="e">
        <f t="array" ref="S104">S103/$F103</f>
        <v>#DIV/0!</v>
      </c>
      <c r="T104" s="2" t="e">
        <f t="array" ref="T104">T103/$F103</f>
        <v>#DIV/0!</v>
      </c>
      <c r="U104" s="2" t="e">
        <f t="array" ref="U104">U103/$F103</f>
        <v>#DIV/0!</v>
      </c>
      <c r="V104" s="2" t="e">
        <f t="array" ref="V104">V103/$F103</f>
        <v>#DIV/0!</v>
      </c>
      <c r="W104" s="2" t="e">
        <f t="array" ref="W104">W103/$F103</f>
        <v>#DIV/0!</v>
      </c>
      <c r="X104" s="2" t="e">
        <f t="array" ref="X104">X103/$F103</f>
        <v>#DIV/0!</v>
      </c>
      <c r="Z104" s="2" t="e">
        <f t="array" ref="Z104">Z103/F103</f>
        <v>#DIV/0!</v>
      </c>
    </row>
    <row r="105" spans="1:44" x14ac:dyDescent="0.25">
      <c r="A105" t="s">
        <v>60</v>
      </c>
      <c r="C105" s="2">
        <f t="array" ref="C105">IF((M103+N103)&lt;&gt;0, (N103/(M103+N103)),0)</f>
        <v>0</v>
      </c>
      <c r="J105"/>
      <c r="K105"/>
    </row>
    <row r="106" spans="1:44" ht="28.5" x14ac:dyDescent="0.45">
      <c r="A106" t="s">
        <v>61</v>
      </c>
      <c r="C106" s="2">
        <f t="array" ref="C106">IF(((K103+N103+L103+M103)&lt;&gt;0), ((L103+N103)/(K103+N103+L103+M103)),0)</f>
        <v>0</v>
      </c>
      <c r="F106" s="17" t="s">
        <v>106</v>
      </c>
      <c r="G106" s="17" t="e">
        <f t="array" ref="G106">'Weighting &amp; Ranking Sheet'!$B$3*Math!$C104+'Weighting &amp; Ranking Sheet'!$B$4*Math!$C105+'Weighting &amp; Ranking Sheet'!$B$5*Math!$C106+'Weighting &amp; Ranking Sheet'!$B$6*Math!$C107+'Weighting &amp; Ranking Sheet'!$B$7*Math!$C91+'Weighting &amp; Ranking Sheet'!$B$8*Math!$C103+'Weighting &amp; Ranking Sheet'!$B$9*Math!$C110+'Weighting &amp; Ranking Sheet'!$B$10*Math!$C108+'Weighting &amp; Ranking Sheet'!$B$11*Math!$C109+'Weighting &amp; Ranking Sheet'!$B$12*Math!$C111*0.01+'Weighting &amp; Ranking Sheet'!$B$13*Math!$Q104+'Weighting &amp; Ranking Sheet'!$B$14*Math!$R104+'Weighting &amp; Ranking Sheet'!$B$15*Math!$S104+'Weighting &amp; Ranking Sheet'!$B$16*Math!$T104+'Weighting &amp; Ranking Sheet'!$B$17*Math!$U104+'Weighting &amp; Ranking Sheet'!$B$18*Math!$V104+'Weighting &amp; Ranking Sheet'!$B$2*Math!$Z104</f>
        <v>#DIV/0!</v>
      </c>
      <c r="J106"/>
      <c r="K106"/>
    </row>
    <row r="107" spans="1:44" x14ac:dyDescent="0.25">
      <c r="A107" t="s">
        <v>62</v>
      </c>
      <c r="C107" s="2">
        <f t="array" ref="C107">IF((O103+P103&lt;&gt;0),(P103/(O103+P103)), 0)</f>
        <v>0</v>
      </c>
      <c r="J107"/>
      <c r="K107"/>
      <c r="AR107" s="25"/>
    </row>
    <row r="108" spans="1:44" x14ac:dyDescent="0.25">
      <c r="A108" t="s">
        <v>77</v>
      </c>
      <c r="C108" s="8" t="e">
        <f t="array" ref="C108">W103/F103</f>
        <v>#DIV/0!</v>
      </c>
      <c r="J108"/>
      <c r="K108"/>
      <c r="AR108" s="23"/>
    </row>
    <row r="109" spans="1:44" x14ac:dyDescent="0.25">
      <c r="A109" t="s">
        <v>78</v>
      </c>
      <c r="C109" s="8" t="e">
        <f t="array" ref="C109">X103/F103</f>
        <v>#DIV/0!</v>
      </c>
      <c r="J109"/>
      <c r="K109"/>
    </row>
    <row r="110" spans="1:44" x14ac:dyDescent="0.25">
      <c r="A110" t="s">
        <v>91</v>
      </c>
      <c r="C110" s="2" t="e">
        <f t="array" ref="C110">(C91+C103)/2</f>
        <v>#DIV/0!</v>
      </c>
      <c r="J110"/>
      <c r="K110"/>
    </row>
    <row r="111" spans="1:44" x14ac:dyDescent="0.25">
      <c r="A111" t="s">
        <v>92</v>
      </c>
      <c r="C111" s="8" t="e">
        <f t="array" ref="C111">Y103/F103</f>
        <v>#DIV/0!</v>
      </c>
      <c r="J111"/>
      <c r="K111"/>
    </row>
    <row r="112" spans="1:44" x14ac:dyDescent="0.25">
      <c r="C112" s="8"/>
      <c r="J112"/>
      <c r="K112"/>
    </row>
    <row r="113" spans="1:39" x14ac:dyDescent="0.25">
      <c r="C113" s="8"/>
      <c r="J113"/>
      <c r="K113"/>
    </row>
    <row r="114" spans="1:39" x14ac:dyDescent="0.25">
      <c r="K114" s="6"/>
    </row>
    <row r="115" spans="1:39" x14ac:dyDescent="0.25">
      <c r="A115" t="s">
        <v>3</v>
      </c>
      <c r="C115" s="5">
        <v>203</v>
      </c>
      <c r="F115" t="s">
        <v>8</v>
      </c>
    </row>
    <row r="116" spans="1:39" x14ac:dyDescent="0.25">
      <c r="F116" t="e">
        <f t="array" ref="F116">SMALL(IF('Raw Data'!A:A=C115,ROW('Raw Data'!A:A)),ROW('Raw Data'!$1:$1))</f>
        <v>#NUM!</v>
      </c>
      <c r="G116" t="e">
        <f t="array" ref="G116">INDEX('Raw Data'!A:A,F116,9)</f>
        <v>#NUM!</v>
      </c>
      <c r="H116" t="e">
        <f t="array" ref="H116">INDEX('Raw Data'!A:A,F116,10)</f>
        <v>#NUM!</v>
      </c>
      <c r="I116" t="e">
        <f t="array" ref="I116">INDEX('Raw Data'!$A:A,$F116,11)</f>
        <v>#NUM!</v>
      </c>
      <c r="J116" t="e">
        <f t="array" ref="J116">INDEX('Raw Data'!$A:A,F116,12)</f>
        <v>#NUM!</v>
      </c>
      <c r="K116" t="e">
        <f>(--INDEX('Raw Data'!$A$4:B$993,F116,4))</f>
        <v>#NUM!</v>
      </c>
      <c r="L116" t="e">
        <f t="array" ref="L116">(--INDEX('Raw Data'!$A$4:B$993,F116,5))</f>
        <v>#NUM!</v>
      </c>
      <c r="M116" t="e">
        <f t="array" ref="M116">(--INDEX('Raw Data'!$A$4:D$993,$F116,6))</f>
        <v>#NUM!</v>
      </c>
      <c r="N116" t="e">
        <f t="array" ref="N116">(--INDEX('Raw Data'!$A$4:D$993,$F116,7))</f>
        <v>#NUM!</v>
      </c>
      <c r="O116" t="e">
        <f t="array" ref="O116">IF(--INDEX('Raw Data'!$A$4:E$993,$F116,8)= 0, 1, 0)</f>
        <v>#NUM!</v>
      </c>
      <c r="P116" t="e">
        <f t="array" ref="P116">IF(--INDEX('Raw Data'!$A$4:F$993,$F116,8)= 1, 1, 0)</f>
        <v>#NUM!</v>
      </c>
      <c r="Q116" t="e">
        <f t="array" ref="Q116">IF(--INDEX('Raw Data'!$A$4:G$993,$F116,13)= 1, 1, 0)</f>
        <v>#NUM!</v>
      </c>
      <c r="R116" t="e">
        <f t="array" ref="R116">IF(--INDEX('Raw Data'!$A$4:H$993,$F116,14)= 1, 1, 0)</f>
        <v>#NUM!</v>
      </c>
      <c r="S116" t="e">
        <f t="array" ref="S116">IF(--INDEX('Raw Data'!$A$4:I$993,$F116,15)= 1, 1, 0)</f>
        <v>#NUM!</v>
      </c>
      <c r="T116" t="e">
        <f t="array" ref="T116">IF(--INDEX('Raw Data'!$A$4:I$993,$F116,15)= 1, 1, 0)</f>
        <v>#NUM!</v>
      </c>
      <c r="U116" t="e">
        <f t="array" ref="U116">IF(--INDEX('Raw Data'!$A$4:J$993,$F116,16)= 1, 1, 0)</f>
        <v>#NUM!</v>
      </c>
      <c r="V116" t="e">
        <f t="array" ref="V116">IF(--INDEX('Raw Data'!$A$4:K$993,$F116,17)= 1, 1, 0)</f>
        <v>#NUM!</v>
      </c>
      <c r="W116" t="e">
        <f t="array" ref="W116">INDEX('Raw Data'!$A:$O,$F116,19)</f>
        <v>#NUM!</v>
      </c>
      <c r="X116" t="e">
        <f t="array" ref="X116">INDEX('Raw Data'!$A:$O,$F116,20)</f>
        <v>#NUM!</v>
      </c>
      <c r="Y116" t="e">
        <f t="array" ref="Y116">INDEX('Raw Data'!$A:$O,F116,21)</f>
        <v>#NUM!</v>
      </c>
      <c r="Z116" t="e">
        <f t="array" ref="Z116">INDEX('Raw Data'!$A:$O,$F116,3)</f>
        <v>#NUM!</v>
      </c>
      <c r="AA116" t="e">
        <f t="array" ref="AA116">INDEX('Raw Data'!$A:$O,$F116,22)</f>
        <v>#NUM!</v>
      </c>
      <c r="AB116" t="e">
        <f t="array" ref="AB116">INDEX('Raw Data'!$A:$O,$F116,23)</f>
        <v>#NUM!</v>
      </c>
    </row>
    <row r="117" spans="1:39" x14ac:dyDescent="0.25">
      <c r="A117" t="s">
        <v>0</v>
      </c>
      <c r="B117">
        <f>G131</f>
        <v>0</v>
      </c>
      <c r="F117" t="e">
        <f t="array" ref="F117">SMALL(IF('Raw Data'!A:A=C115,ROW('Raw Data'!A:A)),ROW('Raw Data'!$2:$2))</f>
        <v>#NUM!</v>
      </c>
      <c r="G117" t="e">
        <f t="array" ref="G117">INDEX('Raw Data'!A:A,F117,9)</f>
        <v>#NUM!</v>
      </c>
      <c r="H117" t="e">
        <f t="array" ref="H117">INDEX('Raw Data'!A:A,F117,10)</f>
        <v>#NUM!</v>
      </c>
      <c r="I117" t="e">
        <f t="array" ref="I117">INDEX('Raw Data'!$A:A,$F117,11)</f>
        <v>#NUM!</v>
      </c>
      <c r="J117" t="e">
        <f t="array" ref="J117">INDEX('Raw Data'!$A:A,F117,12)</f>
        <v>#NUM!</v>
      </c>
      <c r="K117" t="e">
        <f>(--INDEX('Raw Data'!$A$4:B$993,F117,4))</f>
        <v>#NUM!</v>
      </c>
      <c r="L117" t="e">
        <f t="array" ref="L117">(--INDEX('Raw Data'!$A$4:B$993,F117,5))</f>
        <v>#NUM!</v>
      </c>
      <c r="M117" t="e">
        <f t="array" ref="M117">(--INDEX('Raw Data'!$A$4:D$993,$F117,6))</f>
        <v>#NUM!</v>
      </c>
      <c r="N117" t="e">
        <f t="array" ref="N117">(--INDEX('Raw Data'!$A$4:D$993,$F117,7))</f>
        <v>#NUM!</v>
      </c>
      <c r="O117" t="e">
        <f t="array" ref="O117">IF(--INDEX('Raw Data'!$A$4:E$993,$F117,8)= 0, 1, 0)</f>
        <v>#NUM!</v>
      </c>
      <c r="P117" t="e">
        <f t="array" ref="P117">IF(--INDEX('Raw Data'!$A$4:F$993,$F117,8)= 1, 1, 0)</f>
        <v>#NUM!</v>
      </c>
      <c r="Q117" t="e">
        <f t="array" ref="Q117">IF(--INDEX('Raw Data'!$A$4:G$993,$F117,13)= 1, 1, 0)</f>
        <v>#NUM!</v>
      </c>
      <c r="R117" t="e">
        <f t="array" ref="R117">IF(--INDEX('Raw Data'!$A$4:H$993,$F117,14)= 1, 1, 0)</f>
        <v>#NUM!</v>
      </c>
      <c r="S117" t="e">
        <f t="array" ref="S117">IF(--INDEX('Raw Data'!$A$4:I$993,$F117,15)= 1, 1, 0)</f>
        <v>#NUM!</v>
      </c>
      <c r="T117" t="e">
        <f t="array" ref="T117">IF(--INDEX('Raw Data'!$A$4:I$993,$F117,15)= 1, 1, 0)</f>
        <v>#NUM!</v>
      </c>
      <c r="U117" t="e">
        <f t="array" ref="U117">IF(--INDEX('Raw Data'!$A$4:J$993,$F117,16)= 1, 1, 0)</f>
        <v>#NUM!</v>
      </c>
      <c r="V117" t="e">
        <f t="array" ref="V117">IF(--INDEX('Raw Data'!$A$4:K$993,$F117,17)= 1, 1, 0)</f>
        <v>#NUM!</v>
      </c>
      <c r="W117" t="e">
        <f t="array" ref="W117">INDEX('Raw Data'!$A:$O,$F117,19)</f>
        <v>#NUM!</v>
      </c>
      <c r="X117" t="e">
        <f t="array" ref="X117">INDEX('Raw Data'!$A:$O,$F117,20)</f>
        <v>#NUM!</v>
      </c>
      <c r="Y117" t="e">
        <f t="array" ref="Y117">INDEX('Raw Data'!$A:$O,F117,21)</f>
        <v>#NUM!</v>
      </c>
      <c r="Z117" t="e">
        <f t="array" ref="Z117">INDEX('Raw Data'!$A:$O,$F117,3)</f>
        <v>#NUM!</v>
      </c>
      <c r="AA117" t="e">
        <f t="array" ref="AA117">INDEX('Raw Data'!$A:$O,$F117,22)</f>
        <v>#NUM!</v>
      </c>
      <c r="AB117" t="e">
        <f t="array" ref="AB117">INDEX('Raw Data'!$A:$O,$F117,23)</f>
        <v>#NUM!</v>
      </c>
    </row>
    <row r="118" spans="1:39" x14ac:dyDescent="0.25">
      <c r="A118" t="s">
        <v>1</v>
      </c>
      <c r="B118">
        <f>H131</f>
        <v>0</v>
      </c>
      <c r="F118" t="e">
        <f t="array" ref="F118">SMALL(IF('Raw Data'!A:A=C115,ROW('Raw Data'!A:A)),ROW('Raw Data'!$3:$3))</f>
        <v>#NUM!</v>
      </c>
      <c r="G118" t="e">
        <f t="array" ref="G118">INDEX('Raw Data'!A:A,F118,9)</f>
        <v>#NUM!</v>
      </c>
      <c r="H118" t="e">
        <f t="array" ref="H118">INDEX('Raw Data'!A:A,F118,10)</f>
        <v>#NUM!</v>
      </c>
      <c r="I118" t="e">
        <f t="array" ref="I118">INDEX('Raw Data'!$A:A,$F118,11)</f>
        <v>#NUM!</v>
      </c>
      <c r="J118" t="e">
        <f t="array" ref="J118">INDEX('Raw Data'!$A:A,F118,12)</f>
        <v>#NUM!</v>
      </c>
      <c r="K118" t="e">
        <f>(--INDEX('Raw Data'!$A$4:B$993,F118,4))</f>
        <v>#NUM!</v>
      </c>
      <c r="L118" t="e">
        <f t="array" ref="L118">(--INDEX('Raw Data'!$A$4:B$993,F118,5))</f>
        <v>#NUM!</v>
      </c>
      <c r="M118" t="e">
        <f t="array" ref="M118">(--INDEX('Raw Data'!$A$4:D$993,$F118,6))</f>
        <v>#NUM!</v>
      </c>
      <c r="N118" t="e">
        <f t="array" ref="N118">(--INDEX('Raw Data'!$A$4:D$993,$F118,7))</f>
        <v>#NUM!</v>
      </c>
      <c r="O118" t="e">
        <f t="array" ref="O118">IF(--INDEX('Raw Data'!$A$4:E$993,$F118,8)= 0, 1, 0)</f>
        <v>#NUM!</v>
      </c>
      <c r="P118" t="e">
        <f t="array" ref="P118">IF(--INDEX('Raw Data'!$A$4:F$993,$F118,8)= 1, 1, 0)</f>
        <v>#NUM!</v>
      </c>
      <c r="Q118" t="e">
        <f t="array" ref="Q118">IF(--INDEX('Raw Data'!$A$4:G$993,$F118,13)= 1, 1, 0)</f>
        <v>#NUM!</v>
      </c>
      <c r="R118" t="e">
        <f t="array" ref="R118">IF(--INDEX('Raw Data'!$A$4:H$993,$F118,14)= 1, 1, 0)</f>
        <v>#NUM!</v>
      </c>
      <c r="S118" t="e">
        <f t="array" ref="S118">IF(--INDEX('Raw Data'!$A$4:I$993,$F118,15)= 1, 1, 0)</f>
        <v>#NUM!</v>
      </c>
      <c r="T118" t="e">
        <f t="array" ref="T118">IF(--INDEX('Raw Data'!$A$4:I$993,$F118,15)= 1, 1, 0)</f>
        <v>#NUM!</v>
      </c>
      <c r="U118" t="e">
        <f t="array" ref="U118">IF(--INDEX('Raw Data'!$A$4:J$993,$F118,16)= 1, 1, 0)</f>
        <v>#NUM!</v>
      </c>
      <c r="V118" t="e">
        <f t="array" ref="V118">IF(--INDEX('Raw Data'!$A$4:K$993,$F118,17)= 1, 1, 0)</f>
        <v>#NUM!</v>
      </c>
      <c r="W118" t="e">
        <f t="array" ref="W118">INDEX('Raw Data'!$A:$O,$F118,19)</f>
        <v>#NUM!</v>
      </c>
      <c r="X118" t="e">
        <f t="array" ref="X118">INDEX('Raw Data'!$A:$O,$F118,20)</f>
        <v>#NUM!</v>
      </c>
      <c r="Y118" t="e">
        <f t="array" ref="Y118">INDEX('Raw Data'!$A:$O,F118,21)</f>
        <v>#NUM!</v>
      </c>
      <c r="Z118" t="e">
        <f t="array" ref="Z118">INDEX('Raw Data'!$A:$O,$F118,3)</f>
        <v>#NUM!</v>
      </c>
      <c r="AA118" t="e">
        <f t="array" ref="AA118">INDEX('Raw Data'!$A:$O,$F118,22)</f>
        <v>#NUM!</v>
      </c>
      <c r="AB118" t="e">
        <f t="array" ref="AB118">INDEX('Raw Data'!$A:$O,$F118,23)</f>
        <v>#NUM!</v>
      </c>
    </row>
    <row r="119" spans="1:39" x14ac:dyDescent="0.25">
      <c r="A119" t="s">
        <v>2</v>
      </c>
      <c r="C119" s="3" t="e">
        <f>B118/B117</f>
        <v>#DIV/0!</v>
      </c>
      <c r="F119" t="e">
        <f t="array" ref="F119">SMALL(IF('Raw Data'!A:A=C115,ROW('Raw Data'!A:A)),ROW('Raw Data'!$4:$4))</f>
        <v>#NUM!</v>
      </c>
      <c r="G119" t="e">
        <f t="array" ref="G119">INDEX('Raw Data'!A:A,F119,9)</f>
        <v>#NUM!</v>
      </c>
      <c r="H119" t="e">
        <f t="array" ref="H119">INDEX('Raw Data'!A:A,F119,10)</f>
        <v>#NUM!</v>
      </c>
      <c r="I119" t="e">
        <f t="array" ref="I119">INDEX('Raw Data'!$A:A,$F119,11)</f>
        <v>#NUM!</v>
      </c>
      <c r="J119" t="e">
        <f t="array" ref="J119">INDEX('Raw Data'!$A:A,F119,12)</f>
        <v>#NUM!</v>
      </c>
      <c r="K119" t="e">
        <f>(--INDEX('Raw Data'!$A$4:B$993,F119,4))</f>
        <v>#NUM!</v>
      </c>
      <c r="L119" t="e">
        <f t="array" ref="L119">(--INDEX('Raw Data'!$A$4:B$993,F119,5))</f>
        <v>#NUM!</v>
      </c>
      <c r="M119" t="e">
        <f t="array" ref="M119">(--INDEX('Raw Data'!$A$4:D$993,$F119,6))</f>
        <v>#NUM!</v>
      </c>
      <c r="N119" t="e">
        <f t="array" ref="N119">(--INDEX('Raw Data'!$A$4:D$993,$F119,7))</f>
        <v>#NUM!</v>
      </c>
      <c r="O119" t="e">
        <f t="array" ref="O119">IF(--INDEX('Raw Data'!$A$4:E$993,$F119,8)= 0, 1, 0)</f>
        <v>#NUM!</v>
      </c>
      <c r="P119" t="e">
        <f t="array" ref="P119">IF(--INDEX('Raw Data'!$A$4:F$993,$F119,8)= 1, 1, 0)</f>
        <v>#NUM!</v>
      </c>
      <c r="Q119" t="e">
        <f t="array" ref="Q119">IF(--INDEX('Raw Data'!$A$4:G$993,$F119,13)= 1, 1, 0)</f>
        <v>#NUM!</v>
      </c>
      <c r="R119" t="e">
        <f t="array" ref="R119">IF(--INDEX('Raw Data'!$A$4:H$993,$F119,14)= 1, 1, 0)</f>
        <v>#NUM!</v>
      </c>
      <c r="S119" t="e">
        <f t="array" ref="S119">IF(--INDEX('Raw Data'!$A$4:I$993,$F119,15)= 1, 1, 0)</f>
        <v>#NUM!</v>
      </c>
      <c r="T119" t="e">
        <f t="array" ref="T119">IF(--INDEX('Raw Data'!$A$4:I$993,$F119,15)= 1, 1, 0)</f>
        <v>#NUM!</v>
      </c>
      <c r="U119" t="e">
        <f t="array" ref="U119">IF(--INDEX('Raw Data'!$A$4:J$993,$F119,16)= 1, 1, 0)</f>
        <v>#NUM!</v>
      </c>
      <c r="V119" t="e">
        <f t="array" ref="V119">IF(--INDEX('Raw Data'!$A$4:K$993,$F119,17)= 1, 1, 0)</f>
        <v>#NUM!</v>
      </c>
      <c r="W119" t="e">
        <f t="array" ref="W119">INDEX('Raw Data'!$A:$O,$F119,19)</f>
        <v>#NUM!</v>
      </c>
      <c r="X119" t="e">
        <f t="array" ref="X119">INDEX('Raw Data'!$A:$O,$F119,20)</f>
        <v>#NUM!</v>
      </c>
      <c r="Y119" t="e">
        <f t="array" ref="Y119">INDEX('Raw Data'!$A:$O,F119,21)</f>
        <v>#NUM!</v>
      </c>
      <c r="Z119" t="e">
        <f t="array" ref="Z119">INDEX('Raw Data'!$A:$O,$F119,3)</f>
        <v>#NUM!</v>
      </c>
      <c r="AA119" t="e">
        <f t="array" ref="AA119">INDEX('Raw Data'!$A:$O,$F119,22)</f>
        <v>#NUM!</v>
      </c>
      <c r="AB119" t="e">
        <f t="array" ref="AB119">INDEX('Raw Data'!$A:$O,$F119,23)</f>
        <v>#NUM!</v>
      </c>
    </row>
    <row r="120" spans="1:39" x14ac:dyDescent="0.25">
      <c r="A120" t="s">
        <v>54</v>
      </c>
      <c r="B120">
        <f>I131</f>
        <v>0</v>
      </c>
      <c r="F120" t="e">
        <f t="array" ref="F120">SMALL(IF('Raw Data'!A:A=C115,ROW('Raw Data'!A:A)),ROW('Raw Data'!$5:$5))</f>
        <v>#NUM!</v>
      </c>
      <c r="G120" t="e">
        <f t="array" ref="G120">INDEX('Raw Data'!A:A,F120,9)</f>
        <v>#NUM!</v>
      </c>
      <c r="H120" t="e">
        <f t="array" ref="H120">INDEX('Raw Data'!A:A,F120,10)</f>
        <v>#NUM!</v>
      </c>
      <c r="I120" t="e">
        <f t="array" ref="I120">INDEX('Raw Data'!$A:A,$F120,11)</f>
        <v>#NUM!</v>
      </c>
      <c r="J120" t="e">
        <f t="array" ref="J120">INDEX('Raw Data'!$A:A,F120,12)</f>
        <v>#NUM!</v>
      </c>
      <c r="K120" t="e">
        <f>(--INDEX('Raw Data'!$A$4:B$993,F120,4))</f>
        <v>#NUM!</v>
      </c>
      <c r="L120" t="e">
        <f t="array" ref="L120">(--INDEX('Raw Data'!$A$4:B$993,F120,5))</f>
        <v>#NUM!</v>
      </c>
      <c r="M120" t="e">
        <f t="array" ref="M120">(--INDEX('Raw Data'!$A$4:D$993,$F120,6))</f>
        <v>#NUM!</v>
      </c>
      <c r="N120" t="e">
        <f t="array" ref="N120">(--INDEX('Raw Data'!$A$4:D$993,$F120,7))</f>
        <v>#NUM!</v>
      </c>
      <c r="O120" t="e">
        <f t="array" ref="O120">IF(--INDEX('Raw Data'!$A$4:E$993,$F120,8)= 0, 1, 0)</f>
        <v>#NUM!</v>
      </c>
      <c r="P120" t="e">
        <f t="array" ref="P120">IF(--INDEX('Raw Data'!$A$4:F$993,$F120,8)= 1, 1, 0)</f>
        <v>#NUM!</v>
      </c>
      <c r="Q120" t="e">
        <f t="array" ref="Q120">IF(--INDEX('Raw Data'!$A$4:G$993,$F120,13)= 1, 1, 0)</f>
        <v>#NUM!</v>
      </c>
      <c r="R120" t="e">
        <f t="array" ref="R120">IF(--INDEX('Raw Data'!$A$4:H$993,$F120,14)= 1, 1, 0)</f>
        <v>#NUM!</v>
      </c>
      <c r="S120" t="e">
        <f t="array" ref="S120">IF(--INDEX('Raw Data'!$A$4:I$993,$F120,15)= 1, 1, 0)</f>
        <v>#NUM!</v>
      </c>
      <c r="T120" t="e">
        <f t="array" ref="T120">IF(--INDEX('Raw Data'!$A$4:I$993,$F120,15)= 1, 1, 0)</f>
        <v>#NUM!</v>
      </c>
      <c r="U120" t="e">
        <f t="array" ref="U120">IF(--INDEX('Raw Data'!$A$4:J$993,$F120,16)= 1, 1, 0)</f>
        <v>#NUM!</v>
      </c>
      <c r="V120" t="e">
        <f t="array" ref="V120">IF(--INDEX('Raw Data'!$A$4:K$993,$F120,17)= 1, 1, 0)</f>
        <v>#NUM!</v>
      </c>
      <c r="W120" t="e">
        <f t="array" ref="W120">INDEX('Raw Data'!$A:$O,$F120,19)</f>
        <v>#NUM!</v>
      </c>
      <c r="X120" t="e">
        <f t="array" ref="X120">INDEX('Raw Data'!$A:$O,$F120,20)</f>
        <v>#NUM!</v>
      </c>
      <c r="Y120" t="e">
        <f t="array" ref="Y120">INDEX('Raw Data'!$A:$O,F120,21)</f>
        <v>#NUM!</v>
      </c>
      <c r="Z120" t="e">
        <f t="array" ref="Z120">INDEX('Raw Data'!$A:$O,$F120,3)</f>
        <v>#NUM!</v>
      </c>
      <c r="AA120" t="e">
        <f t="array" ref="AA120">INDEX('Raw Data'!$A:$O,$F120,22)</f>
        <v>#NUM!</v>
      </c>
      <c r="AB120" t="e">
        <f t="array" ref="AB120">INDEX('Raw Data'!$A:$O,$F120,23)</f>
        <v>#NUM!</v>
      </c>
    </row>
    <row r="121" spans="1:39" x14ac:dyDescent="0.25">
      <c r="A121" t="s">
        <v>35</v>
      </c>
      <c r="B121">
        <f>J131</f>
        <v>0</v>
      </c>
      <c r="F121" t="e">
        <f t="array" ref="F121">SMALL(IF('Raw Data'!A:A=C115,ROW('Raw Data'!A:A)),ROW('Raw Data'!$6:$6))</f>
        <v>#NUM!</v>
      </c>
      <c r="G121" t="e">
        <f t="array" ref="G121">INDEX('Raw Data'!A:A,F121,9)</f>
        <v>#NUM!</v>
      </c>
      <c r="H121" t="e">
        <f t="array" ref="H121">INDEX('Raw Data'!A:A,F121,10)</f>
        <v>#NUM!</v>
      </c>
      <c r="I121" t="e">
        <f t="array" ref="I121">INDEX('Raw Data'!$A:A,$F121,11)</f>
        <v>#NUM!</v>
      </c>
      <c r="J121" t="e">
        <f t="array" ref="J121">INDEX('Raw Data'!$A:A,F121,12)</f>
        <v>#NUM!</v>
      </c>
      <c r="K121" t="e">
        <f>(--INDEX('Raw Data'!$A$4:B$993,F121,4))</f>
        <v>#NUM!</v>
      </c>
      <c r="L121" t="e">
        <f t="array" ref="L121">(--INDEX('Raw Data'!$A$4:B$998,F121,5))</f>
        <v>#NUM!</v>
      </c>
      <c r="M121" t="e">
        <f t="array" ref="M121">(--INDEX('Raw Data'!$A$4:D$998,$F121,6))</f>
        <v>#NUM!</v>
      </c>
      <c r="N121" t="e">
        <f t="array" ref="N121">(--INDEX('Raw Data'!$A$4:D$993,$F121,7))</f>
        <v>#NUM!</v>
      </c>
      <c r="O121" t="e">
        <f t="array" ref="O121">IF(--INDEX('Raw Data'!$A$4:E$993,$F121,8)= 0, 1, 0)</f>
        <v>#NUM!</v>
      </c>
      <c r="P121" t="e">
        <f t="array" ref="P121">IF(--INDEX('Raw Data'!$A$4:F$998,$F121,8)= 1, 1, 0)</f>
        <v>#NUM!</v>
      </c>
      <c r="Q121" t="e">
        <f t="array" ref="Q121">IF(--INDEX('Raw Data'!$A$4:G$998,$F121,13)= 1, 1, 0)</f>
        <v>#NUM!</v>
      </c>
      <c r="R121" t="e">
        <f t="array" ref="R121">IF(--INDEX('Raw Data'!$A$4:H$998,$F121,14)= 1, 1, 0)</f>
        <v>#NUM!</v>
      </c>
      <c r="S121" t="e">
        <f t="array" ref="S121">IF(--INDEX('Raw Data'!$A$4:I$993,$F121,15)= 1, 1, 0)</f>
        <v>#NUM!</v>
      </c>
      <c r="T121" t="e">
        <f t="array" ref="T121">IF(--INDEX('Raw Data'!$A$4:I$998,$F121,15)= 1, 1, 0)</f>
        <v>#NUM!</v>
      </c>
      <c r="U121" t="e">
        <f t="array" ref="U121">IF(--INDEX('Raw Data'!$A$4:J$998,$F121,16)= 1, 1, 0)</f>
        <v>#NUM!</v>
      </c>
      <c r="V121" t="e">
        <f t="array" ref="V121">IF(--INDEX('Raw Data'!$A$4:K$993,$F121,17)= 1, 1, 0)</f>
        <v>#NUM!</v>
      </c>
      <c r="W121" t="e">
        <f t="array" ref="W121">INDEX('Raw Data'!$A:$O,$F121,19)</f>
        <v>#NUM!</v>
      </c>
      <c r="X121" t="e">
        <f t="array" ref="X121">INDEX('Raw Data'!$A:$O,$F121,20)</f>
        <v>#NUM!</v>
      </c>
      <c r="Y121" t="e">
        <f t="array" ref="Y121">INDEX('Raw Data'!$A:$O,F121,21)</f>
        <v>#NUM!</v>
      </c>
      <c r="Z121" t="e">
        <f t="array" ref="Z121">INDEX('Raw Data'!$A:$O,$F121,3)</f>
        <v>#NUM!</v>
      </c>
      <c r="AA121" t="e">
        <f t="array" ref="AA121">INDEX('Raw Data'!$A:$O,$F121,22)</f>
        <v>#NUM!</v>
      </c>
      <c r="AB121" t="e">
        <f t="array" ref="AB121">INDEX('Raw Data'!$A:$O,$F121,23)</f>
        <v>#NUM!</v>
      </c>
    </row>
    <row r="122" spans="1:39" ht="28.5" x14ac:dyDescent="0.45">
      <c r="F122" t="e">
        <f t="array" ref="F122">SMALL(IF('Raw Data'!A:A=C115,ROW('Raw Data'!A:A)),ROW('Raw Data'!$7:$7))</f>
        <v>#NUM!</v>
      </c>
      <c r="G122" t="e">
        <f t="array" ref="G122">INDEX('Raw Data'!A:A,F122,9)</f>
        <v>#NUM!</v>
      </c>
      <c r="H122" t="e">
        <f t="array" ref="H122">INDEX('Raw Data'!A:A,F122,10)</f>
        <v>#NUM!</v>
      </c>
      <c r="I122" t="e">
        <f t="array" ref="I122">INDEX('Raw Data'!$A:A,$F122,11)</f>
        <v>#NUM!</v>
      </c>
      <c r="J122" t="e">
        <f t="array" ref="J122">INDEX('Raw Data'!$A:A,F122,12)</f>
        <v>#NUM!</v>
      </c>
      <c r="K122" t="e">
        <f t="array" ref="K122">(--INDEX('Raw Data'!$A$4:B$998,F122,4))</f>
        <v>#NUM!</v>
      </c>
      <c r="L122" t="e">
        <f t="array" ref="L122">(--INDEX('Raw Data'!$A$4:B$998,F122,5))</f>
        <v>#NUM!</v>
      </c>
      <c r="M122" t="e">
        <f t="array" ref="M122">(--INDEX('Raw Data'!$A$4:D$998,$F122,6))</f>
        <v>#NUM!</v>
      </c>
      <c r="N122" t="e">
        <f t="array" ref="N122">(--INDEX('Raw Data'!$A$4:D$998,$F122,7))</f>
        <v>#NUM!</v>
      </c>
      <c r="O122" t="e">
        <f t="array" ref="O122">IF(--INDEX('Raw Data'!$A$4:E$998,$F122,8)= 0, 1, 0)</f>
        <v>#NUM!</v>
      </c>
      <c r="P122" t="e">
        <f t="array" ref="P122">IF(--INDEX('Raw Data'!$A$4:F$998,$F122,8)= 1, 1, 0)</f>
        <v>#NUM!</v>
      </c>
      <c r="Q122" t="e">
        <f t="array" ref="Q122">IF(--INDEX('Raw Data'!$A$4:G$998,$F122,13)= 1, 1, 0)</f>
        <v>#NUM!</v>
      </c>
      <c r="R122" t="e">
        <f t="array" ref="R122">IF(--INDEX('Raw Data'!$A$4:H$998,$F122,14)= 1, 1, 0)</f>
        <v>#NUM!</v>
      </c>
      <c r="S122" t="e">
        <f t="array" ref="S122">IF(--INDEX('Raw Data'!$A$4:I$998,$F122,15)= 1, 1, 0)</f>
        <v>#NUM!</v>
      </c>
      <c r="T122" t="e">
        <f t="array" ref="T122">IF(--INDEX('Raw Data'!$A$4:I$998,$F122,15)= 1, 1, 0)</f>
        <v>#NUM!</v>
      </c>
      <c r="U122" t="e">
        <f t="array" ref="U122">IF(--INDEX('Raw Data'!$A$4:J$998,$F122,16)= 1, 1, 0)</f>
        <v>#NUM!</v>
      </c>
      <c r="V122" t="e">
        <f t="array" ref="V122">IF(--INDEX('Raw Data'!$A$4:K$998,$F122,17)= 1, 1, 0)</f>
        <v>#NUM!</v>
      </c>
      <c r="W122" t="e">
        <f t="array" ref="W122">INDEX('Raw Data'!$A:$O,$F122,19)</f>
        <v>#NUM!</v>
      </c>
      <c r="X122" t="e">
        <f t="array" ref="X122">INDEX('Raw Data'!$A:$O,$F122,20)</f>
        <v>#NUM!</v>
      </c>
      <c r="Y122" t="e">
        <f t="array" ref="Y122">INDEX('Raw Data'!$A:$O,F122,21)</f>
        <v>#NUM!</v>
      </c>
      <c r="Z122" t="e">
        <f t="array" ref="Z122">INDEX('Raw Data'!$A:$O,$F122,3)</f>
        <v>#NUM!</v>
      </c>
      <c r="AA122" t="e">
        <f t="array" ref="AA122">INDEX('Raw Data'!$A:$O,$F122,22)</f>
        <v>#NUM!</v>
      </c>
      <c r="AB122" t="e">
        <f t="array" ref="AB122">INDEX('Raw Data'!$A:$O,$F122,23)</f>
        <v>#NUM!</v>
      </c>
      <c r="AM122" s="21"/>
    </row>
    <row r="123" spans="1:39" x14ac:dyDescent="0.25">
      <c r="F123" t="e">
        <f t="array" ref="F123">SMALL(IF('Raw Data'!A:A=C115,ROW('Raw Data'!A:A)),ROW('Raw Data'!$8:$8))</f>
        <v>#NUM!</v>
      </c>
      <c r="G123" t="e">
        <f t="array" ref="G123">INDEX('Raw Data'!A:A,F123,9)</f>
        <v>#NUM!</v>
      </c>
      <c r="H123" t="e">
        <f t="array" ref="H123">INDEX('Raw Data'!A:A,F123,10)</f>
        <v>#NUM!</v>
      </c>
      <c r="I123" t="e">
        <f t="array" ref="I123">INDEX('Raw Data'!$A:A,$F123,11)</f>
        <v>#NUM!</v>
      </c>
      <c r="J123" t="e">
        <f t="array" ref="J123">INDEX('Raw Data'!$A:A,F123,12)</f>
        <v>#NUM!</v>
      </c>
      <c r="K123" t="e">
        <f t="array" ref="K123">(--INDEX('Raw Data'!$A$4:B$998,F123,4))</f>
        <v>#NUM!</v>
      </c>
      <c r="L123" t="e">
        <f t="array" ref="L123">(--INDEX('Raw Data'!$A$4:B$998,F123,5))</f>
        <v>#NUM!</v>
      </c>
      <c r="M123" t="e">
        <f t="array" ref="M123">(--INDEX('Raw Data'!$A$4:D$998,$F123,6))</f>
        <v>#NUM!</v>
      </c>
      <c r="N123" t="e">
        <f t="array" ref="N123">(--INDEX('Raw Data'!$A$4:D$998,$F123,7))</f>
        <v>#NUM!</v>
      </c>
      <c r="O123" t="e">
        <f t="array" ref="O123">IF(--INDEX('Raw Data'!$A$4:E$998,$F123,8)= 0, 1, 0)</f>
        <v>#NUM!</v>
      </c>
      <c r="P123" t="e">
        <f t="array" ref="P123">IF(--INDEX('Raw Data'!$A$4:F$998,$F123,8)= 1, 1, 0)</f>
        <v>#NUM!</v>
      </c>
      <c r="Q123" t="e">
        <f t="array" ref="Q123">IF(--INDEX('Raw Data'!$A$4:G$998,$F123,13)= 1, 1, 0)</f>
        <v>#NUM!</v>
      </c>
      <c r="R123" t="e">
        <f t="array" ref="R123">IF(--INDEX('Raw Data'!$A$4:H$998,$F123,14)= 1, 1, 0)</f>
        <v>#NUM!</v>
      </c>
      <c r="S123" t="e">
        <f t="array" ref="S123">IF(--INDEX('Raw Data'!$A$4:I$998,$F123,15)= 1, 1, 0)</f>
        <v>#NUM!</v>
      </c>
      <c r="T123" t="e">
        <f t="array" ref="T123">IF(--INDEX('Raw Data'!$A$4:I$998,$F123,15)= 1, 1, 0)</f>
        <v>#NUM!</v>
      </c>
      <c r="U123" t="e">
        <f t="array" ref="U123">IF(--INDEX('Raw Data'!$A$4:J$998,$F123,16)= 1, 1, 0)</f>
        <v>#NUM!</v>
      </c>
      <c r="V123" t="e">
        <f t="array" ref="V123">IF(--INDEX('Raw Data'!$A$4:K$998,$F123,17)= 1, 1, 0)</f>
        <v>#NUM!</v>
      </c>
      <c r="W123" t="e">
        <f t="array" ref="W123">INDEX('Raw Data'!$A:$O,$F123,19)</f>
        <v>#NUM!</v>
      </c>
      <c r="X123" t="e">
        <f t="array" ref="X123">INDEX('Raw Data'!$A:$O,$F123,20)</f>
        <v>#NUM!</v>
      </c>
      <c r="Y123" t="e">
        <f t="array" ref="Y123">INDEX('Raw Data'!$A:$O,F123,21)</f>
        <v>#NUM!</v>
      </c>
      <c r="Z123" t="e">
        <f t="array" ref="Z123">INDEX('Raw Data'!$A:$O,$F123,3)</f>
        <v>#NUM!</v>
      </c>
      <c r="AA123" t="e">
        <f t="array" ref="AA123">INDEX('Raw Data'!$A:$O,$F123,22)</f>
        <v>#NUM!</v>
      </c>
      <c r="AB123" t="e">
        <f t="array" ref="AB123">INDEX('Raw Data'!$A:$O,$F123,23)</f>
        <v>#NUM!</v>
      </c>
    </row>
    <row r="124" spans="1:39" x14ac:dyDescent="0.25">
      <c r="F124" t="e">
        <f t="array" ref="F124">SMALL(IF('Raw Data'!A:A=C115,ROW('Raw Data'!A:A)),ROW('Raw Data'!$9:$9))</f>
        <v>#NUM!</v>
      </c>
      <c r="G124" t="e">
        <f t="array" ref="G124">INDEX('Raw Data'!A:A,F124,9)</f>
        <v>#NUM!</v>
      </c>
      <c r="H124" t="e">
        <f t="array" ref="H124">INDEX('Raw Data'!A:A,F124,10)</f>
        <v>#NUM!</v>
      </c>
      <c r="I124" t="e">
        <f t="array" ref="I124">INDEX('Raw Data'!$A:A,$F124,11)</f>
        <v>#NUM!</v>
      </c>
      <c r="J124" t="e">
        <f t="array" ref="J124">INDEX('Raw Data'!$A:A,F124,12)</f>
        <v>#NUM!</v>
      </c>
      <c r="K124" t="e">
        <f t="array" ref="K124">(--INDEX('Raw Data'!$A$4:B$998,F124,4))</f>
        <v>#NUM!</v>
      </c>
      <c r="L124" t="e">
        <f t="array" ref="L124">(--INDEX('Raw Data'!$A$4:B$998,F124,5))</f>
        <v>#NUM!</v>
      </c>
      <c r="M124" t="e">
        <f t="array" ref="M124">(--INDEX('Raw Data'!$A$4:D$998,$F124,6))</f>
        <v>#NUM!</v>
      </c>
      <c r="N124" t="e">
        <f t="array" ref="N124">(--INDEX('Raw Data'!$A$4:D$998,$F124,7))</f>
        <v>#NUM!</v>
      </c>
      <c r="O124" t="e">
        <f t="array" ref="O124">IF(--INDEX('Raw Data'!$A$4:E$998,$F124,8)= 0, 1, 0)</f>
        <v>#NUM!</v>
      </c>
      <c r="P124" t="e">
        <f t="array" ref="P124">IF(--INDEX('Raw Data'!$A$4:F$998,$F124,8)= 1, 1, 0)</f>
        <v>#NUM!</v>
      </c>
      <c r="Q124" t="e">
        <f t="array" ref="Q124">IF(--INDEX('Raw Data'!$A$4:G$998,$F124,13)= 1, 1, 0)</f>
        <v>#NUM!</v>
      </c>
      <c r="R124" t="e">
        <f t="array" ref="R124">IF(--INDEX('Raw Data'!$A$4:H$998,$F124,14)= 1, 1, 0)</f>
        <v>#NUM!</v>
      </c>
      <c r="S124" t="e">
        <f t="array" ref="S124">IF(--INDEX('Raw Data'!$A$4:I$998,$F124,15)= 1, 1, 0)</f>
        <v>#NUM!</v>
      </c>
      <c r="T124" t="e">
        <f t="array" ref="T124">IF(--INDEX('Raw Data'!$A$4:I$998,$F124,15)= 1, 1, 0)</f>
        <v>#NUM!</v>
      </c>
      <c r="U124" t="e">
        <f t="array" ref="U124">IF(--INDEX('Raw Data'!$A$4:J$998,$F124,16)= 1, 1, 0)</f>
        <v>#NUM!</v>
      </c>
      <c r="V124" t="e">
        <f t="array" ref="V124">IF(--INDEX('Raw Data'!$A$4:K$998,$F124,17)= 1, 1, 0)</f>
        <v>#NUM!</v>
      </c>
      <c r="W124" t="e">
        <f t="array" ref="W124">INDEX('Raw Data'!$A:$O,$F124,19)</f>
        <v>#NUM!</v>
      </c>
      <c r="X124" t="e">
        <f t="array" ref="X124">INDEX('Raw Data'!$A:$O,$F124,20)</f>
        <v>#NUM!</v>
      </c>
      <c r="Y124" t="e">
        <f t="array" ref="Y124">INDEX('Raw Data'!$A:$O,F124,21)</f>
        <v>#NUM!</v>
      </c>
      <c r="Z124" t="e">
        <f t="array" ref="Z124">INDEX('Raw Data'!$A:$O,$F124,3)</f>
        <v>#NUM!</v>
      </c>
      <c r="AA124" t="e">
        <f t="array" ref="AA124">INDEX('Raw Data'!$A:$O,$F124,22)</f>
        <v>#NUM!</v>
      </c>
      <c r="AB124" t="e">
        <f t="array" ref="AB124">INDEX('Raw Data'!$A:$O,$F124,23)</f>
        <v>#NUM!</v>
      </c>
    </row>
    <row r="125" spans="1:39" x14ac:dyDescent="0.25">
      <c r="F125" t="e">
        <f t="array" ref="F125">SMALL(IF('Raw Data'!A:A=C115,ROW('Raw Data'!A:A)),ROW('Raw Data'!$10:$10))</f>
        <v>#NUM!</v>
      </c>
      <c r="G125" t="e">
        <f t="array" ref="G125">INDEX('Raw Data'!A:A,F125,9)</f>
        <v>#NUM!</v>
      </c>
      <c r="H125" t="e">
        <f t="array" ref="H125">INDEX('Raw Data'!A:A,F125,10)</f>
        <v>#NUM!</v>
      </c>
      <c r="I125" t="e">
        <f t="array" ref="I125">INDEX('Raw Data'!$A:A,$F125,11)</f>
        <v>#NUM!</v>
      </c>
      <c r="J125" t="e">
        <f t="array" ref="J125">INDEX('Raw Data'!$A:A,F125,12)</f>
        <v>#NUM!</v>
      </c>
      <c r="K125" t="e">
        <f t="array" ref="K125">(--INDEX('Raw Data'!$A$4:B$998,F125,4))</f>
        <v>#NUM!</v>
      </c>
      <c r="L125" t="e">
        <f t="array" ref="L125">(--INDEX('Raw Data'!$A$4:B$998,F125,5))</f>
        <v>#NUM!</v>
      </c>
      <c r="M125" t="e">
        <f t="array" ref="M125">(--INDEX('Raw Data'!$A$4:D$998,$F125,6))</f>
        <v>#NUM!</v>
      </c>
      <c r="N125" t="e">
        <f t="array" ref="N125">(--INDEX('Raw Data'!$A$4:D$998,$F125,7))</f>
        <v>#NUM!</v>
      </c>
      <c r="O125" t="e">
        <f t="array" ref="O125">IF(--INDEX('Raw Data'!$A$4:E$998,$F125,8)= 0, 1, 0)</f>
        <v>#NUM!</v>
      </c>
      <c r="P125" t="e">
        <f t="array" ref="P125">IF(--INDEX('Raw Data'!$A$4:F$998,$F125,8)= 1, 1, 0)</f>
        <v>#NUM!</v>
      </c>
      <c r="Q125" t="e">
        <f t="array" ref="Q125">IF(--INDEX('Raw Data'!$A$4:G$998,$F125,13)= 1, 1, 0)</f>
        <v>#NUM!</v>
      </c>
      <c r="R125" t="e">
        <f t="array" ref="R125">IF(--INDEX('Raw Data'!$A$4:H$998,$F125,14)= 1, 1, 0)</f>
        <v>#NUM!</v>
      </c>
      <c r="S125" t="e">
        <f t="array" ref="S125">IF(--INDEX('Raw Data'!$A$4:I$998,$F125,15)= 1, 1, 0)</f>
        <v>#NUM!</v>
      </c>
      <c r="T125" t="e">
        <f t="array" ref="T125">IF(--INDEX('Raw Data'!$A$4:I$998,$F125,15)= 1, 1, 0)</f>
        <v>#NUM!</v>
      </c>
      <c r="U125" t="e">
        <f t="array" ref="U125">IF(--INDEX('Raw Data'!$A$4:J$998,$F125,16)= 1, 1, 0)</f>
        <v>#NUM!</v>
      </c>
      <c r="V125" t="e">
        <f t="array" ref="V125">IF(--INDEX('Raw Data'!$A$4:K$998,$F125,17)= 1, 1, 0)</f>
        <v>#NUM!</v>
      </c>
      <c r="W125" t="e">
        <f t="array" ref="W125">INDEX('Raw Data'!$A:$O,$F125,19)</f>
        <v>#NUM!</v>
      </c>
      <c r="X125" t="e">
        <f t="array" ref="X125">INDEX('Raw Data'!$A:$O,$F125,20)</f>
        <v>#NUM!</v>
      </c>
      <c r="Y125" t="e">
        <f t="array" ref="Y125">INDEX('Raw Data'!$A:$O,F125,21)</f>
        <v>#NUM!</v>
      </c>
      <c r="Z125" t="e">
        <f t="array" ref="Z125">INDEX('Raw Data'!$A:$O,$F125,3)</f>
        <v>#NUM!</v>
      </c>
      <c r="AA125" t="e">
        <f t="array" ref="AA125">INDEX('Raw Data'!$A:$O,$F125,22)</f>
        <v>#NUM!</v>
      </c>
      <c r="AB125" t="e">
        <f t="array" ref="AB125">INDEX('Raw Data'!$A:$O,$F125,23)</f>
        <v>#NUM!</v>
      </c>
    </row>
    <row r="126" spans="1:39" x14ac:dyDescent="0.25">
      <c r="F126" t="e">
        <f t="array" ref="F126">SMALL(IF('Raw Data'!A:A=C115,ROW('Raw Data'!A:A)),ROW('Raw Data'!$11:$11))</f>
        <v>#NUM!</v>
      </c>
      <c r="G126" t="e">
        <f t="array" ref="G126">INDEX('Raw Data'!A:A,F126,9)</f>
        <v>#NUM!</v>
      </c>
      <c r="H126" t="e">
        <f t="array" ref="H126">INDEX('Raw Data'!A:A,F126,10)</f>
        <v>#NUM!</v>
      </c>
      <c r="I126" t="e">
        <f t="array" ref="I126">INDEX('Raw Data'!$A:A,$F126,11)</f>
        <v>#NUM!</v>
      </c>
      <c r="J126" t="e">
        <f t="array" ref="J126">INDEX('Raw Data'!$A:A,F126,12)</f>
        <v>#NUM!</v>
      </c>
      <c r="K126" t="e">
        <f t="array" ref="K126">(--INDEX('Raw Data'!$A$4:B$998,F126,4))</f>
        <v>#NUM!</v>
      </c>
      <c r="L126" t="e">
        <f t="array" ref="L126">(--INDEX('Raw Data'!$A$4:B$998,F126,5))</f>
        <v>#NUM!</v>
      </c>
      <c r="M126" t="e">
        <f t="array" ref="M126">(--INDEX('Raw Data'!$A$4:D$998,$F126,6))</f>
        <v>#NUM!</v>
      </c>
      <c r="N126" t="e">
        <f t="array" ref="N126">(--INDEX('Raw Data'!$A$4:D$998,$F126,7))</f>
        <v>#NUM!</v>
      </c>
      <c r="O126" t="e">
        <f t="array" ref="O126">IF(--INDEX('Raw Data'!$A$4:E$998,$F126,8)= 0, 1, 0)</f>
        <v>#NUM!</v>
      </c>
      <c r="P126" t="e">
        <f t="array" ref="P126">IF(--INDEX('Raw Data'!$A$4:F$998,$F126,8)= 1, 1, 0)</f>
        <v>#NUM!</v>
      </c>
      <c r="Q126" t="e">
        <f t="array" ref="Q126">IF(--INDEX('Raw Data'!$A$4:G$998,$F126,13)= 1, 1, 0)</f>
        <v>#NUM!</v>
      </c>
      <c r="R126" t="e">
        <f t="array" ref="R126">IF(--INDEX('Raw Data'!$A$4:H$998,$F126,14)= 1, 1, 0)</f>
        <v>#NUM!</v>
      </c>
      <c r="S126" t="e">
        <f t="array" ref="S126">IF(--INDEX('Raw Data'!$A$4:I$998,$F126,15)= 1, 1, 0)</f>
        <v>#NUM!</v>
      </c>
      <c r="T126" t="e">
        <f t="array" ref="T126">IF(--INDEX('Raw Data'!$A$4:I$998,$F126,15)= 1, 1, 0)</f>
        <v>#NUM!</v>
      </c>
      <c r="U126" t="e">
        <f t="array" ref="U126">IF(--INDEX('Raw Data'!$A$4:J$998,$F126,16)= 1, 1, 0)</f>
        <v>#NUM!</v>
      </c>
      <c r="V126" t="e">
        <f t="array" ref="V126">IF(--INDEX('Raw Data'!$A$4:K$998,$F126,17)= 1, 1, 0)</f>
        <v>#NUM!</v>
      </c>
      <c r="W126" t="e">
        <f t="array" ref="W126">INDEX('Raw Data'!$A:$O,$F126,19)</f>
        <v>#NUM!</v>
      </c>
      <c r="X126" t="e">
        <f t="array" ref="X126">INDEX('Raw Data'!$A:$O,$F126,20)</f>
        <v>#NUM!</v>
      </c>
      <c r="Y126" t="e">
        <f t="array" ref="Y126">INDEX('Raw Data'!$A:$O,F126,21)</f>
        <v>#NUM!</v>
      </c>
      <c r="Z126" t="e">
        <f t="array" ref="Z126">INDEX('Raw Data'!$A:$O,$F126,3)</f>
        <v>#NUM!</v>
      </c>
      <c r="AA126" t="e">
        <f t="array" ref="AA126">INDEX('Raw Data'!$A:$O,$F126,22)</f>
        <v>#NUM!</v>
      </c>
      <c r="AB126" t="e">
        <f t="array" ref="AB126">INDEX('Raw Data'!$A:$O,$F126,23)</f>
        <v>#NUM!</v>
      </c>
    </row>
    <row r="127" spans="1:39" x14ac:dyDescent="0.25">
      <c r="F127" t="e">
        <f t="array" ref="F127">SMALL(IF('Raw Data'!A:A=C115,ROW('Raw Data'!A:A)),ROW('Raw Data'!$12:$12))</f>
        <v>#NUM!</v>
      </c>
      <c r="G127" t="e">
        <f t="array" ref="G127">INDEX('Raw Data'!A:A,F127,9)</f>
        <v>#NUM!</v>
      </c>
      <c r="H127" t="e">
        <f t="array" ref="H127">INDEX('Raw Data'!A:A,F127,10)</f>
        <v>#NUM!</v>
      </c>
      <c r="I127" t="e">
        <f t="array" ref="I127">INDEX('Raw Data'!$A:A,$F127,11)</f>
        <v>#NUM!</v>
      </c>
      <c r="J127" t="e">
        <f t="array" ref="J127">INDEX('Raw Data'!$A:A,F127,12)</f>
        <v>#NUM!</v>
      </c>
      <c r="K127" t="e">
        <f t="array" ref="K127">(--INDEX('Raw Data'!$A$4:B$998,F127,4))</f>
        <v>#NUM!</v>
      </c>
      <c r="L127" t="e">
        <f t="array" ref="L127">(--INDEX('Raw Data'!$A$4:B$998,F127,5))</f>
        <v>#NUM!</v>
      </c>
      <c r="M127" t="e">
        <f t="array" ref="M127">(--INDEX('Raw Data'!$A$4:D$998,$F127,6))</f>
        <v>#NUM!</v>
      </c>
      <c r="N127" t="e">
        <f t="array" ref="N127">(--INDEX('Raw Data'!$A$4:D$998,$F127,7))</f>
        <v>#NUM!</v>
      </c>
      <c r="O127" t="e">
        <f t="array" ref="O127">IF(--INDEX('Raw Data'!$A$4:E$998,$F127,8)= 0, 1, 0)</f>
        <v>#NUM!</v>
      </c>
      <c r="P127" t="e">
        <f t="array" ref="P127">IF(--INDEX('Raw Data'!$A$4:F$998,$F127,8)= 1, 1, 0)</f>
        <v>#NUM!</v>
      </c>
      <c r="Q127" t="e">
        <f t="array" ref="Q127">IF(--INDEX('Raw Data'!$A$4:G$998,$F127,13)= 1, 1, 0)</f>
        <v>#NUM!</v>
      </c>
      <c r="R127" t="e">
        <f t="array" ref="R127">IF(--INDEX('Raw Data'!$A$4:H$998,$F127,14)= 1, 1, 0)</f>
        <v>#NUM!</v>
      </c>
      <c r="S127" t="e">
        <f t="array" ref="S127">IF(--INDEX('Raw Data'!$A$4:I$998,$F127,15)= 1, 1, 0)</f>
        <v>#NUM!</v>
      </c>
      <c r="T127" t="e">
        <f t="array" ref="T127">IF(--INDEX('Raw Data'!$A$4:I$998,$F127,15)= 1, 1, 0)</f>
        <v>#NUM!</v>
      </c>
      <c r="U127" t="e">
        <f t="array" ref="U127">IF(--INDEX('Raw Data'!$A$4:J$998,$F127,16)= 1, 1, 0)</f>
        <v>#NUM!</v>
      </c>
      <c r="V127" t="e">
        <f t="array" ref="V127">IF(--INDEX('Raw Data'!$A$4:K$998,$F127,17)= 1, 1, 0)</f>
        <v>#NUM!</v>
      </c>
      <c r="W127" t="e">
        <f t="array" ref="W127">INDEX('Raw Data'!$A:$O,$F127,19)</f>
        <v>#NUM!</v>
      </c>
      <c r="X127" t="e">
        <f t="array" ref="X127">INDEX('Raw Data'!$A:$O,$F127,20)</f>
        <v>#NUM!</v>
      </c>
      <c r="Y127" t="e">
        <f t="array" ref="Y127">INDEX('Raw Data'!$A:$O,F127,21)</f>
        <v>#NUM!</v>
      </c>
      <c r="Z127" t="e">
        <f t="array" ref="Z127">INDEX('Raw Data'!$A:$O,$F127,3)</f>
        <v>#NUM!</v>
      </c>
      <c r="AA127" t="e">
        <f t="array" ref="AA127">INDEX('Raw Data'!$A:$O,$F127,22)</f>
        <v>#NUM!</v>
      </c>
      <c r="AB127" t="e">
        <f t="array" ref="AB127">INDEX('Raw Data'!$A:$O,$F127,23)</f>
        <v>#NUM!</v>
      </c>
    </row>
    <row r="128" spans="1:39" x14ac:dyDescent="0.25">
      <c r="F128" t="e">
        <f t="array" ref="F128">SMALL(IF('Raw Data'!A:A=C115,ROW('Raw Data'!A:A)),ROW('Raw Data'!$13:$13))</f>
        <v>#NUM!</v>
      </c>
      <c r="G128" t="e">
        <f t="array" ref="G128">INDEX('Raw Data'!A:A,F128,9)</f>
        <v>#NUM!</v>
      </c>
      <c r="H128" t="e">
        <f t="array" ref="H128">INDEX('Raw Data'!A:A,F128,10)</f>
        <v>#NUM!</v>
      </c>
      <c r="I128" t="e">
        <f t="array" ref="I128">INDEX('Raw Data'!$A:A,$F128,11)</f>
        <v>#NUM!</v>
      </c>
      <c r="J128" t="e">
        <f t="array" ref="J128">INDEX('Raw Data'!$A:A,F128,12)</f>
        <v>#NUM!</v>
      </c>
      <c r="K128" t="e">
        <f t="array" ref="K128">(--INDEX('Raw Data'!$A$4:B$998,F128,4))</f>
        <v>#NUM!</v>
      </c>
      <c r="L128" t="e">
        <f t="array" ref="L128">(--INDEX('Raw Data'!$A$4:B$998,F128,5))</f>
        <v>#NUM!</v>
      </c>
      <c r="M128" t="e">
        <f t="array" ref="M128">(--INDEX('Raw Data'!$A$4:D$998,$F128,6))</f>
        <v>#NUM!</v>
      </c>
      <c r="N128" t="e">
        <f t="array" ref="N128">(--INDEX('Raw Data'!$A$4:D$998,$F128,7))</f>
        <v>#NUM!</v>
      </c>
      <c r="O128" t="e">
        <f t="array" ref="O128">IF(--INDEX('Raw Data'!$A$4:E$998,$F128,8)= 0, 1, 0)</f>
        <v>#NUM!</v>
      </c>
      <c r="P128" t="e">
        <f t="array" ref="P128">IF(--INDEX('Raw Data'!$A$4:F$998,$F128,8)= 1, 1, 0)</f>
        <v>#NUM!</v>
      </c>
      <c r="Q128" t="e">
        <f t="array" ref="Q128">IF(--INDEX('Raw Data'!$A$4:G$998,$F128,13)= 1, 1, 0)</f>
        <v>#NUM!</v>
      </c>
      <c r="R128" t="e">
        <f t="array" ref="R128">IF(--INDEX('Raw Data'!$A$4:H$998,$F128,14)= 1, 1, 0)</f>
        <v>#NUM!</v>
      </c>
      <c r="S128" t="e">
        <f t="array" ref="S128">IF(--INDEX('Raw Data'!$A$4:I$998,$F128,15)= 1, 1, 0)</f>
        <v>#NUM!</v>
      </c>
      <c r="T128" t="e">
        <f t="array" ref="T128">IF(--INDEX('Raw Data'!$A$4:I$998,$F128,15)= 1, 1, 0)</f>
        <v>#NUM!</v>
      </c>
      <c r="U128" t="e">
        <f t="array" ref="U128">IF(--INDEX('Raw Data'!$A$4:J$998,$F128,16)= 1, 1, 0)</f>
        <v>#NUM!</v>
      </c>
      <c r="V128" t="e">
        <f t="array" ref="V128">IF(--INDEX('Raw Data'!$A$4:K$998,$F128,17)= 1, 1, 0)</f>
        <v>#NUM!</v>
      </c>
      <c r="W128" t="e">
        <f t="array" ref="W128">INDEX('Raw Data'!$A:$O,$F128,19)</f>
        <v>#NUM!</v>
      </c>
      <c r="X128" t="e">
        <f t="array" ref="X128">INDEX('Raw Data'!$A:$O,$F128,20)</f>
        <v>#NUM!</v>
      </c>
      <c r="Y128" t="e">
        <f t="array" ref="Y128">INDEX('Raw Data'!$A:$O,F128,21)</f>
        <v>#NUM!</v>
      </c>
      <c r="Z128" t="e">
        <f t="array" ref="Z128">INDEX('Raw Data'!$A:$O,$F128,3)</f>
        <v>#NUM!</v>
      </c>
      <c r="AA128" t="e">
        <f t="array" ref="AA128">INDEX('Raw Data'!$A:$O,$F128,22)</f>
        <v>#NUM!</v>
      </c>
      <c r="AB128" t="e">
        <f t="array" ref="AB128">INDEX('Raw Data'!$A:$O,$F128,23)</f>
        <v>#NUM!</v>
      </c>
    </row>
    <row r="129" spans="1:44" x14ac:dyDescent="0.25">
      <c r="F129" t="e">
        <f t="array" ref="F129">SMALL(IF('Raw Data'!A:A=C115,ROW('Raw Data'!A:A)),ROW('Raw Data'!$14:$14))</f>
        <v>#NUM!</v>
      </c>
      <c r="G129" t="e">
        <f t="array" ref="G129">INDEX('Raw Data'!A:A,F129,9)</f>
        <v>#NUM!</v>
      </c>
      <c r="H129" t="e">
        <f t="array" ref="H129">INDEX('Raw Data'!A:A,F129,10)</f>
        <v>#NUM!</v>
      </c>
      <c r="I129" t="e">
        <f t="array" ref="I129">INDEX('Raw Data'!$A:A,$F129,11)</f>
        <v>#NUM!</v>
      </c>
      <c r="J129" t="e">
        <f t="array" ref="J129">INDEX('Raw Data'!$A:A,F129,12)</f>
        <v>#NUM!</v>
      </c>
      <c r="K129" t="e">
        <f t="array" ref="K129">(--INDEX('Raw Data'!$A$4:B$998,F129,4))</f>
        <v>#NUM!</v>
      </c>
      <c r="L129" t="e">
        <f t="array" ref="L129">(--INDEX('Raw Data'!$A$4:B$998,F129,5))</f>
        <v>#NUM!</v>
      </c>
      <c r="M129" t="e">
        <f t="array" ref="M129">(--INDEX('Raw Data'!$A$4:D$998,$F129,6))</f>
        <v>#NUM!</v>
      </c>
      <c r="N129" t="e">
        <f t="array" ref="N129">(--INDEX('Raw Data'!$A$4:D$998,$F129,7))</f>
        <v>#NUM!</v>
      </c>
      <c r="O129" t="e">
        <f t="array" ref="O129">IF(--INDEX('Raw Data'!$A$4:E$998,$F129,8)= 0, 1, 0)</f>
        <v>#NUM!</v>
      </c>
      <c r="P129" t="e">
        <f t="array" ref="P129">IF(--INDEX('Raw Data'!$A$4:F$998,$F129,8)= 1, 1, 0)</f>
        <v>#NUM!</v>
      </c>
      <c r="Q129" t="e">
        <f t="array" ref="Q129">IF(--INDEX('Raw Data'!$A$4:G$998,$F129,13)= 1, 1, 0)</f>
        <v>#NUM!</v>
      </c>
      <c r="R129" t="e">
        <f t="array" ref="R129">IF(--INDEX('Raw Data'!$A$4:H$998,$F129,14)= 1, 1, 0)</f>
        <v>#NUM!</v>
      </c>
      <c r="S129" t="e">
        <f t="array" ref="S129">IF(--INDEX('Raw Data'!$A$4:I$998,$F129,15)= 1, 1, 0)</f>
        <v>#NUM!</v>
      </c>
      <c r="T129" t="e">
        <f t="array" ref="T129">IF(--INDEX('Raw Data'!$A$4:I$998,$F129,15)= 1, 1, 0)</f>
        <v>#NUM!</v>
      </c>
      <c r="U129" t="e">
        <f t="array" ref="U129">IF(--INDEX('Raw Data'!$A$4:J$998,$F129,16)= 1, 1, 0)</f>
        <v>#NUM!</v>
      </c>
      <c r="V129" t="e">
        <f t="array" ref="V129">IF(--INDEX('Raw Data'!$A$4:K$998,$F129,17)= 1, 1, 0)</f>
        <v>#NUM!</v>
      </c>
      <c r="W129" t="e">
        <f t="array" ref="W129">INDEX('Raw Data'!$A:$O,$F129,19)</f>
        <v>#NUM!</v>
      </c>
      <c r="X129" t="e">
        <f t="array" ref="X129">INDEX('Raw Data'!$A:$O,$F129,20)</f>
        <v>#NUM!</v>
      </c>
      <c r="Y129" t="e">
        <f t="array" ref="Y129">INDEX('Raw Data'!$A:$O,F129,21)</f>
        <v>#NUM!</v>
      </c>
      <c r="Z129" t="e">
        <f t="array" ref="Z129">INDEX('Raw Data'!$A:$O,$F129,3)</f>
        <v>#NUM!</v>
      </c>
      <c r="AA129" t="e">
        <f t="array" ref="AA129">INDEX('Raw Data'!$A:$O,$F129,22)</f>
        <v>#NUM!</v>
      </c>
      <c r="AB129" t="e">
        <f t="array" ref="AB129">INDEX('Raw Data'!$A:$O,$F129,23)</f>
        <v>#NUM!</v>
      </c>
    </row>
    <row r="130" spans="1:44" x14ac:dyDescent="0.25">
      <c r="F130" t="e">
        <f t="array" ref="F130">SMALL(IF('Raw Data'!A:A=C115,ROW('Raw Data'!A:A)),ROW('Raw Data'!$15:$15))</f>
        <v>#NUM!</v>
      </c>
      <c r="G130" t="e">
        <f t="array" ref="G130">INDEX('Raw Data'!A:A,F130,9)</f>
        <v>#NUM!</v>
      </c>
      <c r="H130" t="e">
        <f t="array" ref="H130">INDEX('Raw Data'!A:A,F130,10)</f>
        <v>#NUM!</v>
      </c>
      <c r="I130" t="e">
        <f t="array" ref="I130">INDEX('Raw Data'!$A:A,$F130,11)</f>
        <v>#NUM!</v>
      </c>
      <c r="J130" t="e">
        <f t="array" ref="J130">INDEX('Raw Data'!$A:A,F130,12)</f>
        <v>#NUM!</v>
      </c>
      <c r="K130" t="e">
        <f t="array" ref="K130">(--INDEX('Raw Data'!$A$4:B$998,F130,4))</f>
        <v>#NUM!</v>
      </c>
      <c r="L130" t="e">
        <f t="array" ref="L130">(--INDEX('Raw Data'!$A$4:B$998,F130,5))</f>
        <v>#NUM!</v>
      </c>
      <c r="M130" t="e">
        <f t="array" ref="M130">(--INDEX('Raw Data'!$A$4:D$998,$F130,6))</f>
        <v>#NUM!</v>
      </c>
      <c r="N130" t="e">
        <f t="array" ref="N130">(--INDEX('Raw Data'!$A$4:D$998,$F130,7))</f>
        <v>#NUM!</v>
      </c>
      <c r="O130" t="e">
        <f t="array" ref="O130">IF(--INDEX('Raw Data'!$A$4:E$998,$F130,8)= 0, 1, 0)</f>
        <v>#NUM!</v>
      </c>
      <c r="P130" t="e">
        <f t="array" ref="P130">IF(--INDEX('Raw Data'!$A$4:F$998,$F130,8)= 1, 1, 0)</f>
        <v>#NUM!</v>
      </c>
      <c r="Q130" t="e">
        <f t="array" ref="Q130">IF(--INDEX('Raw Data'!$A$4:G$998,$F130,13)= 1, 1, 0)</f>
        <v>#NUM!</v>
      </c>
      <c r="R130" t="e">
        <f t="array" ref="R130">IF(--INDEX('Raw Data'!$A$4:H$998,$F130,14)= 1, 1, 0)</f>
        <v>#NUM!</v>
      </c>
      <c r="S130" t="e">
        <f t="array" ref="S130">IF(--INDEX('Raw Data'!$A$4:I$998,$F130,15)= 1, 1, 0)</f>
        <v>#NUM!</v>
      </c>
      <c r="T130" t="e">
        <f t="array" ref="T130">IF(--INDEX('Raw Data'!$A$4:I$998,$F130,15)= 1, 1, 0)</f>
        <v>#NUM!</v>
      </c>
      <c r="U130" t="e">
        <f t="array" ref="U130">IF(--INDEX('Raw Data'!$A$4:J$998,$F130,16)= 1, 1, 0)</f>
        <v>#NUM!</v>
      </c>
      <c r="V130" t="e">
        <f t="array" ref="V130">IF(--INDEX('Raw Data'!$A$4:K$998,$F130,17)= 1, 1, 0)</f>
        <v>#NUM!</v>
      </c>
      <c r="W130" t="e">
        <f t="array" ref="W130">INDEX('Raw Data'!$A:$O,$F130,19)</f>
        <v>#NUM!</v>
      </c>
      <c r="X130" t="e">
        <f t="array" ref="X130">INDEX('Raw Data'!$A:$O,$F130,20)</f>
        <v>#NUM!</v>
      </c>
      <c r="Y130" t="e">
        <f t="array" ref="Y130">INDEX('Raw Data'!$A:$O,F130,21)</f>
        <v>#NUM!</v>
      </c>
      <c r="Z130" t="e">
        <f t="array" ref="Z130">INDEX('Raw Data'!$A:$O,$F130,3)</f>
        <v>#NUM!</v>
      </c>
      <c r="AA130" t="e">
        <f t="array" ref="AA130">INDEX('Raw Data'!$A:$O,$F130,22)</f>
        <v>#NUM!</v>
      </c>
      <c r="AB130" t="e">
        <f t="array" ref="AB130">INDEX('Raw Data'!$A:$O,$F130,23)</f>
        <v>#NUM!</v>
      </c>
    </row>
    <row r="131" spans="1:44" x14ac:dyDescent="0.25">
      <c r="A131" t="s">
        <v>55</v>
      </c>
      <c r="C131" s="2" t="e">
        <f>B121/B120</f>
        <v>#DIV/0!</v>
      </c>
      <c r="F131">
        <f t="array" ref="F131">COUNTIF(F116:F130,"&gt;0")</f>
        <v>0</v>
      </c>
      <c r="G131">
        <f t="array" ref="G131">SUMIF(G116:G130,"&gt;0")</f>
        <v>0</v>
      </c>
      <c r="H131">
        <f t="array" ref="H131">SUMIF(H116:H130,"&gt;0")</f>
        <v>0</v>
      </c>
      <c r="I131">
        <f t="array" ref="I131">SUMIF(I116:I130,"&gt;0")</f>
        <v>0</v>
      </c>
      <c r="J131">
        <f t="array" ref="J131">SUMIF(J116:J130,"&gt;0")</f>
        <v>0</v>
      </c>
      <c r="K131">
        <f t="array" ref="K131">SUMIF(K116:K130,"&gt;0")</f>
        <v>0</v>
      </c>
      <c r="L131">
        <f t="array" ref="L131">SUMIF(L116:L130,"&gt;0")</f>
        <v>0</v>
      </c>
      <c r="M131">
        <f t="array" ref="M131">SUMIF(M116:M130,"&gt;0")</f>
        <v>0</v>
      </c>
      <c r="N131">
        <f t="array" ref="N131">SUMIF(N116:N130,"&gt;0")</f>
        <v>0</v>
      </c>
      <c r="O131">
        <f t="array" ref="O131">SUMIF(O116:O130,"&gt;0")</f>
        <v>0</v>
      </c>
      <c r="P131">
        <f t="array" ref="P131">SUMIF(P116:P130,"&gt;0")</f>
        <v>0</v>
      </c>
      <c r="Q131">
        <f t="array" ref="Q131">SUMIF(Q116:Q130,"&gt;0")</f>
        <v>0</v>
      </c>
      <c r="R131">
        <f t="array" ref="R131">SUMIF(R116:R130,"&gt;0")</f>
        <v>0</v>
      </c>
      <c r="S131">
        <f t="array" ref="S131">SUMIF(S116:S130,"&gt;0")</f>
        <v>0</v>
      </c>
      <c r="T131">
        <f t="array" ref="T131">SUMIF(T116:T130,"&gt;0")</f>
        <v>0</v>
      </c>
      <c r="U131">
        <f t="array" ref="U131">SUMIF(U116:U130,"&gt;0")</f>
        <v>0</v>
      </c>
      <c r="V131">
        <f t="array" ref="V131">SUMIF(V116:V130,"&gt;0")</f>
        <v>0</v>
      </c>
      <c r="W131">
        <f t="array" ref="W131">SUMIF(W116:W130,"&gt;0")</f>
        <v>0</v>
      </c>
      <c r="X131">
        <f t="array" ref="X131">SUMIF(X116:X130,"&gt;0")</f>
        <v>0</v>
      </c>
      <c r="Y131">
        <f t="array" ref="Y131">SUMIF(Y116:Y130,"&gt;0")</f>
        <v>0</v>
      </c>
      <c r="Z131">
        <f t="array" ref="Z131">SUMIF(Z116:Z130,"&gt;0")</f>
        <v>0</v>
      </c>
      <c r="AA131">
        <f t="array" ref="AA131">SUMIF(AA116:AA130,"&gt;0")</f>
        <v>0</v>
      </c>
      <c r="AB131">
        <f t="array" ref="AB131">SUMIF(AB116:AB130,"&gt;0")</f>
        <v>0</v>
      </c>
    </row>
    <row r="132" spans="1:44" x14ac:dyDescent="0.25">
      <c r="A132" t="s">
        <v>58</v>
      </c>
      <c r="C132" s="2">
        <f t="array" ref="C132">IF((K131+L131)&lt;&gt;0, (L131/(K131+L131)),0)</f>
        <v>0</v>
      </c>
      <c r="J132" s="6">
        <f t="array" ref="J132">J131*10</f>
        <v>0</v>
      </c>
      <c r="K132"/>
      <c r="P132" t="s">
        <v>95</v>
      </c>
      <c r="Q132" s="2" t="e">
        <f t="array" ref="Q132">Q131/$F131</f>
        <v>#DIV/0!</v>
      </c>
      <c r="R132" s="2" t="e">
        <f t="array" ref="R132">R131/$F131</f>
        <v>#DIV/0!</v>
      </c>
      <c r="S132" s="2" t="e">
        <f t="array" ref="S132">S131/$F131</f>
        <v>#DIV/0!</v>
      </c>
      <c r="T132" s="2" t="e">
        <f t="array" ref="T132">T131/$F131</f>
        <v>#DIV/0!</v>
      </c>
      <c r="U132" s="2" t="e">
        <f t="array" ref="U132">U131/$F131</f>
        <v>#DIV/0!</v>
      </c>
      <c r="V132" s="2" t="e">
        <f t="array" ref="V132">V131/$F131</f>
        <v>#DIV/0!</v>
      </c>
      <c r="W132" s="2" t="e">
        <f t="array" ref="W132">W131/$F131</f>
        <v>#DIV/0!</v>
      </c>
      <c r="X132" s="2" t="e">
        <f t="array" ref="X132">X131/$F131</f>
        <v>#DIV/0!</v>
      </c>
      <c r="Z132" s="2" t="e">
        <f t="array" ref="Z132">Z131/F131</f>
        <v>#DIV/0!</v>
      </c>
    </row>
    <row r="133" spans="1:44" x14ac:dyDescent="0.25">
      <c r="A133" t="s">
        <v>60</v>
      </c>
      <c r="C133" s="2">
        <f t="array" ref="C133">IF((M131+N131)&lt;&gt;0, (N131/(M131+N131)),0)</f>
        <v>0</v>
      </c>
      <c r="J133"/>
      <c r="K133"/>
    </row>
    <row r="134" spans="1:44" ht="28.5" x14ac:dyDescent="0.45">
      <c r="A134" t="s">
        <v>61</v>
      </c>
      <c r="C134" s="2">
        <f t="array" ref="C134">IF(((K131+N131+L131+M131)&lt;&gt;0), ((L131+N131)/(K131+N131+L131+M131)),0)</f>
        <v>0</v>
      </c>
      <c r="F134" s="17" t="s">
        <v>106</v>
      </c>
      <c r="G134" s="17" t="e">
        <f t="array" ref="G134">'Weighting &amp; Ranking Sheet'!$B$3*Math!$C132+'Weighting &amp; Ranking Sheet'!$B$4*Math!$C133+'Weighting &amp; Ranking Sheet'!$B$5*Math!$C134+'Weighting &amp; Ranking Sheet'!$B$6*Math!$C135+'Weighting &amp; Ranking Sheet'!$B$7*Math!$C119+'Weighting &amp; Ranking Sheet'!$B$8*Math!$C131+'Weighting &amp; Ranking Sheet'!$B$9*Math!$C138+'Weighting &amp; Ranking Sheet'!$B$10*Math!$C136+'Weighting &amp; Ranking Sheet'!$B$11*Math!$C137+'Weighting &amp; Ranking Sheet'!$B$12*Math!$C139*0.01+'Weighting &amp; Ranking Sheet'!$B$13*Math!$Q132+'Weighting &amp; Ranking Sheet'!$B$14*Math!$R132+'Weighting &amp; Ranking Sheet'!$B$15*Math!$S132+'Weighting &amp; Ranking Sheet'!$B$16*Math!$T132+'Weighting &amp; Ranking Sheet'!$B$17*Math!$U132+'Weighting &amp; Ranking Sheet'!$B$18*Math!$V132+'Weighting &amp; Ranking Sheet'!$B$2*Math!$Z132</f>
        <v>#DIV/0!</v>
      </c>
      <c r="J134"/>
      <c r="K134"/>
    </row>
    <row r="135" spans="1:44" x14ac:dyDescent="0.25">
      <c r="A135" t="s">
        <v>62</v>
      </c>
      <c r="C135" s="2">
        <f t="array" ref="C135">IF((O131+P131&lt;&gt;0),(P131/(O131+P131)), 0)</f>
        <v>0</v>
      </c>
      <c r="J135"/>
      <c r="K135"/>
      <c r="AR135" s="25"/>
    </row>
    <row r="136" spans="1:44" x14ac:dyDescent="0.25">
      <c r="A136" t="s">
        <v>77</v>
      </c>
      <c r="C136" s="8" t="e">
        <f t="array" ref="C136">W131/F131</f>
        <v>#DIV/0!</v>
      </c>
      <c r="J136"/>
      <c r="K136"/>
      <c r="AR136" s="23"/>
    </row>
    <row r="137" spans="1:44" x14ac:dyDescent="0.25">
      <c r="A137" t="s">
        <v>78</v>
      </c>
      <c r="C137" s="8" t="e">
        <f t="array" ref="C137">X131/F131</f>
        <v>#DIV/0!</v>
      </c>
      <c r="J137"/>
      <c r="K137"/>
    </row>
    <row r="138" spans="1:44" x14ac:dyDescent="0.25">
      <c r="A138" t="s">
        <v>91</v>
      </c>
      <c r="C138" s="2" t="e">
        <f t="array" ref="C138">(C119+C131)/2</f>
        <v>#DIV/0!</v>
      </c>
      <c r="J138"/>
      <c r="K138"/>
    </row>
    <row r="139" spans="1:44" x14ac:dyDescent="0.25">
      <c r="A139" t="s">
        <v>92</v>
      </c>
      <c r="C139" s="8" t="e">
        <f t="array" ref="C139">Y131/F131</f>
        <v>#DIV/0!</v>
      </c>
      <c r="J139"/>
      <c r="K139"/>
    </row>
    <row r="140" spans="1:44" x14ac:dyDescent="0.25">
      <c r="C140" s="8"/>
      <c r="J140"/>
      <c r="K140"/>
    </row>
    <row r="141" spans="1:44" x14ac:dyDescent="0.25">
      <c r="C141" s="8"/>
      <c r="J141"/>
      <c r="K141"/>
    </row>
    <row r="142" spans="1:44" x14ac:dyDescent="0.25">
      <c r="K142" s="6"/>
    </row>
    <row r="143" spans="1:44" x14ac:dyDescent="0.25">
      <c r="A143" t="s">
        <v>3</v>
      </c>
      <c r="C143" s="5">
        <v>204</v>
      </c>
      <c r="F143" t="s">
        <v>9</v>
      </c>
    </row>
    <row r="144" spans="1:44" x14ac:dyDescent="0.25">
      <c r="F144" t="e">
        <f t="array" ref="F144">SMALL(IF('Raw Data'!A:A=C143,ROW('Raw Data'!A:A)),ROW('Raw Data'!$1:$1))</f>
        <v>#NUM!</v>
      </c>
      <c r="G144" t="e">
        <f t="array" ref="G144">INDEX('Raw Data'!A:A,F144,9)</f>
        <v>#NUM!</v>
      </c>
      <c r="H144" t="e">
        <f t="array" ref="H144">INDEX('Raw Data'!A:A,F144,10)</f>
        <v>#NUM!</v>
      </c>
      <c r="I144" t="e">
        <f t="array" ref="I144">INDEX('Raw Data'!$A:A,$F144,11)</f>
        <v>#NUM!</v>
      </c>
      <c r="J144" t="e">
        <f t="array" ref="J144">INDEX('Raw Data'!$A:A,F144,12)</f>
        <v>#NUM!</v>
      </c>
      <c r="K144" t="e">
        <f>(--INDEX('Raw Data'!$A$4:B$993,F144,4))</f>
        <v>#NUM!</v>
      </c>
      <c r="L144" t="e">
        <f t="array" ref="L144">(--INDEX('Raw Data'!$A$4:B$993,F144,5))</f>
        <v>#NUM!</v>
      </c>
      <c r="M144" t="e">
        <f t="array" ref="M144">(--INDEX('Raw Data'!$A$4:D$993,$F144,6))</f>
        <v>#NUM!</v>
      </c>
      <c r="N144" t="e">
        <f t="array" ref="N144">(--INDEX('Raw Data'!$A$4:D$993,$F144,7))</f>
        <v>#NUM!</v>
      </c>
      <c r="O144" t="e">
        <f t="array" ref="O144">IF(--INDEX('Raw Data'!$A$4:E$993,$F144,8)= 0, 1, 0)</f>
        <v>#NUM!</v>
      </c>
      <c r="P144" t="e">
        <f t="array" ref="P144">IF(--INDEX('Raw Data'!$A$4:F$993,$F144,8)= 1, 1, 0)</f>
        <v>#NUM!</v>
      </c>
      <c r="Q144" t="e">
        <f t="array" ref="Q144">IF(--INDEX('Raw Data'!$A$4:G$993,$F144,13)= 1, 1, 0)</f>
        <v>#NUM!</v>
      </c>
      <c r="R144" t="e">
        <f t="array" ref="R144">IF(--INDEX('Raw Data'!$A$4:H$993,$F144,14)= 1, 1, 0)</f>
        <v>#NUM!</v>
      </c>
      <c r="S144" t="e">
        <f t="array" ref="S144">IF(--INDEX('Raw Data'!$A$4:I$993,$F144,15)= 1, 1, 0)</f>
        <v>#NUM!</v>
      </c>
      <c r="T144" t="e">
        <f t="array" ref="T144">IF(--INDEX('Raw Data'!$A$4:I$993,$F144,15)= 1, 1, 0)</f>
        <v>#NUM!</v>
      </c>
      <c r="U144" t="e">
        <f t="array" ref="U144">IF(--INDEX('Raw Data'!$A$4:J$993,$F144,16)= 1, 1, 0)</f>
        <v>#NUM!</v>
      </c>
      <c r="V144" t="e">
        <f t="array" ref="V144">IF(--INDEX('Raw Data'!$A$4:K$993,$F144,17)= 1, 1, 0)</f>
        <v>#NUM!</v>
      </c>
      <c r="W144" t="e">
        <f t="array" ref="W144">INDEX('Raw Data'!$A:$O,$F144,19)</f>
        <v>#NUM!</v>
      </c>
      <c r="X144" t="e">
        <f t="array" ref="X144">INDEX('Raw Data'!$A:$O,$F144,20)</f>
        <v>#NUM!</v>
      </c>
      <c r="Y144" t="e">
        <f t="array" ref="Y144">INDEX('Raw Data'!$A:$O,F144,21)</f>
        <v>#NUM!</v>
      </c>
      <c r="Z144" t="e">
        <f t="array" ref="Z144">INDEX('Raw Data'!$A:$O,$F144,3)</f>
        <v>#NUM!</v>
      </c>
      <c r="AA144" t="e">
        <f t="array" ref="AA144">INDEX('Raw Data'!$A:$O,$F144,22)</f>
        <v>#NUM!</v>
      </c>
      <c r="AB144" t="e">
        <f t="array" ref="AB144">INDEX('Raw Data'!$A:$O,$F144,23)</f>
        <v>#NUM!</v>
      </c>
    </row>
    <row r="145" spans="1:39" x14ac:dyDescent="0.25">
      <c r="A145" t="s">
        <v>0</v>
      </c>
      <c r="B145">
        <f>G159</f>
        <v>0</v>
      </c>
      <c r="F145" t="e">
        <f t="array" ref="F145">SMALL(IF('Raw Data'!A:A=C143,ROW('Raw Data'!A:A)),ROW('Raw Data'!$2:$2))</f>
        <v>#NUM!</v>
      </c>
      <c r="G145" t="e">
        <f t="array" ref="G145">INDEX('Raw Data'!A:A,F145,9)</f>
        <v>#NUM!</v>
      </c>
      <c r="H145" t="e">
        <f t="array" ref="H145">INDEX('Raw Data'!A:A,F145,10)</f>
        <v>#NUM!</v>
      </c>
      <c r="I145" t="e">
        <f t="array" ref="I145">INDEX('Raw Data'!$A:A,$F145,11)</f>
        <v>#NUM!</v>
      </c>
      <c r="J145" t="e">
        <f t="array" ref="J145">INDEX('Raw Data'!$A:A,F145,12)</f>
        <v>#NUM!</v>
      </c>
      <c r="K145" t="e">
        <f>(--INDEX('Raw Data'!$A$4:B$993,F145,4))</f>
        <v>#NUM!</v>
      </c>
      <c r="L145" t="e">
        <f t="array" ref="L145">(--INDEX('Raw Data'!$A$4:B$993,F145,5))</f>
        <v>#NUM!</v>
      </c>
      <c r="M145" t="e">
        <f t="array" ref="M145">(--INDEX('Raw Data'!$A$4:D$993,$F145,6))</f>
        <v>#NUM!</v>
      </c>
      <c r="N145" t="e">
        <f t="array" ref="N145">(--INDEX('Raw Data'!$A$4:D$993,$F145,7))</f>
        <v>#NUM!</v>
      </c>
      <c r="O145" t="e">
        <f t="array" ref="O145">IF(--INDEX('Raw Data'!$A$4:E$993,$F145,8)= 0, 1, 0)</f>
        <v>#NUM!</v>
      </c>
      <c r="P145" t="e">
        <f t="array" ref="P145">IF(--INDEX('Raw Data'!$A$4:F$993,$F145,8)= 1, 1, 0)</f>
        <v>#NUM!</v>
      </c>
      <c r="Q145" t="e">
        <f t="array" ref="Q145">IF(--INDEX('Raw Data'!$A$4:G$993,$F145,13)= 1, 1, 0)</f>
        <v>#NUM!</v>
      </c>
      <c r="R145" t="e">
        <f t="array" ref="R145">IF(--INDEX('Raw Data'!$A$4:H$993,$F145,14)= 1, 1, 0)</f>
        <v>#NUM!</v>
      </c>
      <c r="S145" t="e">
        <f t="array" ref="S145">IF(--INDEX('Raw Data'!$A$4:I$993,$F145,15)= 1, 1, 0)</f>
        <v>#NUM!</v>
      </c>
      <c r="T145" t="e">
        <f t="array" ref="T145">IF(--INDEX('Raw Data'!$A$4:I$993,$F145,15)= 1, 1, 0)</f>
        <v>#NUM!</v>
      </c>
      <c r="U145" t="e">
        <f t="array" ref="U145">IF(--INDEX('Raw Data'!$A$4:J$993,$F145,16)= 1, 1, 0)</f>
        <v>#NUM!</v>
      </c>
      <c r="V145" t="e">
        <f t="array" ref="V145">IF(--INDEX('Raw Data'!$A$4:K$993,$F145,17)= 1, 1, 0)</f>
        <v>#NUM!</v>
      </c>
      <c r="W145" t="e">
        <f t="array" ref="W145">INDEX('Raw Data'!$A:$O,$F145,19)</f>
        <v>#NUM!</v>
      </c>
      <c r="X145" t="e">
        <f t="array" ref="X145">INDEX('Raw Data'!$A:$O,$F145,20)</f>
        <v>#NUM!</v>
      </c>
      <c r="Y145" t="e">
        <f t="array" ref="Y145">INDEX('Raw Data'!$A:$O,F145,21)</f>
        <v>#NUM!</v>
      </c>
      <c r="Z145" t="e">
        <f t="array" ref="Z145">INDEX('Raw Data'!$A:$O,$F145,3)</f>
        <v>#NUM!</v>
      </c>
      <c r="AA145" t="e">
        <f t="array" ref="AA145">INDEX('Raw Data'!$A:$O,$F145,22)</f>
        <v>#NUM!</v>
      </c>
      <c r="AB145" t="e">
        <f t="array" ref="AB145">INDEX('Raw Data'!$A:$O,$F145,23)</f>
        <v>#NUM!</v>
      </c>
    </row>
    <row r="146" spans="1:39" x14ac:dyDescent="0.25">
      <c r="A146" t="s">
        <v>1</v>
      </c>
      <c r="B146">
        <f>H159</f>
        <v>0</v>
      </c>
      <c r="F146" t="e">
        <f t="array" ref="F146">SMALL(IF('Raw Data'!A:A=C143,ROW('Raw Data'!A:A)),ROW('Raw Data'!$3:$3))</f>
        <v>#NUM!</v>
      </c>
      <c r="G146" t="e">
        <f t="array" ref="G146">INDEX('Raw Data'!A:A,F146,9)</f>
        <v>#NUM!</v>
      </c>
      <c r="H146" t="e">
        <f t="array" ref="H146">INDEX('Raw Data'!A:A,F146,10)</f>
        <v>#NUM!</v>
      </c>
      <c r="I146" t="e">
        <f t="array" ref="I146">INDEX('Raw Data'!$A:A,$F146,11)</f>
        <v>#NUM!</v>
      </c>
      <c r="J146" t="e">
        <f t="array" ref="J146">INDEX('Raw Data'!$A:A,F146,12)</f>
        <v>#NUM!</v>
      </c>
      <c r="K146" t="e">
        <f>(--INDEX('Raw Data'!$A$4:B$993,F146,4))</f>
        <v>#NUM!</v>
      </c>
      <c r="L146" t="e">
        <f t="array" ref="L146">(--INDEX('Raw Data'!$A$4:B$993,F146,5))</f>
        <v>#NUM!</v>
      </c>
      <c r="M146" t="e">
        <f t="array" ref="M146">(--INDEX('Raw Data'!$A$4:D$993,$F146,6))</f>
        <v>#NUM!</v>
      </c>
      <c r="N146" t="e">
        <f t="array" ref="N146">(--INDEX('Raw Data'!$A$4:D$993,$F146,7))</f>
        <v>#NUM!</v>
      </c>
      <c r="O146" t="e">
        <f t="array" ref="O146">IF(--INDEX('Raw Data'!$A$4:E$993,$F146,8)= 0, 1, 0)</f>
        <v>#NUM!</v>
      </c>
      <c r="P146" t="e">
        <f t="array" ref="P146">IF(--INDEX('Raw Data'!$A$4:F$993,$F146,8)= 1, 1, 0)</f>
        <v>#NUM!</v>
      </c>
      <c r="Q146" t="e">
        <f t="array" ref="Q146">IF(--INDEX('Raw Data'!$A$4:G$993,$F146,13)= 1, 1, 0)</f>
        <v>#NUM!</v>
      </c>
      <c r="R146" t="e">
        <f t="array" ref="R146">IF(--INDEX('Raw Data'!$A$4:H$993,$F146,14)= 1, 1, 0)</f>
        <v>#NUM!</v>
      </c>
      <c r="S146" t="e">
        <f t="array" ref="S146">IF(--INDEX('Raw Data'!$A$4:I$993,$F146,15)= 1, 1, 0)</f>
        <v>#NUM!</v>
      </c>
      <c r="T146" t="e">
        <f t="array" ref="T146">IF(--INDEX('Raw Data'!$A$4:I$993,$F146,15)= 1, 1, 0)</f>
        <v>#NUM!</v>
      </c>
      <c r="U146" t="e">
        <f t="array" ref="U146">IF(--INDEX('Raw Data'!$A$4:J$993,$F146,16)= 1, 1, 0)</f>
        <v>#NUM!</v>
      </c>
      <c r="V146" t="e">
        <f t="array" ref="V146">IF(--INDEX('Raw Data'!$A$4:K$993,$F146,17)= 1, 1, 0)</f>
        <v>#NUM!</v>
      </c>
      <c r="W146" t="e">
        <f t="array" ref="W146">INDEX('Raw Data'!$A:$O,$F146,19)</f>
        <v>#NUM!</v>
      </c>
      <c r="X146" t="e">
        <f t="array" ref="X146">INDEX('Raw Data'!$A:$O,$F146,20)</f>
        <v>#NUM!</v>
      </c>
      <c r="Y146" t="e">
        <f t="array" ref="Y146">INDEX('Raw Data'!$A:$O,F146,21)</f>
        <v>#NUM!</v>
      </c>
      <c r="Z146" t="e">
        <f t="array" ref="Z146">INDEX('Raw Data'!$A:$O,$F146,3)</f>
        <v>#NUM!</v>
      </c>
      <c r="AA146" t="e">
        <f t="array" ref="AA146">INDEX('Raw Data'!$A:$O,$F146,22)</f>
        <v>#NUM!</v>
      </c>
      <c r="AB146" t="e">
        <f t="array" ref="AB146">INDEX('Raw Data'!$A:$O,$F146,23)</f>
        <v>#NUM!</v>
      </c>
    </row>
    <row r="147" spans="1:39" x14ac:dyDescent="0.25">
      <c r="A147" t="s">
        <v>2</v>
      </c>
      <c r="C147" s="3" t="e">
        <f>B146/B145</f>
        <v>#DIV/0!</v>
      </c>
      <c r="F147" t="e">
        <f t="array" ref="F147">SMALL(IF('Raw Data'!A:A=C143,ROW('Raw Data'!A:A)),ROW('Raw Data'!$4:$4))</f>
        <v>#NUM!</v>
      </c>
      <c r="G147" t="e">
        <f t="array" ref="G147">INDEX('Raw Data'!A:A,F147,9)</f>
        <v>#NUM!</v>
      </c>
      <c r="H147" t="e">
        <f t="array" ref="H147">INDEX('Raw Data'!A:A,F147,10)</f>
        <v>#NUM!</v>
      </c>
      <c r="I147" t="e">
        <f t="array" ref="I147">INDEX('Raw Data'!$A:A,$F147,11)</f>
        <v>#NUM!</v>
      </c>
      <c r="J147" t="e">
        <f t="array" ref="J147">INDEX('Raw Data'!$A:A,F147,12)</f>
        <v>#NUM!</v>
      </c>
      <c r="K147" t="e">
        <f>(--INDEX('Raw Data'!$A$4:B$993,F147,4))</f>
        <v>#NUM!</v>
      </c>
      <c r="L147" t="e">
        <f t="array" ref="L147">(--INDEX('Raw Data'!$A$4:B$993,F147,5))</f>
        <v>#NUM!</v>
      </c>
      <c r="M147" t="e">
        <f t="array" ref="M147">(--INDEX('Raw Data'!$A$4:D$993,$F147,6))</f>
        <v>#NUM!</v>
      </c>
      <c r="N147" t="e">
        <f t="array" ref="N147">(--INDEX('Raw Data'!$A$4:D$993,$F147,7))</f>
        <v>#NUM!</v>
      </c>
      <c r="O147" t="e">
        <f t="array" ref="O147">IF(--INDEX('Raw Data'!$A$4:E$993,$F147,8)= 0, 1, 0)</f>
        <v>#NUM!</v>
      </c>
      <c r="P147" t="e">
        <f t="array" ref="P147">IF(--INDEX('Raw Data'!$A$4:F$993,$F147,8)= 1, 1, 0)</f>
        <v>#NUM!</v>
      </c>
      <c r="Q147" t="e">
        <f t="array" ref="Q147">IF(--INDEX('Raw Data'!$A$4:G$993,$F147,13)= 1, 1, 0)</f>
        <v>#NUM!</v>
      </c>
      <c r="R147" t="e">
        <f t="array" ref="R147">IF(--INDEX('Raw Data'!$A$4:H$993,$F147,14)= 1, 1, 0)</f>
        <v>#NUM!</v>
      </c>
      <c r="S147" t="e">
        <f t="array" ref="S147">IF(--INDEX('Raw Data'!$A$4:I$993,$F147,15)= 1, 1, 0)</f>
        <v>#NUM!</v>
      </c>
      <c r="T147" t="e">
        <f t="array" ref="T147">IF(--INDEX('Raw Data'!$A$4:I$993,$F147,15)= 1, 1, 0)</f>
        <v>#NUM!</v>
      </c>
      <c r="U147" t="e">
        <f t="array" ref="U147">IF(--INDEX('Raw Data'!$A$4:J$993,$F147,16)= 1, 1, 0)</f>
        <v>#NUM!</v>
      </c>
      <c r="V147" t="e">
        <f t="array" ref="V147">IF(--INDEX('Raw Data'!$A$4:K$993,$F147,17)= 1, 1, 0)</f>
        <v>#NUM!</v>
      </c>
      <c r="W147" t="e">
        <f t="array" ref="W147">INDEX('Raw Data'!$A:$O,$F147,19)</f>
        <v>#NUM!</v>
      </c>
      <c r="X147" t="e">
        <f t="array" ref="X147">INDEX('Raw Data'!$A:$O,$F147,20)</f>
        <v>#NUM!</v>
      </c>
      <c r="Y147" t="e">
        <f t="array" ref="Y147">INDEX('Raw Data'!$A:$O,F147,21)</f>
        <v>#NUM!</v>
      </c>
      <c r="Z147" t="e">
        <f t="array" ref="Z147">INDEX('Raw Data'!$A:$O,$F147,3)</f>
        <v>#NUM!</v>
      </c>
      <c r="AA147" t="e">
        <f t="array" ref="AA147">INDEX('Raw Data'!$A:$O,$F147,22)</f>
        <v>#NUM!</v>
      </c>
      <c r="AB147" t="e">
        <f t="array" ref="AB147">INDEX('Raw Data'!$A:$O,$F147,23)</f>
        <v>#NUM!</v>
      </c>
    </row>
    <row r="148" spans="1:39" x14ac:dyDescent="0.25">
      <c r="A148" t="s">
        <v>54</v>
      </c>
      <c r="B148">
        <f>I159</f>
        <v>0</v>
      </c>
      <c r="F148" t="e">
        <f t="array" ref="F148">SMALL(IF('Raw Data'!A:A=C143,ROW('Raw Data'!A:A)),ROW('Raw Data'!$5:$5))</f>
        <v>#NUM!</v>
      </c>
      <c r="G148" t="e">
        <f t="array" ref="G148">INDEX('Raw Data'!A:A,F148,9)</f>
        <v>#NUM!</v>
      </c>
      <c r="H148" t="e">
        <f t="array" ref="H148">INDEX('Raw Data'!A:A,F148,10)</f>
        <v>#NUM!</v>
      </c>
      <c r="I148" t="e">
        <f t="array" ref="I148">INDEX('Raw Data'!$A:A,$F148,11)</f>
        <v>#NUM!</v>
      </c>
      <c r="J148" t="e">
        <f t="array" ref="J148">INDEX('Raw Data'!$A:A,F148,12)</f>
        <v>#NUM!</v>
      </c>
      <c r="K148" t="e">
        <f>(--INDEX('Raw Data'!$A$4:B$993,F148,4))</f>
        <v>#NUM!</v>
      </c>
      <c r="L148" t="e">
        <f t="array" ref="L148">(--INDEX('Raw Data'!$A$4:B$993,F148,5))</f>
        <v>#NUM!</v>
      </c>
      <c r="M148" t="e">
        <f t="array" ref="M148">(--INDEX('Raw Data'!$A$4:D$993,$F148,6))</f>
        <v>#NUM!</v>
      </c>
      <c r="N148" t="e">
        <f t="array" ref="N148">(--INDEX('Raw Data'!$A$4:D$993,$F148,7))</f>
        <v>#NUM!</v>
      </c>
      <c r="O148" t="e">
        <f t="array" ref="O148">IF(--INDEX('Raw Data'!$A$4:E$993,$F148,8)= 0, 1, 0)</f>
        <v>#NUM!</v>
      </c>
      <c r="P148" t="e">
        <f t="array" ref="P148">IF(--INDEX('Raw Data'!$A$4:F$993,$F148,8)= 1, 1, 0)</f>
        <v>#NUM!</v>
      </c>
      <c r="Q148" t="e">
        <f t="array" ref="Q148">IF(--INDEX('Raw Data'!$A$4:G$993,$F148,13)= 1, 1, 0)</f>
        <v>#NUM!</v>
      </c>
      <c r="R148" t="e">
        <f t="array" ref="R148">IF(--INDEX('Raw Data'!$A$4:H$993,$F148,14)= 1, 1, 0)</f>
        <v>#NUM!</v>
      </c>
      <c r="S148" t="e">
        <f t="array" ref="S148">IF(--INDEX('Raw Data'!$A$4:I$993,$F148,15)= 1, 1, 0)</f>
        <v>#NUM!</v>
      </c>
      <c r="T148" t="e">
        <f t="array" ref="T148">IF(--INDEX('Raw Data'!$A$4:I$993,$F148,15)= 1, 1, 0)</f>
        <v>#NUM!</v>
      </c>
      <c r="U148" t="e">
        <f t="array" ref="U148">IF(--INDEX('Raw Data'!$A$4:J$993,$F148,16)= 1, 1, 0)</f>
        <v>#NUM!</v>
      </c>
      <c r="V148" t="e">
        <f t="array" ref="V148">IF(--INDEX('Raw Data'!$A$4:K$993,$F148,17)= 1, 1, 0)</f>
        <v>#NUM!</v>
      </c>
      <c r="W148" t="e">
        <f t="array" ref="W148">INDEX('Raw Data'!$A:$O,$F148,19)</f>
        <v>#NUM!</v>
      </c>
      <c r="X148" t="e">
        <f t="array" ref="X148">INDEX('Raw Data'!$A:$O,$F148,20)</f>
        <v>#NUM!</v>
      </c>
      <c r="Y148" t="e">
        <f t="array" ref="Y148">INDEX('Raw Data'!$A:$O,F148,21)</f>
        <v>#NUM!</v>
      </c>
      <c r="Z148" t="e">
        <f t="array" ref="Z148">INDEX('Raw Data'!$A:$O,$F148,3)</f>
        <v>#NUM!</v>
      </c>
      <c r="AA148" t="e">
        <f t="array" ref="AA148">INDEX('Raw Data'!$A:$O,$F148,22)</f>
        <v>#NUM!</v>
      </c>
      <c r="AB148" t="e">
        <f t="array" ref="AB148">INDEX('Raw Data'!$A:$O,$F148,23)</f>
        <v>#NUM!</v>
      </c>
    </row>
    <row r="149" spans="1:39" x14ac:dyDescent="0.25">
      <c r="A149" t="s">
        <v>35</v>
      </c>
      <c r="B149">
        <f>J159</f>
        <v>0</v>
      </c>
      <c r="F149" t="e">
        <f t="array" ref="F149">SMALL(IF('Raw Data'!A:A=C143,ROW('Raw Data'!A:A)),ROW('Raw Data'!$6:$6))</f>
        <v>#NUM!</v>
      </c>
      <c r="G149" t="e">
        <f t="array" ref="G149">INDEX('Raw Data'!A:A,F149,9)</f>
        <v>#NUM!</v>
      </c>
      <c r="H149" t="e">
        <f t="array" ref="H149">INDEX('Raw Data'!A:A,F149,10)</f>
        <v>#NUM!</v>
      </c>
      <c r="I149" t="e">
        <f t="array" ref="I149">INDEX('Raw Data'!$A:A,$F149,11)</f>
        <v>#NUM!</v>
      </c>
      <c r="J149" t="e">
        <f t="array" ref="J149">INDEX('Raw Data'!$A:A,F149,12)</f>
        <v>#NUM!</v>
      </c>
      <c r="K149" t="e">
        <f>(--INDEX('Raw Data'!$A$4:B$993,F149,4))</f>
        <v>#NUM!</v>
      </c>
      <c r="L149" t="e">
        <f t="array" ref="L149">(--INDEX('Raw Data'!$A$4:B$998,F149,5))</f>
        <v>#NUM!</v>
      </c>
      <c r="M149" t="e">
        <f t="array" ref="M149">(--INDEX('Raw Data'!$A$4:D$998,$F149,6))</f>
        <v>#NUM!</v>
      </c>
      <c r="N149" t="e">
        <f t="array" ref="N149">(--INDEX('Raw Data'!$A$4:D$993,$F149,7))</f>
        <v>#NUM!</v>
      </c>
      <c r="O149" t="e">
        <f t="array" ref="O149">IF(--INDEX('Raw Data'!$A$4:E$993,$F149,8)= 0, 1, 0)</f>
        <v>#NUM!</v>
      </c>
      <c r="P149" t="e">
        <f t="array" ref="P149">IF(--INDEX('Raw Data'!$A$4:F$998,$F149,8)= 1, 1, 0)</f>
        <v>#NUM!</v>
      </c>
      <c r="Q149" t="e">
        <f t="array" ref="Q149">IF(--INDEX('Raw Data'!$A$4:G$998,$F149,13)= 1, 1, 0)</f>
        <v>#NUM!</v>
      </c>
      <c r="R149" t="e">
        <f t="array" ref="R149">IF(--INDEX('Raw Data'!$A$4:H$998,$F149,14)= 1, 1, 0)</f>
        <v>#NUM!</v>
      </c>
      <c r="S149" t="e">
        <f t="array" ref="S149">IF(--INDEX('Raw Data'!$A$4:I$993,$F149,15)= 1, 1, 0)</f>
        <v>#NUM!</v>
      </c>
      <c r="T149" t="e">
        <f t="array" ref="T149">IF(--INDEX('Raw Data'!$A$4:I$998,$F149,15)= 1, 1, 0)</f>
        <v>#NUM!</v>
      </c>
      <c r="U149" t="e">
        <f t="array" ref="U149">IF(--INDEX('Raw Data'!$A$4:J$998,$F149,16)= 1, 1, 0)</f>
        <v>#NUM!</v>
      </c>
      <c r="V149" t="e">
        <f t="array" ref="V149">IF(--INDEX('Raw Data'!$A$4:K$993,$F149,17)= 1, 1, 0)</f>
        <v>#NUM!</v>
      </c>
      <c r="W149" t="e">
        <f t="array" ref="W149">INDEX('Raw Data'!$A:$O,$F149,19)</f>
        <v>#NUM!</v>
      </c>
      <c r="X149" t="e">
        <f t="array" ref="X149">INDEX('Raw Data'!$A:$O,$F149,20)</f>
        <v>#NUM!</v>
      </c>
      <c r="Y149" t="e">
        <f t="array" ref="Y149">INDEX('Raw Data'!$A:$O,F149,21)</f>
        <v>#NUM!</v>
      </c>
      <c r="Z149" t="e">
        <f t="array" ref="Z149">INDEX('Raw Data'!$A:$O,$F149,3)</f>
        <v>#NUM!</v>
      </c>
      <c r="AA149" t="e">
        <f t="array" ref="AA149">INDEX('Raw Data'!$A:$O,$F149,22)</f>
        <v>#NUM!</v>
      </c>
      <c r="AB149" t="e">
        <f t="array" ref="AB149">INDEX('Raw Data'!$A:$O,$F149,23)</f>
        <v>#NUM!</v>
      </c>
    </row>
    <row r="150" spans="1:39" ht="28.5" x14ac:dyDescent="0.45">
      <c r="F150" t="e">
        <f t="array" ref="F150">SMALL(IF('Raw Data'!A:A=C143,ROW('Raw Data'!A:A)),ROW('Raw Data'!$7:$7))</f>
        <v>#NUM!</v>
      </c>
      <c r="G150" t="e">
        <f t="array" ref="G150">INDEX('Raw Data'!A:A,F150,9)</f>
        <v>#NUM!</v>
      </c>
      <c r="H150" t="e">
        <f t="array" ref="H150">INDEX('Raw Data'!A:A,F150,10)</f>
        <v>#NUM!</v>
      </c>
      <c r="I150" t="e">
        <f t="array" ref="I150">INDEX('Raw Data'!$A:A,$F150,11)</f>
        <v>#NUM!</v>
      </c>
      <c r="J150" t="e">
        <f t="array" ref="J150">INDEX('Raw Data'!$A:A,F150,12)</f>
        <v>#NUM!</v>
      </c>
      <c r="K150" t="e">
        <f t="array" ref="K150">(--INDEX('Raw Data'!$A$4:B$998,F150,4))</f>
        <v>#NUM!</v>
      </c>
      <c r="L150" t="e">
        <f t="array" ref="L150">(--INDEX('Raw Data'!$A$4:B$998,F150,5))</f>
        <v>#NUM!</v>
      </c>
      <c r="M150" t="e">
        <f t="array" ref="M150">(--INDEX('Raw Data'!$A$4:D$998,$F150,6))</f>
        <v>#NUM!</v>
      </c>
      <c r="N150" t="e">
        <f t="array" ref="N150">(--INDEX('Raw Data'!$A$4:D$998,$F150,7))</f>
        <v>#NUM!</v>
      </c>
      <c r="O150" t="e">
        <f t="array" ref="O150">IF(--INDEX('Raw Data'!$A$4:E$998,$F150,8)= 0, 1, 0)</f>
        <v>#NUM!</v>
      </c>
      <c r="P150" t="e">
        <f t="array" ref="P150">IF(--INDEX('Raw Data'!$A$4:F$998,$F150,8)= 1, 1, 0)</f>
        <v>#NUM!</v>
      </c>
      <c r="Q150" t="e">
        <f t="array" ref="Q150">IF(--INDEX('Raw Data'!$A$4:G$998,$F150,13)= 1, 1, 0)</f>
        <v>#NUM!</v>
      </c>
      <c r="R150" t="e">
        <f t="array" ref="R150">IF(--INDEX('Raw Data'!$A$4:H$998,$F150,14)= 1, 1, 0)</f>
        <v>#NUM!</v>
      </c>
      <c r="S150" t="e">
        <f t="array" ref="S150">IF(--INDEX('Raw Data'!$A$4:I$998,$F150,15)= 1, 1, 0)</f>
        <v>#NUM!</v>
      </c>
      <c r="T150" t="e">
        <f t="array" ref="T150">IF(--INDEX('Raw Data'!$A$4:I$998,$F150,15)= 1, 1, 0)</f>
        <v>#NUM!</v>
      </c>
      <c r="U150" t="e">
        <f t="array" ref="U150">IF(--INDEX('Raw Data'!$A$4:J$998,$F150,16)= 1, 1, 0)</f>
        <v>#NUM!</v>
      </c>
      <c r="V150" t="e">
        <f t="array" ref="V150">IF(--INDEX('Raw Data'!$A$4:K$998,$F150,17)= 1, 1, 0)</f>
        <v>#NUM!</v>
      </c>
      <c r="W150" t="e">
        <f t="array" ref="W150">INDEX('Raw Data'!$A:$O,$F150,19)</f>
        <v>#NUM!</v>
      </c>
      <c r="X150" t="e">
        <f t="array" ref="X150">INDEX('Raw Data'!$A:$O,$F150,20)</f>
        <v>#NUM!</v>
      </c>
      <c r="Y150" t="e">
        <f t="array" ref="Y150">INDEX('Raw Data'!$A:$O,F150,21)</f>
        <v>#NUM!</v>
      </c>
      <c r="Z150" t="e">
        <f t="array" ref="Z150">INDEX('Raw Data'!$A:$O,$F150,3)</f>
        <v>#NUM!</v>
      </c>
      <c r="AA150" t="e">
        <f t="array" ref="AA150">INDEX('Raw Data'!$A:$O,$F150,22)</f>
        <v>#NUM!</v>
      </c>
      <c r="AB150" t="e">
        <f t="array" ref="AB150">INDEX('Raw Data'!$A:$O,$F150,23)</f>
        <v>#NUM!</v>
      </c>
      <c r="AM150" s="21"/>
    </row>
    <row r="151" spans="1:39" x14ac:dyDescent="0.25">
      <c r="F151" t="e">
        <f t="array" ref="F151">SMALL(IF('Raw Data'!A:A=C143,ROW('Raw Data'!A:A)),ROW('Raw Data'!$8:$8))</f>
        <v>#NUM!</v>
      </c>
      <c r="G151" t="e">
        <f t="array" ref="G151">INDEX('Raw Data'!A:A,F151,9)</f>
        <v>#NUM!</v>
      </c>
      <c r="H151" t="e">
        <f t="array" ref="H151">INDEX('Raw Data'!A:A,F151,10)</f>
        <v>#NUM!</v>
      </c>
      <c r="I151" t="e">
        <f t="array" ref="I151">INDEX('Raw Data'!$A:A,$F151,11)</f>
        <v>#NUM!</v>
      </c>
      <c r="J151" t="e">
        <f t="array" ref="J151">INDEX('Raw Data'!$A:A,F151,12)</f>
        <v>#NUM!</v>
      </c>
      <c r="K151" t="e">
        <f t="array" ref="K151">(--INDEX('Raw Data'!$A$4:B$998,F151,4))</f>
        <v>#NUM!</v>
      </c>
      <c r="L151" t="e">
        <f t="array" ref="L151">(--INDEX('Raw Data'!$A$4:B$998,F151,5))</f>
        <v>#NUM!</v>
      </c>
      <c r="M151" t="e">
        <f t="array" ref="M151">(--INDEX('Raw Data'!$A$4:D$998,$F151,6))</f>
        <v>#NUM!</v>
      </c>
      <c r="N151" t="e">
        <f t="array" ref="N151">(--INDEX('Raw Data'!$A$4:D$998,$F151,7))</f>
        <v>#NUM!</v>
      </c>
      <c r="O151" t="e">
        <f t="array" ref="O151">IF(--INDEX('Raw Data'!$A$4:E$998,$F151,8)= 0, 1, 0)</f>
        <v>#NUM!</v>
      </c>
      <c r="P151" t="e">
        <f t="array" ref="P151">IF(--INDEX('Raw Data'!$A$4:F$998,$F151,8)= 1, 1, 0)</f>
        <v>#NUM!</v>
      </c>
      <c r="Q151" t="e">
        <f t="array" ref="Q151">IF(--INDEX('Raw Data'!$A$4:G$998,$F151,13)= 1, 1, 0)</f>
        <v>#NUM!</v>
      </c>
      <c r="R151" t="e">
        <f t="array" ref="R151">IF(--INDEX('Raw Data'!$A$4:H$998,$F151,14)= 1, 1, 0)</f>
        <v>#NUM!</v>
      </c>
      <c r="S151" t="e">
        <f t="array" ref="S151">IF(--INDEX('Raw Data'!$A$4:I$998,$F151,15)= 1, 1, 0)</f>
        <v>#NUM!</v>
      </c>
      <c r="T151" t="e">
        <f t="array" ref="T151">IF(--INDEX('Raw Data'!$A$4:I$998,$F151,15)= 1, 1, 0)</f>
        <v>#NUM!</v>
      </c>
      <c r="U151" t="e">
        <f t="array" ref="U151">IF(--INDEX('Raw Data'!$A$4:J$998,$F151,16)= 1, 1, 0)</f>
        <v>#NUM!</v>
      </c>
      <c r="V151" t="e">
        <f t="array" ref="V151">IF(--INDEX('Raw Data'!$A$4:K$998,$F151,17)= 1, 1, 0)</f>
        <v>#NUM!</v>
      </c>
      <c r="W151" t="e">
        <f t="array" ref="W151">INDEX('Raw Data'!$A:$O,$F151,19)</f>
        <v>#NUM!</v>
      </c>
      <c r="X151" t="e">
        <f t="array" ref="X151">INDEX('Raw Data'!$A:$O,$F151,20)</f>
        <v>#NUM!</v>
      </c>
      <c r="Y151" t="e">
        <f t="array" ref="Y151">INDEX('Raw Data'!$A:$O,F151,21)</f>
        <v>#NUM!</v>
      </c>
      <c r="Z151" t="e">
        <f t="array" ref="Z151">INDEX('Raw Data'!$A:$O,$F151,3)</f>
        <v>#NUM!</v>
      </c>
      <c r="AA151" t="e">
        <f t="array" ref="AA151">INDEX('Raw Data'!$A:$O,$F151,22)</f>
        <v>#NUM!</v>
      </c>
      <c r="AB151" t="e">
        <f t="array" ref="AB151">INDEX('Raw Data'!$A:$O,$F151,23)</f>
        <v>#NUM!</v>
      </c>
    </row>
    <row r="152" spans="1:39" x14ac:dyDescent="0.25">
      <c r="F152" t="e">
        <f t="array" ref="F152">SMALL(IF('Raw Data'!A:A=C143,ROW('Raw Data'!A:A)),ROW('Raw Data'!$9:$9))</f>
        <v>#NUM!</v>
      </c>
      <c r="G152" t="e">
        <f t="array" ref="G152">INDEX('Raw Data'!A:A,F152,9)</f>
        <v>#NUM!</v>
      </c>
      <c r="H152" t="e">
        <f t="array" ref="H152">INDEX('Raw Data'!A:A,F152,10)</f>
        <v>#NUM!</v>
      </c>
      <c r="I152" t="e">
        <f t="array" ref="I152">INDEX('Raw Data'!$A:A,$F152,11)</f>
        <v>#NUM!</v>
      </c>
      <c r="J152" t="e">
        <f t="array" ref="J152">INDEX('Raw Data'!$A:A,F152,12)</f>
        <v>#NUM!</v>
      </c>
      <c r="K152" t="e">
        <f t="array" ref="K152">(--INDEX('Raw Data'!$A$4:B$998,F152,4))</f>
        <v>#NUM!</v>
      </c>
      <c r="L152" t="e">
        <f t="array" ref="L152">(--INDEX('Raw Data'!$A$4:B$998,F152,5))</f>
        <v>#NUM!</v>
      </c>
      <c r="M152" t="e">
        <f t="array" ref="M152">(--INDEX('Raw Data'!$A$4:D$998,$F152,6))</f>
        <v>#NUM!</v>
      </c>
      <c r="N152" t="e">
        <f t="array" ref="N152">(--INDEX('Raw Data'!$A$4:D$998,$F152,7))</f>
        <v>#NUM!</v>
      </c>
      <c r="O152" t="e">
        <f t="array" ref="O152">IF(--INDEX('Raw Data'!$A$4:E$998,$F152,8)= 0, 1, 0)</f>
        <v>#NUM!</v>
      </c>
      <c r="P152" t="e">
        <f t="array" ref="P152">IF(--INDEX('Raw Data'!$A$4:F$998,$F152,8)= 1, 1, 0)</f>
        <v>#NUM!</v>
      </c>
      <c r="Q152" t="e">
        <f t="array" ref="Q152">IF(--INDEX('Raw Data'!$A$4:G$998,$F152,13)= 1, 1, 0)</f>
        <v>#NUM!</v>
      </c>
      <c r="R152" t="e">
        <f t="array" ref="R152">IF(--INDEX('Raw Data'!$A$4:H$998,$F152,14)= 1, 1, 0)</f>
        <v>#NUM!</v>
      </c>
      <c r="S152" t="e">
        <f t="array" ref="S152">IF(--INDEX('Raw Data'!$A$4:I$998,$F152,15)= 1, 1, 0)</f>
        <v>#NUM!</v>
      </c>
      <c r="T152" t="e">
        <f t="array" ref="T152">IF(--INDEX('Raw Data'!$A$4:I$998,$F152,15)= 1, 1, 0)</f>
        <v>#NUM!</v>
      </c>
      <c r="U152" t="e">
        <f t="array" ref="U152">IF(--INDEX('Raw Data'!$A$4:J$998,$F152,16)= 1, 1, 0)</f>
        <v>#NUM!</v>
      </c>
      <c r="V152" t="e">
        <f t="array" ref="V152">IF(--INDEX('Raw Data'!$A$4:K$998,$F152,17)= 1, 1, 0)</f>
        <v>#NUM!</v>
      </c>
      <c r="W152" t="e">
        <f t="array" ref="W152">INDEX('Raw Data'!$A:$O,$F152,19)</f>
        <v>#NUM!</v>
      </c>
      <c r="X152" t="e">
        <f t="array" ref="X152">INDEX('Raw Data'!$A:$O,$F152,20)</f>
        <v>#NUM!</v>
      </c>
      <c r="Y152" t="e">
        <f t="array" ref="Y152">INDEX('Raw Data'!$A:$O,F152,21)</f>
        <v>#NUM!</v>
      </c>
      <c r="Z152" t="e">
        <f t="array" ref="Z152">INDEX('Raw Data'!$A:$O,$F152,3)</f>
        <v>#NUM!</v>
      </c>
      <c r="AA152" t="e">
        <f t="array" ref="AA152">INDEX('Raw Data'!$A:$O,$F152,22)</f>
        <v>#NUM!</v>
      </c>
      <c r="AB152" t="e">
        <f t="array" ref="AB152">INDEX('Raw Data'!$A:$O,$F152,23)</f>
        <v>#NUM!</v>
      </c>
    </row>
    <row r="153" spans="1:39" x14ac:dyDescent="0.25">
      <c r="F153" t="e">
        <f t="array" ref="F153">SMALL(IF('Raw Data'!A:A=C143,ROW('Raw Data'!A:A)),ROW('Raw Data'!$10:$10))</f>
        <v>#NUM!</v>
      </c>
      <c r="G153" t="e">
        <f t="array" ref="G153">INDEX('Raw Data'!A:A,F153,9)</f>
        <v>#NUM!</v>
      </c>
      <c r="H153" t="e">
        <f t="array" ref="H153">INDEX('Raw Data'!A:A,F153,10)</f>
        <v>#NUM!</v>
      </c>
      <c r="I153" t="e">
        <f t="array" ref="I153">INDEX('Raw Data'!$A:A,$F153,11)</f>
        <v>#NUM!</v>
      </c>
      <c r="J153" t="e">
        <f t="array" ref="J153">INDEX('Raw Data'!$A:A,F153,12)</f>
        <v>#NUM!</v>
      </c>
      <c r="K153" t="e">
        <f t="array" ref="K153">(--INDEX('Raw Data'!$A$4:B$998,F153,4))</f>
        <v>#NUM!</v>
      </c>
      <c r="L153" t="e">
        <f t="array" ref="L153">(--INDEX('Raw Data'!$A$4:B$998,F153,5))</f>
        <v>#NUM!</v>
      </c>
      <c r="M153" t="e">
        <f t="array" ref="M153">(--INDEX('Raw Data'!$A$4:D$998,$F153,6))</f>
        <v>#NUM!</v>
      </c>
      <c r="N153" t="e">
        <f t="array" ref="N153">(--INDEX('Raw Data'!$A$4:D$998,$F153,7))</f>
        <v>#NUM!</v>
      </c>
      <c r="O153" t="e">
        <f t="array" ref="O153">IF(--INDEX('Raw Data'!$A$4:E$998,$F153,8)= 0, 1, 0)</f>
        <v>#NUM!</v>
      </c>
      <c r="P153" t="e">
        <f t="array" ref="P153">IF(--INDEX('Raw Data'!$A$4:F$998,$F153,8)= 1, 1, 0)</f>
        <v>#NUM!</v>
      </c>
      <c r="Q153" t="e">
        <f t="array" ref="Q153">IF(--INDEX('Raw Data'!$A$4:G$998,$F153,13)= 1, 1, 0)</f>
        <v>#NUM!</v>
      </c>
      <c r="R153" t="e">
        <f t="array" ref="R153">IF(--INDEX('Raw Data'!$A$4:H$998,$F153,14)= 1, 1, 0)</f>
        <v>#NUM!</v>
      </c>
      <c r="S153" t="e">
        <f t="array" ref="S153">IF(--INDEX('Raw Data'!$A$4:I$998,$F153,15)= 1, 1, 0)</f>
        <v>#NUM!</v>
      </c>
      <c r="T153" t="e">
        <f t="array" ref="T153">IF(--INDEX('Raw Data'!$A$4:I$998,$F153,15)= 1, 1, 0)</f>
        <v>#NUM!</v>
      </c>
      <c r="U153" t="e">
        <f t="array" ref="U153">IF(--INDEX('Raw Data'!$A$4:J$998,$F153,16)= 1, 1, 0)</f>
        <v>#NUM!</v>
      </c>
      <c r="V153" t="e">
        <f t="array" ref="V153">IF(--INDEX('Raw Data'!$A$4:K$998,$F153,17)= 1, 1, 0)</f>
        <v>#NUM!</v>
      </c>
      <c r="W153" t="e">
        <f t="array" ref="W153">INDEX('Raw Data'!$A:$O,$F153,19)</f>
        <v>#NUM!</v>
      </c>
      <c r="X153" t="e">
        <f t="array" ref="X153">INDEX('Raw Data'!$A:$O,$F153,20)</f>
        <v>#NUM!</v>
      </c>
      <c r="Y153" t="e">
        <f t="array" ref="Y153">INDEX('Raw Data'!$A:$O,F153,21)</f>
        <v>#NUM!</v>
      </c>
      <c r="Z153" t="e">
        <f t="array" ref="Z153">INDEX('Raw Data'!$A:$O,$F153,3)</f>
        <v>#NUM!</v>
      </c>
      <c r="AA153" t="e">
        <f t="array" ref="AA153">INDEX('Raw Data'!$A:$O,$F153,22)</f>
        <v>#NUM!</v>
      </c>
      <c r="AB153" t="e">
        <f t="array" ref="AB153">INDEX('Raw Data'!$A:$O,$F153,23)</f>
        <v>#NUM!</v>
      </c>
    </row>
    <row r="154" spans="1:39" x14ac:dyDescent="0.25">
      <c r="F154" t="e">
        <f t="array" ref="F154">SMALL(IF('Raw Data'!A:A=C143,ROW('Raw Data'!A:A)),ROW('Raw Data'!$11:$11))</f>
        <v>#NUM!</v>
      </c>
      <c r="G154" t="e">
        <f t="array" ref="G154">INDEX('Raw Data'!A:A,F154,9)</f>
        <v>#NUM!</v>
      </c>
      <c r="H154" t="e">
        <f t="array" ref="H154">INDEX('Raw Data'!A:A,F154,10)</f>
        <v>#NUM!</v>
      </c>
      <c r="I154" t="e">
        <f t="array" ref="I154">INDEX('Raw Data'!$A:A,$F154,11)</f>
        <v>#NUM!</v>
      </c>
      <c r="J154" t="e">
        <f t="array" ref="J154">INDEX('Raw Data'!$A:A,F154,12)</f>
        <v>#NUM!</v>
      </c>
      <c r="K154" t="e">
        <f t="array" ref="K154">(--INDEX('Raw Data'!$A$4:B$998,F154,4))</f>
        <v>#NUM!</v>
      </c>
      <c r="L154" t="e">
        <f t="array" ref="L154">(--INDEX('Raw Data'!$A$4:B$998,F154,5))</f>
        <v>#NUM!</v>
      </c>
      <c r="M154" t="e">
        <f t="array" ref="M154">(--INDEX('Raw Data'!$A$4:D$998,$F154,6))</f>
        <v>#NUM!</v>
      </c>
      <c r="N154" t="e">
        <f t="array" ref="N154">(--INDEX('Raw Data'!$A$4:D$998,$F154,7))</f>
        <v>#NUM!</v>
      </c>
      <c r="O154" t="e">
        <f t="array" ref="O154">IF(--INDEX('Raw Data'!$A$4:E$998,$F154,8)= 0, 1, 0)</f>
        <v>#NUM!</v>
      </c>
      <c r="P154" t="e">
        <f t="array" ref="P154">IF(--INDEX('Raw Data'!$A$4:F$998,$F154,8)= 1, 1, 0)</f>
        <v>#NUM!</v>
      </c>
      <c r="Q154" t="e">
        <f t="array" ref="Q154">IF(--INDEX('Raw Data'!$A$4:G$998,$F154,13)= 1, 1, 0)</f>
        <v>#NUM!</v>
      </c>
      <c r="R154" t="e">
        <f t="array" ref="R154">IF(--INDEX('Raw Data'!$A$4:H$998,$F154,14)= 1, 1, 0)</f>
        <v>#NUM!</v>
      </c>
      <c r="S154" t="e">
        <f t="array" ref="S154">IF(--INDEX('Raw Data'!$A$4:I$998,$F154,15)= 1, 1, 0)</f>
        <v>#NUM!</v>
      </c>
      <c r="T154" t="e">
        <f t="array" ref="T154">IF(--INDEX('Raw Data'!$A$4:I$998,$F154,15)= 1, 1, 0)</f>
        <v>#NUM!</v>
      </c>
      <c r="U154" t="e">
        <f t="array" ref="U154">IF(--INDEX('Raw Data'!$A$4:J$998,$F154,16)= 1, 1, 0)</f>
        <v>#NUM!</v>
      </c>
      <c r="V154" t="e">
        <f t="array" ref="V154">IF(--INDEX('Raw Data'!$A$4:K$998,$F154,17)= 1, 1, 0)</f>
        <v>#NUM!</v>
      </c>
      <c r="W154" t="e">
        <f t="array" ref="W154">INDEX('Raw Data'!$A:$O,$F154,19)</f>
        <v>#NUM!</v>
      </c>
      <c r="X154" t="e">
        <f t="array" ref="X154">INDEX('Raw Data'!$A:$O,$F154,20)</f>
        <v>#NUM!</v>
      </c>
      <c r="Y154" t="e">
        <f t="array" ref="Y154">INDEX('Raw Data'!$A:$O,F154,21)</f>
        <v>#NUM!</v>
      </c>
      <c r="Z154" t="e">
        <f t="array" ref="Z154">INDEX('Raw Data'!$A:$O,$F154,3)</f>
        <v>#NUM!</v>
      </c>
      <c r="AA154" t="e">
        <f t="array" ref="AA154">INDEX('Raw Data'!$A:$O,$F154,22)</f>
        <v>#NUM!</v>
      </c>
      <c r="AB154" t="e">
        <f t="array" ref="AB154">INDEX('Raw Data'!$A:$O,$F154,23)</f>
        <v>#NUM!</v>
      </c>
    </row>
    <row r="155" spans="1:39" x14ac:dyDescent="0.25">
      <c r="F155" t="e">
        <f t="array" ref="F155">SMALL(IF('Raw Data'!A:A=C143,ROW('Raw Data'!A:A)),ROW('Raw Data'!$12:$12))</f>
        <v>#NUM!</v>
      </c>
      <c r="G155" t="e">
        <f t="array" ref="G155">INDEX('Raw Data'!A:A,F155,9)</f>
        <v>#NUM!</v>
      </c>
      <c r="H155" t="e">
        <f t="array" ref="H155">INDEX('Raw Data'!A:A,F155,10)</f>
        <v>#NUM!</v>
      </c>
      <c r="I155" t="e">
        <f t="array" ref="I155">INDEX('Raw Data'!$A:A,$F155,11)</f>
        <v>#NUM!</v>
      </c>
      <c r="J155" t="e">
        <f t="array" ref="J155">INDEX('Raw Data'!$A:A,F155,12)</f>
        <v>#NUM!</v>
      </c>
      <c r="K155" t="e">
        <f t="array" ref="K155">(--INDEX('Raw Data'!$A$4:B$998,F155,4))</f>
        <v>#NUM!</v>
      </c>
      <c r="L155" t="e">
        <f t="array" ref="L155">(--INDEX('Raw Data'!$A$4:B$998,F155,5))</f>
        <v>#NUM!</v>
      </c>
      <c r="M155" t="e">
        <f t="array" ref="M155">(--INDEX('Raw Data'!$A$4:D$998,$F155,6))</f>
        <v>#NUM!</v>
      </c>
      <c r="N155" t="e">
        <f t="array" ref="N155">(--INDEX('Raw Data'!$A$4:D$998,$F155,7))</f>
        <v>#NUM!</v>
      </c>
      <c r="O155" t="e">
        <f t="array" ref="O155">IF(--INDEX('Raw Data'!$A$4:E$998,$F155,8)= 0, 1, 0)</f>
        <v>#NUM!</v>
      </c>
      <c r="P155" t="e">
        <f t="array" ref="P155">IF(--INDEX('Raw Data'!$A$4:F$998,$F155,8)= 1, 1, 0)</f>
        <v>#NUM!</v>
      </c>
      <c r="Q155" t="e">
        <f t="array" ref="Q155">IF(--INDEX('Raw Data'!$A$4:G$998,$F155,13)= 1, 1, 0)</f>
        <v>#NUM!</v>
      </c>
      <c r="R155" t="e">
        <f t="array" ref="R155">IF(--INDEX('Raw Data'!$A$4:H$998,$F155,14)= 1, 1, 0)</f>
        <v>#NUM!</v>
      </c>
      <c r="S155" t="e">
        <f t="array" ref="S155">IF(--INDEX('Raw Data'!$A$4:I$998,$F155,15)= 1, 1, 0)</f>
        <v>#NUM!</v>
      </c>
      <c r="T155" t="e">
        <f t="array" ref="T155">IF(--INDEX('Raw Data'!$A$4:I$998,$F155,15)= 1, 1, 0)</f>
        <v>#NUM!</v>
      </c>
      <c r="U155" t="e">
        <f t="array" ref="U155">IF(--INDEX('Raw Data'!$A$4:J$998,$F155,16)= 1, 1, 0)</f>
        <v>#NUM!</v>
      </c>
      <c r="V155" t="e">
        <f t="array" ref="V155">IF(--INDEX('Raw Data'!$A$4:K$998,$F155,17)= 1, 1, 0)</f>
        <v>#NUM!</v>
      </c>
      <c r="W155" t="e">
        <f t="array" ref="W155">INDEX('Raw Data'!$A:$O,$F155,19)</f>
        <v>#NUM!</v>
      </c>
      <c r="X155" t="e">
        <f t="array" ref="X155">INDEX('Raw Data'!$A:$O,$F155,20)</f>
        <v>#NUM!</v>
      </c>
      <c r="Y155" t="e">
        <f t="array" ref="Y155">INDEX('Raw Data'!$A:$O,F155,21)</f>
        <v>#NUM!</v>
      </c>
      <c r="Z155" t="e">
        <f t="array" ref="Z155">INDEX('Raw Data'!$A:$O,$F155,3)</f>
        <v>#NUM!</v>
      </c>
      <c r="AA155" t="e">
        <f t="array" ref="AA155">INDEX('Raw Data'!$A:$O,$F155,22)</f>
        <v>#NUM!</v>
      </c>
      <c r="AB155" t="e">
        <f t="array" ref="AB155">INDEX('Raw Data'!$A:$O,$F155,23)</f>
        <v>#NUM!</v>
      </c>
    </row>
    <row r="156" spans="1:39" x14ac:dyDescent="0.25">
      <c r="F156" t="e">
        <f t="array" ref="F156">SMALL(IF('Raw Data'!A:A=C143,ROW('Raw Data'!A:A)),ROW('Raw Data'!$13:$13))</f>
        <v>#NUM!</v>
      </c>
      <c r="G156" t="e">
        <f t="array" ref="G156">INDEX('Raw Data'!A:A,F156,9)</f>
        <v>#NUM!</v>
      </c>
      <c r="H156" t="e">
        <f t="array" ref="H156">INDEX('Raw Data'!A:A,F156,10)</f>
        <v>#NUM!</v>
      </c>
      <c r="I156" t="e">
        <f t="array" ref="I156">INDEX('Raw Data'!$A:A,$F156,11)</f>
        <v>#NUM!</v>
      </c>
      <c r="J156" t="e">
        <f t="array" ref="J156">INDEX('Raw Data'!$A:A,F156,12)</f>
        <v>#NUM!</v>
      </c>
      <c r="K156" t="e">
        <f t="array" ref="K156">(--INDEX('Raw Data'!$A$4:B$998,F156,4))</f>
        <v>#NUM!</v>
      </c>
      <c r="L156" t="e">
        <f t="array" ref="L156">(--INDEX('Raw Data'!$A$4:B$998,F156,5))</f>
        <v>#NUM!</v>
      </c>
      <c r="M156" t="e">
        <f t="array" ref="M156">(--INDEX('Raw Data'!$A$4:D$998,$F156,6))</f>
        <v>#NUM!</v>
      </c>
      <c r="N156" t="e">
        <f t="array" ref="N156">(--INDEX('Raw Data'!$A$4:D$998,$F156,7))</f>
        <v>#NUM!</v>
      </c>
      <c r="O156" t="e">
        <f t="array" ref="O156">IF(--INDEX('Raw Data'!$A$4:E$998,$F156,8)= 0, 1, 0)</f>
        <v>#NUM!</v>
      </c>
      <c r="P156" t="e">
        <f t="array" ref="P156">IF(--INDEX('Raw Data'!$A$4:F$998,$F156,8)= 1, 1, 0)</f>
        <v>#NUM!</v>
      </c>
      <c r="Q156" t="e">
        <f t="array" ref="Q156">IF(--INDEX('Raw Data'!$A$4:G$998,$F156,13)= 1, 1, 0)</f>
        <v>#NUM!</v>
      </c>
      <c r="R156" t="e">
        <f t="array" ref="R156">IF(--INDEX('Raw Data'!$A$4:H$998,$F156,14)= 1, 1, 0)</f>
        <v>#NUM!</v>
      </c>
      <c r="S156" t="e">
        <f t="array" ref="S156">IF(--INDEX('Raw Data'!$A$4:I$998,$F156,15)= 1, 1, 0)</f>
        <v>#NUM!</v>
      </c>
      <c r="T156" t="e">
        <f t="array" ref="T156">IF(--INDEX('Raw Data'!$A$4:I$998,$F156,15)= 1, 1, 0)</f>
        <v>#NUM!</v>
      </c>
      <c r="U156" t="e">
        <f t="array" ref="U156">IF(--INDEX('Raw Data'!$A$4:J$998,$F156,16)= 1, 1, 0)</f>
        <v>#NUM!</v>
      </c>
      <c r="V156" t="e">
        <f t="array" ref="V156">IF(--INDEX('Raw Data'!$A$4:K$998,$F156,17)= 1, 1, 0)</f>
        <v>#NUM!</v>
      </c>
      <c r="W156" t="e">
        <f t="array" ref="W156">INDEX('Raw Data'!$A:$O,$F156,19)</f>
        <v>#NUM!</v>
      </c>
      <c r="X156" t="e">
        <f t="array" ref="X156">INDEX('Raw Data'!$A:$O,$F156,20)</f>
        <v>#NUM!</v>
      </c>
      <c r="Y156" t="e">
        <f t="array" ref="Y156">INDEX('Raw Data'!$A:$O,F156,21)</f>
        <v>#NUM!</v>
      </c>
      <c r="Z156" t="e">
        <f t="array" ref="Z156">INDEX('Raw Data'!$A:$O,$F156,3)</f>
        <v>#NUM!</v>
      </c>
      <c r="AA156" t="e">
        <f t="array" ref="AA156">INDEX('Raw Data'!$A:$O,$F156,22)</f>
        <v>#NUM!</v>
      </c>
      <c r="AB156" t="e">
        <f t="array" ref="AB156">INDEX('Raw Data'!$A:$O,$F156,23)</f>
        <v>#NUM!</v>
      </c>
    </row>
    <row r="157" spans="1:39" x14ac:dyDescent="0.25">
      <c r="F157" t="e">
        <f t="array" ref="F157">SMALL(IF('Raw Data'!A:A=C143,ROW('Raw Data'!A:A)),ROW('Raw Data'!$14:$14))</f>
        <v>#NUM!</v>
      </c>
      <c r="G157" t="e">
        <f t="array" ref="G157">INDEX('Raw Data'!A:A,F157,9)</f>
        <v>#NUM!</v>
      </c>
      <c r="H157" t="e">
        <f t="array" ref="H157">INDEX('Raw Data'!A:A,F157,10)</f>
        <v>#NUM!</v>
      </c>
      <c r="I157" t="e">
        <f t="array" ref="I157">INDEX('Raw Data'!$A:A,$F157,11)</f>
        <v>#NUM!</v>
      </c>
      <c r="J157" t="e">
        <f t="array" ref="J157">INDEX('Raw Data'!$A:A,F157,12)</f>
        <v>#NUM!</v>
      </c>
      <c r="K157" t="e">
        <f t="array" ref="K157">(--INDEX('Raw Data'!$A$4:B$998,F157,4))</f>
        <v>#NUM!</v>
      </c>
      <c r="L157" t="e">
        <f t="array" ref="L157">(--INDEX('Raw Data'!$A$4:B$998,F157,5))</f>
        <v>#NUM!</v>
      </c>
      <c r="M157" t="e">
        <f t="array" ref="M157">(--INDEX('Raw Data'!$A$4:D$998,$F157,6))</f>
        <v>#NUM!</v>
      </c>
      <c r="N157" t="e">
        <f t="array" ref="N157">(--INDEX('Raw Data'!$A$4:D$998,$F157,7))</f>
        <v>#NUM!</v>
      </c>
      <c r="O157" t="e">
        <f t="array" ref="O157">IF(--INDEX('Raw Data'!$A$4:E$998,$F157,8)= 0, 1, 0)</f>
        <v>#NUM!</v>
      </c>
      <c r="P157" t="e">
        <f t="array" ref="P157">IF(--INDEX('Raw Data'!$A$4:F$998,$F157,8)= 1, 1, 0)</f>
        <v>#NUM!</v>
      </c>
      <c r="Q157" t="e">
        <f t="array" ref="Q157">IF(--INDEX('Raw Data'!$A$4:G$998,$F157,13)= 1, 1, 0)</f>
        <v>#NUM!</v>
      </c>
      <c r="R157" t="e">
        <f t="array" ref="R157">IF(--INDEX('Raw Data'!$A$4:H$998,$F157,14)= 1, 1, 0)</f>
        <v>#NUM!</v>
      </c>
      <c r="S157" t="e">
        <f t="array" ref="S157">IF(--INDEX('Raw Data'!$A$4:I$998,$F157,15)= 1, 1, 0)</f>
        <v>#NUM!</v>
      </c>
      <c r="T157" t="e">
        <f t="array" ref="T157">IF(--INDEX('Raw Data'!$A$4:I$998,$F157,15)= 1, 1, 0)</f>
        <v>#NUM!</v>
      </c>
      <c r="U157" t="e">
        <f t="array" ref="U157">IF(--INDEX('Raw Data'!$A$4:J$998,$F157,16)= 1, 1, 0)</f>
        <v>#NUM!</v>
      </c>
      <c r="V157" t="e">
        <f t="array" ref="V157">IF(--INDEX('Raw Data'!$A$4:K$998,$F157,17)= 1, 1, 0)</f>
        <v>#NUM!</v>
      </c>
      <c r="W157" t="e">
        <f t="array" ref="W157">INDEX('Raw Data'!$A:$O,$F157,19)</f>
        <v>#NUM!</v>
      </c>
      <c r="X157" t="e">
        <f t="array" ref="X157">INDEX('Raw Data'!$A:$O,$F157,20)</f>
        <v>#NUM!</v>
      </c>
      <c r="Y157" t="e">
        <f t="array" ref="Y157">INDEX('Raw Data'!$A:$O,F157,21)</f>
        <v>#NUM!</v>
      </c>
      <c r="Z157" t="e">
        <f t="array" ref="Z157">INDEX('Raw Data'!$A:$O,$F157,3)</f>
        <v>#NUM!</v>
      </c>
      <c r="AA157" t="e">
        <f t="array" ref="AA157">INDEX('Raw Data'!$A:$O,$F157,22)</f>
        <v>#NUM!</v>
      </c>
      <c r="AB157" t="e">
        <f t="array" ref="AB157">INDEX('Raw Data'!$A:$O,$F157,23)</f>
        <v>#NUM!</v>
      </c>
    </row>
    <row r="158" spans="1:39" x14ac:dyDescent="0.25">
      <c r="F158" t="e">
        <f t="array" ref="F158">SMALL(IF('Raw Data'!A:A=C143,ROW('Raw Data'!A:A)),ROW('Raw Data'!$15:$15))</f>
        <v>#NUM!</v>
      </c>
      <c r="G158" t="e">
        <f t="array" ref="G158">INDEX('Raw Data'!A:A,F158,9)</f>
        <v>#NUM!</v>
      </c>
      <c r="H158" t="e">
        <f t="array" ref="H158">INDEX('Raw Data'!A:A,F158,10)</f>
        <v>#NUM!</v>
      </c>
      <c r="I158" t="e">
        <f t="array" ref="I158">INDEX('Raw Data'!$A:A,$F158,11)</f>
        <v>#NUM!</v>
      </c>
      <c r="J158" t="e">
        <f t="array" ref="J158">INDEX('Raw Data'!$A:A,F158,12)</f>
        <v>#NUM!</v>
      </c>
      <c r="K158" t="e">
        <f t="array" ref="K158">(--INDEX('Raw Data'!$A$4:B$998,F158,4))</f>
        <v>#NUM!</v>
      </c>
      <c r="L158" t="e">
        <f t="array" ref="L158">(--INDEX('Raw Data'!$A$4:B$998,F158,5))</f>
        <v>#NUM!</v>
      </c>
      <c r="M158" t="e">
        <f t="array" ref="M158">(--INDEX('Raw Data'!$A$4:D$998,$F158,6))</f>
        <v>#NUM!</v>
      </c>
      <c r="N158" t="e">
        <f t="array" ref="N158">(--INDEX('Raw Data'!$A$4:D$998,$F158,7))</f>
        <v>#NUM!</v>
      </c>
      <c r="O158" t="e">
        <f t="array" ref="O158">IF(--INDEX('Raw Data'!$A$4:E$998,$F158,8)= 0, 1, 0)</f>
        <v>#NUM!</v>
      </c>
      <c r="P158" t="e">
        <f t="array" ref="P158">IF(--INDEX('Raw Data'!$A$4:F$998,$F158,8)= 1, 1, 0)</f>
        <v>#NUM!</v>
      </c>
      <c r="Q158" t="e">
        <f t="array" ref="Q158">IF(--INDEX('Raw Data'!$A$4:G$998,$F158,13)= 1, 1, 0)</f>
        <v>#NUM!</v>
      </c>
      <c r="R158" t="e">
        <f t="array" ref="R158">IF(--INDEX('Raw Data'!$A$4:H$998,$F158,14)= 1, 1, 0)</f>
        <v>#NUM!</v>
      </c>
      <c r="S158" t="e">
        <f t="array" ref="S158">IF(--INDEX('Raw Data'!$A$4:I$998,$F158,15)= 1, 1, 0)</f>
        <v>#NUM!</v>
      </c>
      <c r="T158" t="e">
        <f t="array" ref="T158">IF(--INDEX('Raw Data'!$A$4:I$998,$F158,15)= 1, 1, 0)</f>
        <v>#NUM!</v>
      </c>
      <c r="U158" t="e">
        <f t="array" ref="U158">IF(--INDEX('Raw Data'!$A$4:J$998,$F158,16)= 1, 1, 0)</f>
        <v>#NUM!</v>
      </c>
      <c r="V158" t="e">
        <f t="array" ref="V158">IF(--INDEX('Raw Data'!$A$4:K$998,$F158,17)= 1, 1, 0)</f>
        <v>#NUM!</v>
      </c>
      <c r="W158" t="e">
        <f t="array" ref="W158">INDEX('Raw Data'!$A:$O,$F158,19)</f>
        <v>#NUM!</v>
      </c>
      <c r="X158" t="e">
        <f t="array" ref="X158">INDEX('Raw Data'!$A:$O,$F158,20)</f>
        <v>#NUM!</v>
      </c>
      <c r="Y158" t="e">
        <f t="array" ref="Y158">INDEX('Raw Data'!$A:$O,F158,21)</f>
        <v>#NUM!</v>
      </c>
      <c r="Z158" t="e">
        <f t="array" ref="Z158">INDEX('Raw Data'!$A:$O,$F158,3)</f>
        <v>#NUM!</v>
      </c>
      <c r="AA158" t="e">
        <f t="array" ref="AA158">INDEX('Raw Data'!$A:$O,$F158,22)</f>
        <v>#NUM!</v>
      </c>
      <c r="AB158" t="e">
        <f t="array" ref="AB158">INDEX('Raw Data'!$A:$O,$F158,23)</f>
        <v>#NUM!</v>
      </c>
    </row>
    <row r="159" spans="1:39" x14ac:dyDescent="0.25">
      <c r="A159" t="s">
        <v>55</v>
      </c>
      <c r="C159" s="2" t="e">
        <f>B149/B148</f>
        <v>#DIV/0!</v>
      </c>
      <c r="F159">
        <f t="array" ref="F159">COUNTIF(F144:F158,"&gt;0")</f>
        <v>0</v>
      </c>
      <c r="G159">
        <f t="array" ref="G159">SUMIF(G144:G158,"&gt;0")</f>
        <v>0</v>
      </c>
      <c r="H159">
        <f t="array" ref="H159">SUMIF(H144:H158,"&gt;0")</f>
        <v>0</v>
      </c>
      <c r="I159">
        <f t="array" ref="I159">SUMIF(I144:I158,"&gt;0")</f>
        <v>0</v>
      </c>
      <c r="J159">
        <f t="array" ref="J159">SUMIF(J144:J158,"&gt;0")</f>
        <v>0</v>
      </c>
      <c r="K159">
        <f t="array" ref="K159">SUMIF(K144:K158,"&gt;0")</f>
        <v>0</v>
      </c>
      <c r="L159">
        <f t="array" ref="L159">SUMIF(L144:L158,"&gt;0")</f>
        <v>0</v>
      </c>
      <c r="M159">
        <f t="array" ref="M159">SUMIF(M144:M158,"&gt;0")</f>
        <v>0</v>
      </c>
      <c r="N159">
        <f t="array" ref="N159">SUMIF(N144:N158,"&gt;0")</f>
        <v>0</v>
      </c>
      <c r="O159">
        <f t="array" ref="O159">SUMIF(O144:O158,"&gt;0")</f>
        <v>0</v>
      </c>
      <c r="P159">
        <f t="array" ref="P159">SUMIF(P144:P158,"&gt;0")</f>
        <v>0</v>
      </c>
      <c r="Q159">
        <f t="array" ref="Q159">SUMIF(Q144:Q158,"&gt;0")</f>
        <v>0</v>
      </c>
      <c r="R159">
        <f t="array" ref="R159">SUMIF(R144:R158,"&gt;0")</f>
        <v>0</v>
      </c>
      <c r="S159">
        <f t="array" ref="S159">SUMIF(S144:S158,"&gt;0")</f>
        <v>0</v>
      </c>
      <c r="T159">
        <f t="array" ref="T159">SUMIF(T144:T158,"&gt;0")</f>
        <v>0</v>
      </c>
      <c r="U159">
        <f t="array" ref="U159">SUMIF(U144:U158,"&gt;0")</f>
        <v>0</v>
      </c>
      <c r="V159">
        <f t="array" ref="V159">SUMIF(V144:V158,"&gt;0")</f>
        <v>0</v>
      </c>
      <c r="W159">
        <f t="array" ref="W159">SUMIF(W144:W158,"&gt;0")</f>
        <v>0</v>
      </c>
      <c r="X159">
        <f t="array" ref="X159">SUMIF(X144:X158,"&gt;0")</f>
        <v>0</v>
      </c>
      <c r="Y159">
        <f t="array" ref="Y159">SUMIF(Y144:Y158,"&gt;0")</f>
        <v>0</v>
      </c>
      <c r="Z159">
        <f t="array" ref="Z159">SUMIF(Z144:Z158,"&gt;0")</f>
        <v>0</v>
      </c>
      <c r="AA159">
        <f t="array" ref="AA159">SUMIF(AA144:AA158,"&gt;0")</f>
        <v>0</v>
      </c>
      <c r="AB159">
        <f t="array" ref="AB159">SUMIF(AB144:AB158,"&gt;0")</f>
        <v>0</v>
      </c>
    </row>
    <row r="160" spans="1:39" x14ac:dyDescent="0.25">
      <c r="A160" t="s">
        <v>58</v>
      </c>
      <c r="C160" s="2">
        <f t="array" ref="C160">IF((K159+L159)&lt;&gt;0, (L159/(K159+L159)),0)</f>
        <v>0</v>
      </c>
      <c r="J160" s="6">
        <f t="array" ref="J160">J159*10</f>
        <v>0</v>
      </c>
      <c r="K160"/>
      <c r="P160" t="s">
        <v>95</v>
      </c>
      <c r="Q160" s="2" t="e">
        <f t="array" ref="Q160">Q159/$F159</f>
        <v>#DIV/0!</v>
      </c>
      <c r="R160" s="2" t="e">
        <f t="array" ref="R160">R159/$F159</f>
        <v>#DIV/0!</v>
      </c>
      <c r="S160" s="2" t="e">
        <f t="array" ref="S160">S159/$F159</f>
        <v>#DIV/0!</v>
      </c>
      <c r="T160" s="2" t="e">
        <f t="array" ref="T160">T159/$F159</f>
        <v>#DIV/0!</v>
      </c>
      <c r="U160" s="2" t="e">
        <f t="array" ref="U160">U159/$F159</f>
        <v>#DIV/0!</v>
      </c>
      <c r="V160" s="2" t="e">
        <f t="array" ref="V160">V159/$F159</f>
        <v>#DIV/0!</v>
      </c>
      <c r="W160" s="2" t="e">
        <f t="array" ref="W160">W159/$F159</f>
        <v>#DIV/0!</v>
      </c>
      <c r="X160" s="2" t="e">
        <f t="array" ref="X160">X159/$F159</f>
        <v>#DIV/0!</v>
      </c>
      <c r="Z160" s="2" t="e">
        <f t="array" ref="Z160">Z159/F159</f>
        <v>#DIV/0!</v>
      </c>
    </row>
    <row r="161" spans="1:44" x14ac:dyDescent="0.25">
      <c r="A161" t="s">
        <v>60</v>
      </c>
      <c r="C161" s="2">
        <f t="array" ref="C161">IF((M159+N159)&lt;&gt;0, (N159/(M159+N159)),0)</f>
        <v>0</v>
      </c>
      <c r="J161"/>
      <c r="K161"/>
    </row>
    <row r="162" spans="1:44" ht="28.5" x14ac:dyDescent="0.45">
      <c r="A162" t="s">
        <v>61</v>
      </c>
      <c r="C162" s="2">
        <f t="array" ref="C162">IF(((K159+N159+L159+M159)&lt;&gt;0), ((L159+N159)/(K159+N159+L159+M159)),0)</f>
        <v>0</v>
      </c>
      <c r="F162" s="17" t="s">
        <v>106</v>
      </c>
      <c r="G162" s="17" t="e">
        <f t="array" ref="G162">'Weighting &amp; Ranking Sheet'!$B$3*Math!$C160+'Weighting &amp; Ranking Sheet'!$B$4*Math!$C161+'Weighting &amp; Ranking Sheet'!$B$5*Math!$C162+'Weighting &amp; Ranking Sheet'!$B$6*Math!$C163+'Weighting &amp; Ranking Sheet'!$B$7*Math!$C147+'Weighting &amp; Ranking Sheet'!$B$8*Math!$C159+'Weighting &amp; Ranking Sheet'!$B$9*Math!$C166+'Weighting &amp; Ranking Sheet'!$B$10*Math!$C164+'Weighting &amp; Ranking Sheet'!$B$11*Math!$C165+'Weighting &amp; Ranking Sheet'!$B$12*Math!$C167*0.01+'Weighting &amp; Ranking Sheet'!$B$13*Math!$Q160+'Weighting &amp; Ranking Sheet'!$B$14*Math!$R160+'Weighting &amp; Ranking Sheet'!$B$15*Math!$S160+'Weighting &amp; Ranking Sheet'!$B$16*Math!$T160+'Weighting &amp; Ranking Sheet'!$B$17*Math!$U160+'Weighting &amp; Ranking Sheet'!$B$18*Math!$V160+'Weighting &amp; Ranking Sheet'!$B$2*Math!$Z160</f>
        <v>#DIV/0!</v>
      </c>
      <c r="J162"/>
      <c r="K162"/>
    </row>
    <row r="163" spans="1:44" x14ac:dyDescent="0.25">
      <c r="A163" t="s">
        <v>62</v>
      </c>
      <c r="C163" s="2">
        <f t="array" ref="C163">IF((O159+P159&lt;&gt;0),(P159/(O159+P159)), 0)</f>
        <v>0</v>
      </c>
      <c r="J163"/>
      <c r="K163"/>
      <c r="AR163" s="25"/>
    </row>
    <row r="164" spans="1:44" x14ac:dyDescent="0.25">
      <c r="A164" t="s">
        <v>77</v>
      </c>
      <c r="C164" s="8" t="e">
        <f t="array" ref="C164">W159/F159</f>
        <v>#DIV/0!</v>
      </c>
      <c r="J164"/>
      <c r="K164"/>
      <c r="AR164" s="23"/>
    </row>
    <row r="165" spans="1:44" x14ac:dyDescent="0.25">
      <c r="A165" t="s">
        <v>78</v>
      </c>
      <c r="C165" s="8" t="e">
        <f t="array" ref="C165">X159/F159</f>
        <v>#DIV/0!</v>
      </c>
      <c r="J165"/>
      <c r="K165"/>
    </row>
    <row r="166" spans="1:44" x14ac:dyDescent="0.25">
      <c r="A166" t="s">
        <v>91</v>
      </c>
      <c r="C166" s="2" t="e">
        <f t="array" ref="C166">(C147+C159)/2</f>
        <v>#DIV/0!</v>
      </c>
      <c r="J166"/>
      <c r="K166"/>
    </row>
    <row r="167" spans="1:44" x14ac:dyDescent="0.25">
      <c r="A167" t="s">
        <v>92</v>
      </c>
      <c r="C167" s="8" t="e">
        <f t="array" ref="C167">Y159/F159</f>
        <v>#DIV/0!</v>
      </c>
      <c r="J167"/>
      <c r="K167"/>
    </row>
    <row r="168" spans="1:44" x14ac:dyDescent="0.25">
      <c r="C168" s="8"/>
      <c r="J168"/>
      <c r="K168"/>
    </row>
    <row r="169" spans="1:44" x14ac:dyDescent="0.25">
      <c r="C169" s="8"/>
      <c r="J169"/>
      <c r="K169"/>
    </row>
    <row r="170" spans="1:44" x14ac:dyDescent="0.25">
      <c r="K170" s="6"/>
    </row>
    <row r="171" spans="1:44" x14ac:dyDescent="0.25">
      <c r="A171" t="s">
        <v>3</v>
      </c>
      <c r="C171" s="5">
        <v>223</v>
      </c>
      <c r="F171" t="s">
        <v>10</v>
      </c>
    </row>
    <row r="172" spans="1:44" x14ac:dyDescent="0.25">
      <c r="F172" t="e">
        <f t="array" ref="F172">SMALL(IF('Raw Data'!A:A=C171,ROW('Raw Data'!A:A)),ROW('Raw Data'!$1:$1))</f>
        <v>#NUM!</v>
      </c>
      <c r="G172" t="e">
        <f t="array" ref="G172">INDEX('Raw Data'!A:A,F172,9)</f>
        <v>#NUM!</v>
      </c>
      <c r="H172" t="e">
        <f t="array" ref="H172">INDEX('Raw Data'!A:A,F172,10)</f>
        <v>#NUM!</v>
      </c>
      <c r="I172" t="e">
        <f t="array" ref="I172">INDEX('Raw Data'!$A:A,$F172,11)</f>
        <v>#NUM!</v>
      </c>
      <c r="J172" t="e">
        <f t="array" ref="J172">INDEX('Raw Data'!$A:A,F172,12)</f>
        <v>#NUM!</v>
      </c>
      <c r="K172" t="e">
        <f>(--INDEX('Raw Data'!$A$4:B$993,F172,4))</f>
        <v>#NUM!</v>
      </c>
      <c r="L172" t="e">
        <f t="array" ref="L172">(--INDEX('Raw Data'!$A$4:B$993,F172,5))</f>
        <v>#NUM!</v>
      </c>
      <c r="M172" t="e">
        <f t="array" ref="M172">(--INDEX('Raw Data'!$A$4:D$993,$F172,6))</f>
        <v>#NUM!</v>
      </c>
      <c r="N172" t="e">
        <f t="array" ref="N172">(--INDEX('Raw Data'!$A$4:D$993,$F172,7))</f>
        <v>#NUM!</v>
      </c>
      <c r="O172" t="e">
        <f t="array" ref="O172">IF(--INDEX('Raw Data'!$A$4:E$993,$F172,8)= 0, 1, 0)</f>
        <v>#NUM!</v>
      </c>
      <c r="P172" t="e">
        <f t="array" ref="P172">IF(--INDEX('Raw Data'!$A$4:F$993,$F172,8)= 1, 1, 0)</f>
        <v>#NUM!</v>
      </c>
      <c r="Q172" t="e">
        <f t="array" ref="Q172">IF(--INDEX('Raw Data'!$A$4:G$993,$F172,13)= 1, 1, 0)</f>
        <v>#NUM!</v>
      </c>
      <c r="R172" t="e">
        <f t="array" ref="R172">IF(--INDEX('Raw Data'!$A$4:H$993,$F172,14)= 1, 1, 0)</f>
        <v>#NUM!</v>
      </c>
      <c r="S172" t="e">
        <f t="array" ref="S172">IF(--INDEX('Raw Data'!$A$4:I$993,$F172,15)= 1, 1, 0)</f>
        <v>#NUM!</v>
      </c>
      <c r="T172" t="e">
        <f t="array" ref="T172">IF(--INDEX('Raw Data'!$A$4:I$993,$F172,15)= 1, 1, 0)</f>
        <v>#NUM!</v>
      </c>
      <c r="U172" t="e">
        <f t="array" ref="U172">IF(--INDEX('Raw Data'!$A$4:J$993,$F172,16)= 1, 1, 0)</f>
        <v>#NUM!</v>
      </c>
      <c r="V172" t="e">
        <f t="array" ref="V172">IF(--INDEX('Raw Data'!$A$4:K$993,$F172,17)= 1, 1, 0)</f>
        <v>#NUM!</v>
      </c>
      <c r="W172" t="e">
        <f t="array" ref="W172">INDEX('Raw Data'!$A:$O,$F172,19)</f>
        <v>#NUM!</v>
      </c>
      <c r="X172" t="e">
        <f t="array" ref="X172">INDEX('Raw Data'!$A:$O,$F172,20)</f>
        <v>#NUM!</v>
      </c>
      <c r="Y172" t="e">
        <f t="array" ref="Y172">INDEX('Raw Data'!$A:$O,F172,21)</f>
        <v>#NUM!</v>
      </c>
      <c r="Z172" t="e">
        <f t="array" ref="Z172">INDEX('Raw Data'!$A:$O,$F172,3)</f>
        <v>#NUM!</v>
      </c>
      <c r="AA172" t="e">
        <f t="array" ref="AA172">INDEX('Raw Data'!$A:$O,$F172,22)</f>
        <v>#NUM!</v>
      </c>
      <c r="AB172" t="e">
        <f t="array" ref="AB172">INDEX('Raw Data'!$A:$O,$F172,23)</f>
        <v>#NUM!</v>
      </c>
    </row>
    <row r="173" spans="1:44" x14ac:dyDescent="0.25">
      <c r="A173" t="s">
        <v>0</v>
      </c>
      <c r="B173">
        <f>G187</f>
        <v>0</v>
      </c>
      <c r="F173" t="e">
        <f t="array" ref="F173">SMALL(IF('Raw Data'!A:A=C171,ROW('Raw Data'!A:A)),ROW('Raw Data'!$2:$2))</f>
        <v>#NUM!</v>
      </c>
      <c r="G173" t="e">
        <f t="array" ref="G173">INDEX('Raw Data'!A:A,F173,9)</f>
        <v>#NUM!</v>
      </c>
      <c r="H173" t="e">
        <f t="array" ref="H173">INDEX('Raw Data'!A:A,F173,10)</f>
        <v>#NUM!</v>
      </c>
      <c r="I173" t="e">
        <f t="array" ref="I173">INDEX('Raw Data'!$A:A,$F173,11)</f>
        <v>#NUM!</v>
      </c>
      <c r="J173" t="e">
        <f t="array" ref="J173">INDEX('Raw Data'!$A:A,F173,12)</f>
        <v>#NUM!</v>
      </c>
      <c r="K173" t="e">
        <f>(--INDEX('Raw Data'!$A$4:B$993,F173,4))</f>
        <v>#NUM!</v>
      </c>
      <c r="L173" t="e">
        <f t="array" ref="L173">(--INDEX('Raw Data'!$A$4:B$993,F173,5))</f>
        <v>#NUM!</v>
      </c>
      <c r="M173" t="e">
        <f t="array" ref="M173">(--INDEX('Raw Data'!$A$4:D$993,$F173,6))</f>
        <v>#NUM!</v>
      </c>
      <c r="N173" t="e">
        <f t="array" ref="N173">(--INDEX('Raw Data'!$A$4:D$993,$F173,7))</f>
        <v>#NUM!</v>
      </c>
      <c r="O173" t="e">
        <f t="array" ref="O173">IF(--INDEX('Raw Data'!$A$4:E$993,$F173,8)= 0, 1, 0)</f>
        <v>#NUM!</v>
      </c>
      <c r="P173" t="e">
        <f t="array" ref="P173">IF(--INDEX('Raw Data'!$A$4:F$993,$F173,8)= 1, 1, 0)</f>
        <v>#NUM!</v>
      </c>
      <c r="Q173" t="e">
        <f t="array" ref="Q173">IF(--INDEX('Raw Data'!$A$4:G$993,$F173,13)= 1, 1, 0)</f>
        <v>#NUM!</v>
      </c>
      <c r="R173" t="e">
        <f t="array" ref="R173">IF(--INDEX('Raw Data'!$A$4:H$993,$F173,14)= 1, 1, 0)</f>
        <v>#NUM!</v>
      </c>
      <c r="S173" t="e">
        <f t="array" ref="S173">IF(--INDEX('Raw Data'!$A$4:I$993,$F173,15)= 1, 1, 0)</f>
        <v>#NUM!</v>
      </c>
      <c r="T173" t="e">
        <f t="array" ref="T173">IF(--INDEX('Raw Data'!$A$4:I$993,$F173,15)= 1, 1, 0)</f>
        <v>#NUM!</v>
      </c>
      <c r="U173" t="e">
        <f t="array" ref="U173">IF(--INDEX('Raw Data'!$A$4:J$993,$F173,16)= 1, 1, 0)</f>
        <v>#NUM!</v>
      </c>
      <c r="V173" t="e">
        <f t="array" ref="V173">IF(--INDEX('Raw Data'!$A$4:K$993,$F173,17)= 1, 1, 0)</f>
        <v>#NUM!</v>
      </c>
      <c r="W173" t="e">
        <f t="array" ref="W173">INDEX('Raw Data'!$A:$O,$F173,19)</f>
        <v>#NUM!</v>
      </c>
      <c r="X173" t="e">
        <f t="array" ref="X173">INDEX('Raw Data'!$A:$O,$F173,20)</f>
        <v>#NUM!</v>
      </c>
      <c r="Y173" t="e">
        <f t="array" ref="Y173">INDEX('Raw Data'!$A:$O,F173,21)</f>
        <v>#NUM!</v>
      </c>
      <c r="Z173" t="e">
        <f t="array" ref="Z173">INDEX('Raw Data'!$A:$O,$F173,3)</f>
        <v>#NUM!</v>
      </c>
      <c r="AA173" t="e">
        <f t="array" ref="AA173">INDEX('Raw Data'!$A:$O,$F173,22)</f>
        <v>#NUM!</v>
      </c>
      <c r="AB173" t="e">
        <f t="array" ref="AB173">INDEX('Raw Data'!$A:$O,$F173,23)</f>
        <v>#NUM!</v>
      </c>
    </row>
    <row r="174" spans="1:44" x14ac:dyDescent="0.25">
      <c r="A174" t="s">
        <v>1</v>
      </c>
      <c r="B174">
        <f>H187</f>
        <v>0</v>
      </c>
      <c r="F174" t="e">
        <f t="array" ref="F174">SMALL(IF('Raw Data'!A:A=C171,ROW('Raw Data'!A:A)),ROW('Raw Data'!$3:$3))</f>
        <v>#NUM!</v>
      </c>
      <c r="G174" t="e">
        <f t="array" ref="G174">INDEX('Raw Data'!A:A,F174,9)</f>
        <v>#NUM!</v>
      </c>
      <c r="H174" t="e">
        <f t="array" ref="H174">INDEX('Raw Data'!A:A,F174,10)</f>
        <v>#NUM!</v>
      </c>
      <c r="I174" t="e">
        <f t="array" ref="I174">INDEX('Raw Data'!$A:A,$F174,11)</f>
        <v>#NUM!</v>
      </c>
      <c r="J174" t="e">
        <f t="array" ref="J174">INDEX('Raw Data'!$A:A,F174,12)</f>
        <v>#NUM!</v>
      </c>
      <c r="K174" t="e">
        <f>(--INDEX('Raw Data'!$A$4:B$993,F174,4))</f>
        <v>#NUM!</v>
      </c>
      <c r="L174" t="e">
        <f t="array" ref="L174">(--INDEX('Raw Data'!$A$4:B$993,F174,5))</f>
        <v>#NUM!</v>
      </c>
      <c r="M174" t="e">
        <f t="array" ref="M174">(--INDEX('Raw Data'!$A$4:D$993,$F174,6))</f>
        <v>#NUM!</v>
      </c>
      <c r="N174" t="e">
        <f t="array" ref="N174">(--INDEX('Raw Data'!$A$4:D$993,$F174,7))</f>
        <v>#NUM!</v>
      </c>
      <c r="O174" t="e">
        <f t="array" ref="O174">IF(--INDEX('Raw Data'!$A$4:E$993,$F174,8)= 0, 1, 0)</f>
        <v>#NUM!</v>
      </c>
      <c r="P174" t="e">
        <f t="array" ref="P174">IF(--INDEX('Raw Data'!$A$4:F$993,$F174,8)= 1, 1, 0)</f>
        <v>#NUM!</v>
      </c>
      <c r="Q174" t="e">
        <f t="array" ref="Q174">IF(--INDEX('Raw Data'!$A$4:G$993,$F174,13)= 1, 1, 0)</f>
        <v>#NUM!</v>
      </c>
      <c r="R174" t="e">
        <f t="array" ref="R174">IF(--INDEX('Raw Data'!$A$4:H$993,$F174,14)= 1, 1, 0)</f>
        <v>#NUM!</v>
      </c>
      <c r="S174" t="e">
        <f t="array" ref="S174">IF(--INDEX('Raw Data'!$A$4:I$993,$F174,15)= 1, 1, 0)</f>
        <v>#NUM!</v>
      </c>
      <c r="T174" t="e">
        <f t="array" ref="T174">IF(--INDEX('Raw Data'!$A$4:I$993,$F174,15)= 1, 1, 0)</f>
        <v>#NUM!</v>
      </c>
      <c r="U174" t="e">
        <f t="array" ref="U174">IF(--INDEX('Raw Data'!$A$4:J$993,$F174,16)= 1, 1, 0)</f>
        <v>#NUM!</v>
      </c>
      <c r="V174" t="e">
        <f t="array" ref="V174">IF(--INDEX('Raw Data'!$A$4:K$993,$F174,17)= 1, 1, 0)</f>
        <v>#NUM!</v>
      </c>
      <c r="W174" t="e">
        <f t="array" ref="W174">INDEX('Raw Data'!$A:$O,$F174,19)</f>
        <v>#NUM!</v>
      </c>
      <c r="X174" t="e">
        <f t="array" ref="X174">INDEX('Raw Data'!$A:$O,$F174,20)</f>
        <v>#NUM!</v>
      </c>
      <c r="Y174" t="e">
        <f t="array" ref="Y174">INDEX('Raw Data'!$A:$O,F174,21)</f>
        <v>#NUM!</v>
      </c>
      <c r="Z174" t="e">
        <f t="array" ref="Z174">INDEX('Raw Data'!$A:$O,$F174,3)</f>
        <v>#NUM!</v>
      </c>
      <c r="AA174" t="e">
        <f t="array" ref="AA174">INDEX('Raw Data'!$A:$O,$F174,22)</f>
        <v>#NUM!</v>
      </c>
      <c r="AB174" t="e">
        <f t="array" ref="AB174">INDEX('Raw Data'!$A:$O,$F174,23)</f>
        <v>#NUM!</v>
      </c>
    </row>
    <row r="175" spans="1:44" x14ac:dyDescent="0.25">
      <c r="A175" t="s">
        <v>2</v>
      </c>
      <c r="C175" s="3" t="e">
        <f>B174/B173</f>
        <v>#DIV/0!</v>
      </c>
      <c r="F175" t="e">
        <f t="array" ref="F175">SMALL(IF('Raw Data'!A:A=C171,ROW('Raw Data'!A:A)),ROW('Raw Data'!$4:$4))</f>
        <v>#NUM!</v>
      </c>
      <c r="G175" t="e">
        <f t="array" ref="G175">INDEX('Raw Data'!A:A,F175,9)</f>
        <v>#NUM!</v>
      </c>
      <c r="H175" t="e">
        <f t="array" ref="H175">INDEX('Raw Data'!A:A,F175,10)</f>
        <v>#NUM!</v>
      </c>
      <c r="I175" t="e">
        <f t="array" ref="I175">INDEX('Raw Data'!$A:A,$F175,11)</f>
        <v>#NUM!</v>
      </c>
      <c r="J175" t="e">
        <f t="array" ref="J175">INDEX('Raw Data'!$A:A,F175,12)</f>
        <v>#NUM!</v>
      </c>
      <c r="K175" t="e">
        <f>(--INDEX('Raw Data'!$A$4:B$993,F175,4))</f>
        <v>#NUM!</v>
      </c>
      <c r="L175" t="e">
        <f t="array" ref="L175">(--INDEX('Raw Data'!$A$4:B$993,F175,5))</f>
        <v>#NUM!</v>
      </c>
      <c r="M175" t="e">
        <f t="array" ref="M175">(--INDEX('Raw Data'!$A$4:D$993,$F175,6))</f>
        <v>#NUM!</v>
      </c>
      <c r="N175" t="e">
        <f t="array" ref="N175">(--INDEX('Raw Data'!$A$4:D$993,$F175,7))</f>
        <v>#NUM!</v>
      </c>
      <c r="O175" t="e">
        <f t="array" ref="O175">IF(--INDEX('Raw Data'!$A$4:E$993,$F175,8)= 0, 1, 0)</f>
        <v>#NUM!</v>
      </c>
      <c r="P175" t="e">
        <f t="array" ref="P175">IF(--INDEX('Raw Data'!$A$4:F$993,$F175,8)= 1, 1, 0)</f>
        <v>#NUM!</v>
      </c>
      <c r="Q175" t="e">
        <f t="array" ref="Q175">IF(--INDEX('Raw Data'!$A$4:G$993,$F175,13)= 1, 1, 0)</f>
        <v>#NUM!</v>
      </c>
      <c r="R175" t="e">
        <f t="array" ref="R175">IF(--INDEX('Raw Data'!$A$4:H$993,$F175,14)= 1, 1, 0)</f>
        <v>#NUM!</v>
      </c>
      <c r="S175" t="e">
        <f t="array" ref="S175">IF(--INDEX('Raw Data'!$A$4:I$993,$F175,15)= 1, 1, 0)</f>
        <v>#NUM!</v>
      </c>
      <c r="T175" t="e">
        <f t="array" ref="T175">IF(--INDEX('Raw Data'!$A$4:I$993,$F175,15)= 1, 1, 0)</f>
        <v>#NUM!</v>
      </c>
      <c r="U175" t="e">
        <f t="array" ref="U175">IF(--INDEX('Raw Data'!$A$4:J$993,$F175,16)= 1, 1, 0)</f>
        <v>#NUM!</v>
      </c>
      <c r="V175" t="e">
        <f t="array" ref="V175">IF(--INDEX('Raw Data'!$A$4:K$993,$F175,17)= 1, 1, 0)</f>
        <v>#NUM!</v>
      </c>
      <c r="W175" t="e">
        <f t="array" ref="W175">INDEX('Raw Data'!$A:$O,$F175,19)</f>
        <v>#NUM!</v>
      </c>
      <c r="X175" t="e">
        <f t="array" ref="X175">INDEX('Raw Data'!$A:$O,$F175,20)</f>
        <v>#NUM!</v>
      </c>
      <c r="Y175" t="e">
        <f t="array" ref="Y175">INDEX('Raw Data'!$A:$O,F175,21)</f>
        <v>#NUM!</v>
      </c>
      <c r="Z175" t="e">
        <f t="array" ref="Z175">INDEX('Raw Data'!$A:$O,$F175,3)</f>
        <v>#NUM!</v>
      </c>
      <c r="AA175" t="e">
        <f t="array" ref="AA175">INDEX('Raw Data'!$A:$O,$F175,22)</f>
        <v>#NUM!</v>
      </c>
      <c r="AB175" t="e">
        <f t="array" ref="AB175">INDEX('Raw Data'!$A:$O,$F175,23)</f>
        <v>#NUM!</v>
      </c>
    </row>
    <row r="176" spans="1:44" x14ac:dyDescent="0.25">
      <c r="A176" t="s">
        <v>54</v>
      </c>
      <c r="B176">
        <f>I187</f>
        <v>0</v>
      </c>
      <c r="F176" t="e">
        <f t="array" ref="F176">SMALL(IF('Raw Data'!A:A=C171,ROW('Raw Data'!A:A)),ROW('Raw Data'!$5:$5))</f>
        <v>#NUM!</v>
      </c>
      <c r="G176" t="e">
        <f t="array" ref="G176">INDEX('Raw Data'!A:A,F176,9)</f>
        <v>#NUM!</v>
      </c>
      <c r="H176" t="e">
        <f t="array" ref="H176">INDEX('Raw Data'!A:A,F176,10)</f>
        <v>#NUM!</v>
      </c>
      <c r="I176" t="e">
        <f t="array" ref="I176">INDEX('Raw Data'!$A:A,$F176,11)</f>
        <v>#NUM!</v>
      </c>
      <c r="J176" t="e">
        <f t="array" ref="J176">INDEX('Raw Data'!$A:A,F176,12)</f>
        <v>#NUM!</v>
      </c>
      <c r="K176" t="e">
        <f>(--INDEX('Raw Data'!$A$4:B$993,F176,4))</f>
        <v>#NUM!</v>
      </c>
      <c r="L176" t="e">
        <f t="array" ref="L176">(--INDEX('Raw Data'!$A$4:B$993,F176,5))</f>
        <v>#NUM!</v>
      </c>
      <c r="M176" t="e">
        <f t="array" ref="M176">(--INDEX('Raw Data'!$A$4:D$993,$F176,6))</f>
        <v>#NUM!</v>
      </c>
      <c r="N176" t="e">
        <f t="array" ref="N176">(--INDEX('Raw Data'!$A$4:D$993,$F176,7))</f>
        <v>#NUM!</v>
      </c>
      <c r="O176" t="e">
        <f t="array" ref="O176">IF(--INDEX('Raw Data'!$A$4:E$993,$F176,8)= 0, 1, 0)</f>
        <v>#NUM!</v>
      </c>
      <c r="P176" t="e">
        <f t="array" ref="P176">IF(--INDEX('Raw Data'!$A$4:F$993,$F176,8)= 1, 1, 0)</f>
        <v>#NUM!</v>
      </c>
      <c r="Q176" t="e">
        <f t="array" ref="Q176">IF(--INDEX('Raw Data'!$A$4:G$993,$F176,13)= 1, 1, 0)</f>
        <v>#NUM!</v>
      </c>
      <c r="R176" t="e">
        <f t="array" ref="R176">IF(--INDEX('Raw Data'!$A$4:H$993,$F176,14)= 1, 1, 0)</f>
        <v>#NUM!</v>
      </c>
      <c r="S176" t="e">
        <f t="array" ref="S176">IF(--INDEX('Raw Data'!$A$4:I$993,$F176,15)= 1, 1, 0)</f>
        <v>#NUM!</v>
      </c>
      <c r="T176" t="e">
        <f t="array" ref="T176">IF(--INDEX('Raw Data'!$A$4:I$993,$F176,15)= 1, 1, 0)</f>
        <v>#NUM!</v>
      </c>
      <c r="U176" t="e">
        <f t="array" ref="U176">IF(--INDEX('Raw Data'!$A$4:J$993,$F176,16)= 1, 1, 0)</f>
        <v>#NUM!</v>
      </c>
      <c r="V176" t="e">
        <f t="array" ref="V176">IF(--INDEX('Raw Data'!$A$4:K$993,$F176,17)= 1, 1, 0)</f>
        <v>#NUM!</v>
      </c>
      <c r="W176" t="e">
        <f t="array" ref="W176">INDEX('Raw Data'!$A:$O,$F176,19)</f>
        <v>#NUM!</v>
      </c>
      <c r="X176" t="e">
        <f t="array" ref="X176">INDEX('Raw Data'!$A:$O,$F176,20)</f>
        <v>#NUM!</v>
      </c>
      <c r="Y176" t="e">
        <f t="array" ref="Y176">INDEX('Raw Data'!$A:$O,F176,21)</f>
        <v>#NUM!</v>
      </c>
      <c r="Z176" t="e">
        <f t="array" ref="Z176">INDEX('Raw Data'!$A:$O,$F176,3)</f>
        <v>#NUM!</v>
      </c>
      <c r="AA176" t="e">
        <f t="array" ref="AA176">INDEX('Raw Data'!$A:$O,$F176,22)</f>
        <v>#NUM!</v>
      </c>
      <c r="AB176" t="e">
        <f t="array" ref="AB176">INDEX('Raw Data'!$A:$O,$F176,23)</f>
        <v>#NUM!</v>
      </c>
    </row>
    <row r="177" spans="1:44" x14ac:dyDescent="0.25">
      <c r="A177" t="s">
        <v>35</v>
      </c>
      <c r="B177">
        <f>J187</f>
        <v>0</v>
      </c>
      <c r="F177" t="e">
        <f t="array" ref="F177">SMALL(IF('Raw Data'!A:A=C171,ROW('Raw Data'!A:A)),ROW('Raw Data'!$6:$6))</f>
        <v>#NUM!</v>
      </c>
      <c r="G177" t="e">
        <f t="array" ref="G177">INDEX('Raw Data'!A:A,F177,9)</f>
        <v>#NUM!</v>
      </c>
      <c r="H177" t="e">
        <f t="array" ref="H177">INDEX('Raw Data'!A:A,F177,10)</f>
        <v>#NUM!</v>
      </c>
      <c r="I177" t="e">
        <f t="array" ref="I177">INDEX('Raw Data'!$A:A,$F177,11)</f>
        <v>#NUM!</v>
      </c>
      <c r="J177" t="e">
        <f t="array" ref="J177">INDEX('Raw Data'!$A:A,F177,12)</f>
        <v>#NUM!</v>
      </c>
      <c r="K177" t="e">
        <f>(--INDEX('Raw Data'!$A$4:B$993,F177,4))</f>
        <v>#NUM!</v>
      </c>
      <c r="L177" t="e">
        <f t="array" ref="L177">(--INDEX('Raw Data'!$A$4:B$998,F177,5))</f>
        <v>#NUM!</v>
      </c>
      <c r="M177" t="e">
        <f t="array" ref="M177">(--INDEX('Raw Data'!$A$4:D$998,$F177,6))</f>
        <v>#NUM!</v>
      </c>
      <c r="N177" t="e">
        <f t="array" ref="N177">(--INDEX('Raw Data'!$A$4:D$993,$F177,7))</f>
        <v>#NUM!</v>
      </c>
      <c r="O177" t="e">
        <f t="array" ref="O177">IF(--INDEX('Raw Data'!$A$4:E$993,$F177,8)= 0, 1, 0)</f>
        <v>#NUM!</v>
      </c>
      <c r="P177" t="e">
        <f t="array" ref="P177">IF(--INDEX('Raw Data'!$A$4:F$998,$F177,8)= 1, 1, 0)</f>
        <v>#NUM!</v>
      </c>
      <c r="Q177" t="e">
        <f t="array" ref="Q177">IF(--INDEX('Raw Data'!$A$4:G$998,$F177,13)= 1, 1, 0)</f>
        <v>#NUM!</v>
      </c>
      <c r="R177" t="e">
        <f t="array" ref="R177">IF(--INDEX('Raw Data'!$A$4:H$998,$F177,14)= 1, 1, 0)</f>
        <v>#NUM!</v>
      </c>
      <c r="S177" t="e">
        <f t="array" ref="S177">IF(--INDEX('Raw Data'!$A$4:I$993,$F177,15)= 1, 1, 0)</f>
        <v>#NUM!</v>
      </c>
      <c r="T177" t="e">
        <f t="array" ref="T177">IF(--INDEX('Raw Data'!$A$4:I$998,$F177,15)= 1, 1, 0)</f>
        <v>#NUM!</v>
      </c>
      <c r="U177" t="e">
        <f t="array" ref="U177">IF(--INDEX('Raw Data'!$A$4:J$998,$F177,16)= 1, 1, 0)</f>
        <v>#NUM!</v>
      </c>
      <c r="V177" t="e">
        <f t="array" ref="V177">IF(--INDEX('Raw Data'!$A$4:K$993,$F177,17)= 1, 1, 0)</f>
        <v>#NUM!</v>
      </c>
      <c r="W177" t="e">
        <f t="array" ref="W177">INDEX('Raw Data'!$A:$O,$F177,19)</f>
        <v>#NUM!</v>
      </c>
      <c r="X177" t="e">
        <f t="array" ref="X177">INDEX('Raw Data'!$A:$O,$F177,20)</f>
        <v>#NUM!</v>
      </c>
      <c r="Y177" t="e">
        <f t="array" ref="Y177">INDEX('Raw Data'!$A:$O,F177,21)</f>
        <v>#NUM!</v>
      </c>
      <c r="Z177" t="e">
        <f t="array" ref="Z177">INDEX('Raw Data'!$A:$O,$F177,3)</f>
        <v>#NUM!</v>
      </c>
      <c r="AA177" t="e">
        <f t="array" ref="AA177">INDEX('Raw Data'!$A:$O,$F177,22)</f>
        <v>#NUM!</v>
      </c>
      <c r="AB177" t="e">
        <f t="array" ref="AB177">INDEX('Raw Data'!$A:$O,$F177,23)</f>
        <v>#NUM!</v>
      </c>
    </row>
    <row r="178" spans="1:44" ht="28.5" x14ac:dyDescent="0.45">
      <c r="F178" t="e">
        <f t="array" ref="F178">SMALL(IF('Raw Data'!A:A=C171,ROW('Raw Data'!A:A)),ROW('Raw Data'!$7:$7))</f>
        <v>#NUM!</v>
      </c>
      <c r="G178" t="e">
        <f t="array" ref="G178">INDEX('Raw Data'!A:A,F178,9)</f>
        <v>#NUM!</v>
      </c>
      <c r="H178" t="e">
        <f t="array" ref="H178">INDEX('Raw Data'!A:A,F178,10)</f>
        <v>#NUM!</v>
      </c>
      <c r="I178" t="e">
        <f t="array" ref="I178">INDEX('Raw Data'!$A:A,$F178,11)</f>
        <v>#NUM!</v>
      </c>
      <c r="J178" t="e">
        <f t="array" ref="J178">INDEX('Raw Data'!$A:A,F178,12)</f>
        <v>#NUM!</v>
      </c>
      <c r="K178" t="e">
        <f t="array" ref="K178">(--INDEX('Raw Data'!$A$4:B$998,F178,4))</f>
        <v>#NUM!</v>
      </c>
      <c r="L178" t="e">
        <f t="array" ref="L178">(--INDEX('Raw Data'!$A$4:B$998,F178,5))</f>
        <v>#NUM!</v>
      </c>
      <c r="M178" t="e">
        <f t="array" ref="M178">(--INDEX('Raw Data'!$A$4:D$998,$F178,6))</f>
        <v>#NUM!</v>
      </c>
      <c r="N178" t="e">
        <f t="array" ref="N178">(--INDEX('Raw Data'!$A$4:D$998,$F178,7))</f>
        <v>#NUM!</v>
      </c>
      <c r="O178" t="e">
        <f t="array" ref="O178">IF(--INDEX('Raw Data'!$A$4:E$998,$F178,8)= 0, 1, 0)</f>
        <v>#NUM!</v>
      </c>
      <c r="P178" t="e">
        <f t="array" ref="P178">IF(--INDEX('Raw Data'!$A$4:F$998,$F178,8)= 1, 1, 0)</f>
        <v>#NUM!</v>
      </c>
      <c r="Q178" t="e">
        <f t="array" ref="Q178">IF(--INDEX('Raw Data'!$A$4:G$998,$F178,13)= 1, 1, 0)</f>
        <v>#NUM!</v>
      </c>
      <c r="R178" t="e">
        <f t="array" ref="R178">IF(--INDEX('Raw Data'!$A$4:H$998,$F178,14)= 1, 1, 0)</f>
        <v>#NUM!</v>
      </c>
      <c r="S178" t="e">
        <f t="array" ref="S178">IF(--INDEX('Raw Data'!$A$4:I$998,$F178,15)= 1, 1, 0)</f>
        <v>#NUM!</v>
      </c>
      <c r="T178" t="e">
        <f t="array" ref="T178">IF(--INDEX('Raw Data'!$A$4:I$998,$F178,15)= 1, 1, 0)</f>
        <v>#NUM!</v>
      </c>
      <c r="U178" t="e">
        <f t="array" ref="U178">IF(--INDEX('Raw Data'!$A$4:J$998,$F178,16)= 1, 1, 0)</f>
        <v>#NUM!</v>
      </c>
      <c r="V178" t="e">
        <f t="array" ref="V178">IF(--INDEX('Raw Data'!$A$4:K$998,$F178,17)= 1, 1, 0)</f>
        <v>#NUM!</v>
      </c>
      <c r="W178" t="e">
        <f t="array" ref="W178">INDEX('Raw Data'!$A:$O,$F178,19)</f>
        <v>#NUM!</v>
      </c>
      <c r="X178" t="e">
        <f t="array" ref="X178">INDEX('Raw Data'!$A:$O,$F178,20)</f>
        <v>#NUM!</v>
      </c>
      <c r="Y178" t="e">
        <f t="array" ref="Y178">INDEX('Raw Data'!$A:$O,F178,21)</f>
        <v>#NUM!</v>
      </c>
      <c r="Z178" t="e">
        <f t="array" ref="Z178">INDEX('Raw Data'!$A:$O,$F178,3)</f>
        <v>#NUM!</v>
      </c>
      <c r="AA178" t="e">
        <f t="array" ref="AA178">INDEX('Raw Data'!$A:$O,$F178,22)</f>
        <v>#NUM!</v>
      </c>
      <c r="AB178" t="e">
        <f t="array" ref="AB178">INDEX('Raw Data'!$A:$O,$F178,23)</f>
        <v>#NUM!</v>
      </c>
      <c r="AM178" s="21"/>
    </row>
    <row r="179" spans="1:44" x14ac:dyDescent="0.25">
      <c r="F179" t="e">
        <f t="array" ref="F179">SMALL(IF('Raw Data'!A:A=C171,ROW('Raw Data'!A:A)),ROW('Raw Data'!$8:$8))</f>
        <v>#NUM!</v>
      </c>
      <c r="G179" t="e">
        <f t="array" ref="G179">INDEX('Raw Data'!A:A,F179,9)</f>
        <v>#NUM!</v>
      </c>
      <c r="H179" t="e">
        <f t="array" ref="H179">INDEX('Raw Data'!A:A,F179,10)</f>
        <v>#NUM!</v>
      </c>
      <c r="I179" t="e">
        <f t="array" ref="I179">INDEX('Raw Data'!$A:A,$F179,11)</f>
        <v>#NUM!</v>
      </c>
      <c r="J179" t="e">
        <f t="array" ref="J179">INDEX('Raw Data'!$A:A,F179,12)</f>
        <v>#NUM!</v>
      </c>
      <c r="K179" t="e">
        <f t="array" ref="K179">(--INDEX('Raw Data'!$A$4:B$998,F179,4))</f>
        <v>#NUM!</v>
      </c>
      <c r="L179" t="e">
        <f t="array" ref="L179">(--INDEX('Raw Data'!$A$4:B$998,F179,5))</f>
        <v>#NUM!</v>
      </c>
      <c r="M179" t="e">
        <f t="array" ref="M179">(--INDEX('Raw Data'!$A$4:D$998,$F179,6))</f>
        <v>#NUM!</v>
      </c>
      <c r="N179" t="e">
        <f t="array" ref="N179">(--INDEX('Raw Data'!$A$4:D$998,$F179,7))</f>
        <v>#NUM!</v>
      </c>
      <c r="O179" t="e">
        <f t="array" ref="O179">IF(--INDEX('Raw Data'!$A$4:E$998,$F179,8)= 0, 1, 0)</f>
        <v>#NUM!</v>
      </c>
      <c r="P179" t="e">
        <f t="array" ref="P179">IF(--INDEX('Raw Data'!$A$4:F$998,$F179,8)= 1, 1, 0)</f>
        <v>#NUM!</v>
      </c>
      <c r="Q179" t="e">
        <f t="array" ref="Q179">IF(--INDEX('Raw Data'!$A$4:G$998,$F179,13)= 1, 1, 0)</f>
        <v>#NUM!</v>
      </c>
      <c r="R179" t="e">
        <f t="array" ref="R179">IF(--INDEX('Raw Data'!$A$4:H$998,$F179,14)= 1, 1, 0)</f>
        <v>#NUM!</v>
      </c>
      <c r="S179" t="e">
        <f t="array" ref="S179">IF(--INDEX('Raw Data'!$A$4:I$998,$F179,15)= 1, 1, 0)</f>
        <v>#NUM!</v>
      </c>
      <c r="T179" t="e">
        <f t="array" ref="T179">IF(--INDEX('Raw Data'!$A$4:I$998,$F179,15)= 1, 1, 0)</f>
        <v>#NUM!</v>
      </c>
      <c r="U179" t="e">
        <f t="array" ref="U179">IF(--INDEX('Raw Data'!$A$4:J$998,$F179,16)= 1, 1, 0)</f>
        <v>#NUM!</v>
      </c>
      <c r="V179" t="e">
        <f t="array" ref="V179">IF(--INDEX('Raw Data'!$A$4:K$998,$F179,17)= 1, 1, 0)</f>
        <v>#NUM!</v>
      </c>
      <c r="W179" t="e">
        <f t="array" ref="W179">INDEX('Raw Data'!$A:$O,$F179,19)</f>
        <v>#NUM!</v>
      </c>
      <c r="X179" t="e">
        <f t="array" ref="X179">INDEX('Raw Data'!$A:$O,$F179,20)</f>
        <v>#NUM!</v>
      </c>
      <c r="Y179" t="e">
        <f t="array" ref="Y179">INDEX('Raw Data'!$A:$O,F179,21)</f>
        <v>#NUM!</v>
      </c>
      <c r="Z179" t="e">
        <f t="array" ref="Z179">INDEX('Raw Data'!$A:$O,$F179,3)</f>
        <v>#NUM!</v>
      </c>
      <c r="AA179" t="e">
        <f t="array" ref="AA179">INDEX('Raw Data'!$A:$O,$F179,22)</f>
        <v>#NUM!</v>
      </c>
      <c r="AB179" t="e">
        <f t="array" ref="AB179">INDEX('Raw Data'!$A:$O,$F179,23)</f>
        <v>#NUM!</v>
      </c>
    </row>
    <row r="180" spans="1:44" x14ac:dyDescent="0.25">
      <c r="F180" t="e">
        <f t="array" ref="F180">SMALL(IF('Raw Data'!A:A=C171,ROW('Raw Data'!A:A)),ROW('Raw Data'!$9:$9))</f>
        <v>#NUM!</v>
      </c>
      <c r="G180" t="e">
        <f t="array" ref="G180">INDEX('Raw Data'!A:A,F180,9)</f>
        <v>#NUM!</v>
      </c>
      <c r="H180" t="e">
        <f t="array" ref="H180">INDEX('Raw Data'!A:A,F180,10)</f>
        <v>#NUM!</v>
      </c>
      <c r="I180" t="e">
        <f t="array" ref="I180">INDEX('Raw Data'!$A:A,$F180,11)</f>
        <v>#NUM!</v>
      </c>
      <c r="J180" t="e">
        <f t="array" ref="J180">INDEX('Raw Data'!$A:A,F180,12)</f>
        <v>#NUM!</v>
      </c>
      <c r="K180" t="e">
        <f t="array" ref="K180">(--INDEX('Raw Data'!$A$4:B$998,F180,4))</f>
        <v>#NUM!</v>
      </c>
      <c r="L180" t="e">
        <f t="array" ref="L180">(--INDEX('Raw Data'!$A$4:B$998,F180,5))</f>
        <v>#NUM!</v>
      </c>
      <c r="M180" t="e">
        <f t="array" ref="M180">(--INDEX('Raw Data'!$A$4:D$998,$F180,6))</f>
        <v>#NUM!</v>
      </c>
      <c r="N180" t="e">
        <f t="array" ref="N180">(--INDEX('Raw Data'!$A$4:D$998,$F180,7))</f>
        <v>#NUM!</v>
      </c>
      <c r="O180" t="e">
        <f t="array" ref="O180">IF(--INDEX('Raw Data'!$A$4:E$998,$F180,8)= 0, 1, 0)</f>
        <v>#NUM!</v>
      </c>
      <c r="P180" t="e">
        <f t="array" ref="P180">IF(--INDEX('Raw Data'!$A$4:F$998,$F180,8)= 1, 1, 0)</f>
        <v>#NUM!</v>
      </c>
      <c r="Q180" t="e">
        <f t="array" ref="Q180">IF(--INDEX('Raw Data'!$A$4:G$998,$F180,13)= 1, 1, 0)</f>
        <v>#NUM!</v>
      </c>
      <c r="R180" t="e">
        <f t="array" ref="R180">IF(--INDEX('Raw Data'!$A$4:H$998,$F180,14)= 1, 1, 0)</f>
        <v>#NUM!</v>
      </c>
      <c r="S180" t="e">
        <f t="array" ref="S180">IF(--INDEX('Raw Data'!$A$4:I$998,$F180,15)= 1, 1, 0)</f>
        <v>#NUM!</v>
      </c>
      <c r="T180" t="e">
        <f t="array" ref="T180">IF(--INDEX('Raw Data'!$A$4:I$998,$F180,15)= 1, 1, 0)</f>
        <v>#NUM!</v>
      </c>
      <c r="U180" t="e">
        <f t="array" ref="U180">IF(--INDEX('Raw Data'!$A$4:J$998,$F180,16)= 1, 1, 0)</f>
        <v>#NUM!</v>
      </c>
      <c r="V180" t="e">
        <f t="array" ref="V180">IF(--INDEX('Raw Data'!$A$4:K$998,$F180,17)= 1, 1, 0)</f>
        <v>#NUM!</v>
      </c>
      <c r="W180" t="e">
        <f t="array" ref="W180">INDEX('Raw Data'!$A:$O,$F180,19)</f>
        <v>#NUM!</v>
      </c>
      <c r="X180" t="e">
        <f t="array" ref="X180">INDEX('Raw Data'!$A:$O,$F180,20)</f>
        <v>#NUM!</v>
      </c>
      <c r="Y180" t="e">
        <f t="array" ref="Y180">INDEX('Raw Data'!$A:$O,F180,21)</f>
        <v>#NUM!</v>
      </c>
      <c r="Z180" t="e">
        <f t="array" ref="Z180">INDEX('Raw Data'!$A:$O,$F180,3)</f>
        <v>#NUM!</v>
      </c>
      <c r="AA180" t="e">
        <f t="array" ref="AA180">INDEX('Raw Data'!$A:$O,$F180,22)</f>
        <v>#NUM!</v>
      </c>
      <c r="AB180" t="e">
        <f t="array" ref="AB180">INDEX('Raw Data'!$A:$O,$F180,23)</f>
        <v>#NUM!</v>
      </c>
    </row>
    <row r="181" spans="1:44" x14ac:dyDescent="0.25">
      <c r="F181" t="e">
        <f t="array" ref="F181">SMALL(IF('Raw Data'!A:A=C171,ROW('Raw Data'!A:A)),ROW('Raw Data'!$10:$10))</f>
        <v>#NUM!</v>
      </c>
      <c r="G181" t="e">
        <f t="array" ref="G181">INDEX('Raw Data'!A:A,F181,9)</f>
        <v>#NUM!</v>
      </c>
      <c r="H181" t="e">
        <f t="array" ref="H181">INDEX('Raw Data'!A:A,F181,10)</f>
        <v>#NUM!</v>
      </c>
      <c r="I181" t="e">
        <f t="array" ref="I181">INDEX('Raw Data'!$A:A,$F181,11)</f>
        <v>#NUM!</v>
      </c>
      <c r="J181" t="e">
        <f t="array" ref="J181">INDEX('Raw Data'!$A:A,F181,12)</f>
        <v>#NUM!</v>
      </c>
      <c r="K181" t="e">
        <f t="array" ref="K181">(--INDEX('Raw Data'!$A$4:B$998,F181,4))</f>
        <v>#NUM!</v>
      </c>
      <c r="L181" t="e">
        <f t="array" ref="L181">(--INDEX('Raw Data'!$A$4:B$998,F181,5))</f>
        <v>#NUM!</v>
      </c>
      <c r="M181" t="e">
        <f t="array" ref="M181">(--INDEX('Raw Data'!$A$4:D$998,$F181,6))</f>
        <v>#NUM!</v>
      </c>
      <c r="N181" t="e">
        <f t="array" ref="N181">(--INDEX('Raw Data'!$A$4:D$998,$F181,7))</f>
        <v>#NUM!</v>
      </c>
      <c r="O181" t="e">
        <f t="array" ref="O181">IF(--INDEX('Raw Data'!$A$4:E$998,$F181,8)= 0, 1, 0)</f>
        <v>#NUM!</v>
      </c>
      <c r="P181" t="e">
        <f t="array" ref="P181">IF(--INDEX('Raw Data'!$A$4:F$998,$F181,8)= 1, 1, 0)</f>
        <v>#NUM!</v>
      </c>
      <c r="Q181" t="e">
        <f t="array" ref="Q181">IF(--INDEX('Raw Data'!$A$4:G$998,$F181,13)= 1, 1, 0)</f>
        <v>#NUM!</v>
      </c>
      <c r="R181" t="e">
        <f t="array" ref="R181">IF(--INDEX('Raw Data'!$A$4:H$998,$F181,14)= 1, 1, 0)</f>
        <v>#NUM!</v>
      </c>
      <c r="S181" t="e">
        <f t="array" ref="S181">IF(--INDEX('Raw Data'!$A$4:I$998,$F181,15)= 1, 1, 0)</f>
        <v>#NUM!</v>
      </c>
      <c r="T181" t="e">
        <f t="array" ref="T181">IF(--INDEX('Raw Data'!$A$4:I$998,$F181,15)= 1, 1, 0)</f>
        <v>#NUM!</v>
      </c>
      <c r="U181" t="e">
        <f t="array" ref="U181">IF(--INDEX('Raw Data'!$A$4:J$998,$F181,16)= 1, 1, 0)</f>
        <v>#NUM!</v>
      </c>
      <c r="V181" t="e">
        <f t="array" ref="V181">IF(--INDEX('Raw Data'!$A$4:K$998,$F181,17)= 1, 1, 0)</f>
        <v>#NUM!</v>
      </c>
      <c r="W181" t="e">
        <f t="array" ref="W181">INDEX('Raw Data'!$A:$O,$F181,19)</f>
        <v>#NUM!</v>
      </c>
      <c r="X181" t="e">
        <f t="array" ref="X181">INDEX('Raw Data'!$A:$O,$F181,20)</f>
        <v>#NUM!</v>
      </c>
      <c r="Y181" t="e">
        <f t="array" ref="Y181">INDEX('Raw Data'!$A:$O,F181,21)</f>
        <v>#NUM!</v>
      </c>
      <c r="Z181" t="e">
        <f t="array" ref="Z181">INDEX('Raw Data'!$A:$O,$F181,3)</f>
        <v>#NUM!</v>
      </c>
      <c r="AA181" t="e">
        <f t="array" ref="AA181">INDEX('Raw Data'!$A:$O,$F181,22)</f>
        <v>#NUM!</v>
      </c>
      <c r="AB181" t="e">
        <f t="array" ref="AB181">INDEX('Raw Data'!$A:$O,$F181,23)</f>
        <v>#NUM!</v>
      </c>
    </row>
    <row r="182" spans="1:44" x14ac:dyDescent="0.25">
      <c r="F182" t="e">
        <f t="array" ref="F182">SMALL(IF('Raw Data'!A:A=C171,ROW('Raw Data'!A:A)),ROW('Raw Data'!$11:$11))</f>
        <v>#NUM!</v>
      </c>
      <c r="G182" t="e">
        <f t="array" ref="G182">INDEX('Raw Data'!A:A,F182,9)</f>
        <v>#NUM!</v>
      </c>
      <c r="H182" t="e">
        <f t="array" ref="H182">INDEX('Raw Data'!A:A,F182,10)</f>
        <v>#NUM!</v>
      </c>
      <c r="I182" t="e">
        <f t="array" ref="I182">INDEX('Raw Data'!$A:A,$F182,11)</f>
        <v>#NUM!</v>
      </c>
      <c r="J182" t="e">
        <f t="array" ref="J182">INDEX('Raw Data'!$A:A,F182,12)</f>
        <v>#NUM!</v>
      </c>
      <c r="K182" t="e">
        <f t="array" ref="K182">(--INDEX('Raw Data'!$A$4:B$998,F182,4))</f>
        <v>#NUM!</v>
      </c>
      <c r="L182" t="e">
        <f t="array" ref="L182">(--INDEX('Raw Data'!$A$4:B$998,F182,5))</f>
        <v>#NUM!</v>
      </c>
      <c r="M182" t="e">
        <f t="array" ref="M182">(--INDEX('Raw Data'!$A$4:D$998,$F182,6))</f>
        <v>#NUM!</v>
      </c>
      <c r="N182" t="e">
        <f t="array" ref="N182">(--INDEX('Raw Data'!$A$4:D$998,$F182,7))</f>
        <v>#NUM!</v>
      </c>
      <c r="O182" t="e">
        <f t="array" ref="O182">IF(--INDEX('Raw Data'!$A$4:E$998,$F182,8)= 0, 1, 0)</f>
        <v>#NUM!</v>
      </c>
      <c r="P182" t="e">
        <f t="array" ref="P182">IF(--INDEX('Raw Data'!$A$4:F$998,$F182,8)= 1, 1, 0)</f>
        <v>#NUM!</v>
      </c>
      <c r="Q182" t="e">
        <f t="array" ref="Q182">IF(--INDEX('Raw Data'!$A$4:G$998,$F182,13)= 1, 1, 0)</f>
        <v>#NUM!</v>
      </c>
      <c r="R182" t="e">
        <f t="array" ref="R182">IF(--INDEX('Raw Data'!$A$4:H$998,$F182,14)= 1, 1, 0)</f>
        <v>#NUM!</v>
      </c>
      <c r="S182" t="e">
        <f t="array" ref="S182">IF(--INDEX('Raw Data'!$A$4:I$998,$F182,15)= 1, 1, 0)</f>
        <v>#NUM!</v>
      </c>
      <c r="T182" t="e">
        <f t="array" ref="T182">IF(--INDEX('Raw Data'!$A$4:I$998,$F182,15)= 1, 1, 0)</f>
        <v>#NUM!</v>
      </c>
      <c r="U182" t="e">
        <f t="array" ref="U182">IF(--INDEX('Raw Data'!$A$4:J$998,$F182,16)= 1, 1, 0)</f>
        <v>#NUM!</v>
      </c>
      <c r="V182" t="e">
        <f t="array" ref="V182">IF(--INDEX('Raw Data'!$A$4:K$998,$F182,17)= 1, 1, 0)</f>
        <v>#NUM!</v>
      </c>
      <c r="W182" t="e">
        <f t="array" ref="W182">INDEX('Raw Data'!$A:$O,$F182,19)</f>
        <v>#NUM!</v>
      </c>
      <c r="X182" t="e">
        <f t="array" ref="X182">INDEX('Raw Data'!$A:$O,$F182,20)</f>
        <v>#NUM!</v>
      </c>
      <c r="Y182" t="e">
        <f t="array" ref="Y182">INDEX('Raw Data'!$A:$O,F182,21)</f>
        <v>#NUM!</v>
      </c>
      <c r="Z182" t="e">
        <f t="array" ref="Z182">INDEX('Raw Data'!$A:$O,$F182,3)</f>
        <v>#NUM!</v>
      </c>
      <c r="AA182" t="e">
        <f t="array" ref="AA182">INDEX('Raw Data'!$A:$O,$F182,22)</f>
        <v>#NUM!</v>
      </c>
      <c r="AB182" t="e">
        <f t="array" ref="AB182">INDEX('Raw Data'!$A:$O,$F182,23)</f>
        <v>#NUM!</v>
      </c>
    </row>
    <row r="183" spans="1:44" x14ac:dyDescent="0.25">
      <c r="F183" t="e">
        <f t="array" ref="F183">SMALL(IF('Raw Data'!A:A=C171,ROW('Raw Data'!A:A)),ROW('Raw Data'!$12:$12))</f>
        <v>#NUM!</v>
      </c>
      <c r="G183" t="e">
        <f t="array" ref="G183">INDEX('Raw Data'!A:A,F183,9)</f>
        <v>#NUM!</v>
      </c>
      <c r="H183" t="e">
        <f t="array" ref="H183">INDEX('Raw Data'!A:A,F183,10)</f>
        <v>#NUM!</v>
      </c>
      <c r="I183" t="e">
        <f t="array" ref="I183">INDEX('Raw Data'!$A:A,$F183,11)</f>
        <v>#NUM!</v>
      </c>
      <c r="J183" t="e">
        <f t="array" ref="J183">INDEX('Raw Data'!$A:A,F183,12)</f>
        <v>#NUM!</v>
      </c>
      <c r="K183" t="e">
        <f t="array" ref="K183">(--INDEX('Raw Data'!$A$4:B$998,F183,4))</f>
        <v>#NUM!</v>
      </c>
      <c r="L183" t="e">
        <f t="array" ref="L183">(--INDEX('Raw Data'!$A$4:B$998,F183,5))</f>
        <v>#NUM!</v>
      </c>
      <c r="M183" t="e">
        <f t="array" ref="M183">(--INDEX('Raw Data'!$A$4:D$998,$F183,6))</f>
        <v>#NUM!</v>
      </c>
      <c r="N183" t="e">
        <f t="array" ref="N183">(--INDEX('Raw Data'!$A$4:D$998,$F183,7))</f>
        <v>#NUM!</v>
      </c>
      <c r="O183" t="e">
        <f t="array" ref="O183">IF(--INDEX('Raw Data'!$A$4:E$998,$F183,8)= 0, 1, 0)</f>
        <v>#NUM!</v>
      </c>
      <c r="P183" t="e">
        <f t="array" ref="P183">IF(--INDEX('Raw Data'!$A$4:F$998,$F183,8)= 1, 1, 0)</f>
        <v>#NUM!</v>
      </c>
      <c r="Q183" t="e">
        <f t="array" ref="Q183">IF(--INDEX('Raw Data'!$A$4:G$998,$F183,13)= 1, 1, 0)</f>
        <v>#NUM!</v>
      </c>
      <c r="R183" t="e">
        <f t="array" ref="R183">IF(--INDEX('Raw Data'!$A$4:H$998,$F183,14)= 1, 1, 0)</f>
        <v>#NUM!</v>
      </c>
      <c r="S183" t="e">
        <f t="array" ref="S183">IF(--INDEX('Raw Data'!$A$4:I$998,$F183,15)= 1, 1, 0)</f>
        <v>#NUM!</v>
      </c>
      <c r="T183" t="e">
        <f t="array" ref="T183">IF(--INDEX('Raw Data'!$A$4:I$998,$F183,15)= 1, 1, 0)</f>
        <v>#NUM!</v>
      </c>
      <c r="U183" t="e">
        <f t="array" ref="U183">IF(--INDEX('Raw Data'!$A$4:J$998,$F183,16)= 1, 1, 0)</f>
        <v>#NUM!</v>
      </c>
      <c r="V183" t="e">
        <f t="array" ref="V183">IF(--INDEX('Raw Data'!$A$4:K$998,$F183,17)= 1, 1, 0)</f>
        <v>#NUM!</v>
      </c>
      <c r="W183" t="e">
        <f t="array" ref="W183">INDEX('Raw Data'!$A:$O,$F183,19)</f>
        <v>#NUM!</v>
      </c>
      <c r="X183" t="e">
        <f t="array" ref="X183">INDEX('Raw Data'!$A:$O,$F183,20)</f>
        <v>#NUM!</v>
      </c>
      <c r="Y183" t="e">
        <f t="array" ref="Y183">INDEX('Raw Data'!$A:$O,F183,21)</f>
        <v>#NUM!</v>
      </c>
      <c r="Z183" t="e">
        <f t="array" ref="Z183">INDEX('Raw Data'!$A:$O,$F183,3)</f>
        <v>#NUM!</v>
      </c>
      <c r="AA183" t="e">
        <f t="array" ref="AA183">INDEX('Raw Data'!$A:$O,$F183,22)</f>
        <v>#NUM!</v>
      </c>
      <c r="AB183" t="e">
        <f t="array" ref="AB183">INDEX('Raw Data'!$A:$O,$F183,23)</f>
        <v>#NUM!</v>
      </c>
    </row>
    <row r="184" spans="1:44" x14ac:dyDescent="0.25">
      <c r="F184" t="e">
        <f t="array" ref="F184">SMALL(IF('Raw Data'!A:A=C171,ROW('Raw Data'!A:A)),ROW('Raw Data'!$13:$13))</f>
        <v>#NUM!</v>
      </c>
      <c r="G184" t="e">
        <f t="array" ref="G184">INDEX('Raw Data'!A:A,F184,9)</f>
        <v>#NUM!</v>
      </c>
      <c r="H184" t="e">
        <f t="array" ref="H184">INDEX('Raw Data'!A:A,F184,10)</f>
        <v>#NUM!</v>
      </c>
      <c r="I184" t="e">
        <f t="array" ref="I184">INDEX('Raw Data'!$A:A,$F184,11)</f>
        <v>#NUM!</v>
      </c>
      <c r="J184" t="e">
        <f t="array" ref="J184">INDEX('Raw Data'!$A:A,F184,12)</f>
        <v>#NUM!</v>
      </c>
      <c r="K184" t="e">
        <f t="array" ref="K184">(--INDEX('Raw Data'!$A$4:B$998,F184,4))</f>
        <v>#NUM!</v>
      </c>
      <c r="L184" t="e">
        <f t="array" ref="L184">(--INDEX('Raw Data'!$A$4:B$998,F184,5))</f>
        <v>#NUM!</v>
      </c>
      <c r="M184" t="e">
        <f t="array" ref="M184">(--INDEX('Raw Data'!$A$4:D$998,$F184,6))</f>
        <v>#NUM!</v>
      </c>
      <c r="N184" t="e">
        <f t="array" ref="N184">(--INDEX('Raw Data'!$A$4:D$998,$F184,7))</f>
        <v>#NUM!</v>
      </c>
      <c r="O184" t="e">
        <f t="array" ref="O184">IF(--INDEX('Raw Data'!$A$4:E$998,$F184,8)= 0, 1, 0)</f>
        <v>#NUM!</v>
      </c>
      <c r="P184" t="e">
        <f t="array" ref="P184">IF(--INDEX('Raw Data'!$A$4:F$998,$F184,8)= 1, 1, 0)</f>
        <v>#NUM!</v>
      </c>
      <c r="Q184" t="e">
        <f t="array" ref="Q184">IF(--INDEX('Raw Data'!$A$4:G$998,$F184,13)= 1, 1, 0)</f>
        <v>#NUM!</v>
      </c>
      <c r="R184" t="e">
        <f t="array" ref="R184">IF(--INDEX('Raw Data'!$A$4:H$998,$F184,14)= 1, 1, 0)</f>
        <v>#NUM!</v>
      </c>
      <c r="S184" t="e">
        <f t="array" ref="S184">IF(--INDEX('Raw Data'!$A$4:I$998,$F184,15)= 1, 1, 0)</f>
        <v>#NUM!</v>
      </c>
      <c r="T184" t="e">
        <f t="array" ref="T184">IF(--INDEX('Raw Data'!$A$4:I$998,$F184,15)= 1, 1, 0)</f>
        <v>#NUM!</v>
      </c>
      <c r="U184" t="e">
        <f t="array" ref="U184">IF(--INDEX('Raw Data'!$A$4:J$998,$F184,16)= 1, 1, 0)</f>
        <v>#NUM!</v>
      </c>
      <c r="V184" t="e">
        <f t="array" ref="V184">IF(--INDEX('Raw Data'!$A$4:K$998,$F184,17)= 1, 1, 0)</f>
        <v>#NUM!</v>
      </c>
      <c r="W184" t="e">
        <f t="array" ref="W184">INDEX('Raw Data'!$A:$O,$F184,19)</f>
        <v>#NUM!</v>
      </c>
      <c r="X184" t="e">
        <f t="array" ref="X184">INDEX('Raw Data'!$A:$O,$F184,20)</f>
        <v>#NUM!</v>
      </c>
      <c r="Y184" t="e">
        <f t="array" ref="Y184">INDEX('Raw Data'!$A:$O,F184,21)</f>
        <v>#NUM!</v>
      </c>
      <c r="Z184" t="e">
        <f t="array" ref="Z184">INDEX('Raw Data'!$A:$O,$F184,3)</f>
        <v>#NUM!</v>
      </c>
      <c r="AA184" t="e">
        <f t="array" ref="AA184">INDEX('Raw Data'!$A:$O,$F184,22)</f>
        <v>#NUM!</v>
      </c>
      <c r="AB184" t="e">
        <f t="array" ref="AB184">INDEX('Raw Data'!$A:$O,$F184,23)</f>
        <v>#NUM!</v>
      </c>
    </row>
    <row r="185" spans="1:44" x14ac:dyDescent="0.25">
      <c r="F185" t="e">
        <f t="array" ref="F185">SMALL(IF('Raw Data'!A:A=C171,ROW('Raw Data'!A:A)),ROW('Raw Data'!$14:$14))</f>
        <v>#NUM!</v>
      </c>
      <c r="G185" t="e">
        <f t="array" ref="G185">INDEX('Raw Data'!A:A,F185,9)</f>
        <v>#NUM!</v>
      </c>
      <c r="H185" t="e">
        <f t="array" ref="H185">INDEX('Raw Data'!A:A,F185,10)</f>
        <v>#NUM!</v>
      </c>
      <c r="I185" t="e">
        <f t="array" ref="I185">INDEX('Raw Data'!$A:A,$F185,11)</f>
        <v>#NUM!</v>
      </c>
      <c r="J185" t="e">
        <f t="array" ref="J185">INDEX('Raw Data'!$A:A,F185,12)</f>
        <v>#NUM!</v>
      </c>
      <c r="K185" t="e">
        <f t="array" ref="K185">(--INDEX('Raw Data'!$A$4:B$998,F185,4))</f>
        <v>#NUM!</v>
      </c>
      <c r="L185" t="e">
        <f t="array" ref="L185">(--INDEX('Raw Data'!$A$4:B$998,F185,5))</f>
        <v>#NUM!</v>
      </c>
      <c r="M185" t="e">
        <f t="array" ref="M185">(--INDEX('Raw Data'!$A$4:D$998,$F185,6))</f>
        <v>#NUM!</v>
      </c>
      <c r="N185" t="e">
        <f t="array" ref="N185">(--INDEX('Raw Data'!$A$4:D$998,$F185,7))</f>
        <v>#NUM!</v>
      </c>
      <c r="O185" t="e">
        <f t="array" ref="O185">IF(--INDEX('Raw Data'!$A$4:E$998,$F185,8)= 0, 1, 0)</f>
        <v>#NUM!</v>
      </c>
      <c r="P185" t="e">
        <f t="array" ref="P185">IF(--INDEX('Raw Data'!$A$4:F$998,$F185,8)= 1, 1, 0)</f>
        <v>#NUM!</v>
      </c>
      <c r="Q185" t="e">
        <f t="array" ref="Q185">IF(--INDEX('Raw Data'!$A$4:G$998,$F185,13)= 1, 1, 0)</f>
        <v>#NUM!</v>
      </c>
      <c r="R185" t="e">
        <f t="array" ref="R185">IF(--INDEX('Raw Data'!$A$4:H$998,$F185,14)= 1, 1, 0)</f>
        <v>#NUM!</v>
      </c>
      <c r="S185" t="e">
        <f t="array" ref="S185">IF(--INDEX('Raw Data'!$A$4:I$998,$F185,15)= 1, 1, 0)</f>
        <v>#NUM!</v>
      </c>
      <c r="T185" t="e">
        <f t="array" ref="T185">IF(--INDEX('Raw Data'!$A$4:I$998,$F185,15)= 1, 1, 0)</f>
        <v>#NUM!</v>
      </c>
      <c r="U185" t="e">
        <f t="array" ref="U185">IF(--INDEX('Raw Data'!$A$4:J$998,$F185,16)= 1, 1, 0)</f>
        <v>#NUM!</v>
      </c>
      <c r="V185" t="e">
        <f t="array" ref="V185">IF(--INDEX('Raw Data'!$A$4:K$998,$F185,17)= 1, 1, 0)</f>
        <v>#NUM!</v>
      </c>
      <c r="W185" t="e">
        <f t="array" ref="W185">INDEX('Raw Data'!$A:$O,$F185,19)</f>
        <v>#NUM!</v>
      </c>
      <c r="X185" t="e">
        <f t="array" ref="X185">INDEX('Raw Data'!$A:$O,$F185,20)</f>
        <v>#NUM!</v>
      </c>
      <c r="Y185" t="e">
        <f t="array" ref="Y185">INDEX('Raw Data'!$A:$O,F185,21)</f>
        <v>#NUM!</v>
      </c>
      <c r="Z185" t="e">
        <f t="array" ref="Z185">INDEX('Raw Data'!$A:$O,$F185,3)</f>
        <v>#NUM!</v>
      </c>
      <c r="AA185" t="e">
        <f t="array" ref="AA185">INDEX('Raw Data'!$A:$O,$F185,22)</f>
        <v>#NUM!</v>
      </c>
      <c r="AB185" t="e">
        <f t="array" ref="AB185">INDEX('Raw Data'!$A:$O,$F185,23)</f>
        <v>#NUM!</v>
      </c>
    </row>
    <row r="186" spans="1:44" x14ac:dyDescent="0.25">
      <c r="F186" t="e">
        <f t="array" ref="F186">SMALL(IF('Raw Data'!A:A=C171,ROW('Raw Data'!A:A)),ROW('Raw Data'!$15:$15))</f>
        <v>#NUM!</v>
      </c>
      <c r="G186" t="e">
        <f t="array" ref="G186">INDEX('Raw Data'!A:A,F186,9)</f>
        <v>#NUM!</v>
      </c>
      <c r="H186" t="e">
        <f t="array" ref="H186">INDEX('Raw Data'!A:A,F186,10)</f>
        <v>#NUM!</v>
      </c>
      <c r="I186" t="e">
        <f t="array" ref="I186">INDEX('Raw Data'!$A:A,$F186,11)</f>
        <v>#NUM!</v>
      </c>
      <c r="J186" t="e">
        <f t="array" ref="J186">INDEX('Raw Data'!$A:A,F186,12)</f>
        <v>#NUM!</v>
      </c>
      <c r="K186" t="e">
        <f t="array" ref="K186">(--INDEX('Raw Data'!$A$4:B$998,F186,4))</f>
        <v>#NUM!</v>
      </c>
      <c r="L186" t="e">
        <f t="array" ref="L186">(--INDEX('Raw Data'!$A$4:B$998,F186,5))</f>
        <v>#NUM!</v>
      </c>
      <c r="M186" t="e">
        <f t="array" ref="M186">(--INDEX('Raw Data'!$A$4:D$998,$F186,6))</f>
        <v>#NUM!</v>
      </c>
      <c r="N186" t="e">
        <f t="array" ref="N186">(--INDEX('Raw Data'!$A$4:D$998,$F186,7))</f>
        <v>#NUM!</v>
      </c>
      <c r="O186" t="e">
        <f t="array" ref="O186">IF(--INDEX('Raw Data'!$A$4:E$998,$F186,8)= 0, 1, 0)</f>
        <v>#NUM!</v>
      </c>
      <c r="P186" t="e">
        <f t="array" ref="P186">IF(--INDEX('Raw Data'!$A$4:F$998,$F186,8)= 1, 1, 0)</f>
        <v>#NUM!</v>
      </c>
      <c r="Q186" t="e">
        <f t="array" ref="Q186">IF(--INDEX('Raw Data'!$A$4:G$998,$F186,13)= 1, 1, 0)</f>
        <v>#NUM!</v>
      </c>
      <c r="R186" t="e">
        <f t="array" ref="R186">IF(--INDEX('Raw Data'!$A$4:H$998,$F186,14)= 1, 1, 0)</f>
        <v>#NUM!</v>
      </c>
      <c r="S186" t="e">
        <f t="array" ref="S186">IF(--INDEX('Raw Data'!$A$4:I$998,$F186,15)= 1, 1, 0)</f>
        <v>#NUM!</v>
      </c>
      <c r="T186" t="e">
        <f t="array" ref="T186">IF(--INDEX('Raw Data'!$A$4:I$998,$F186,15)= 1, 1, 0)</f>
        <v>#NUM!</v>
      </c>
      <c r="U186" t="e">
        <f t="array" ref="U186">IF(--INDEX('Raw Data'!$A$4:J$998,$F186,16)= 1, 1, 0)</f>
        <v>#NUM!</v>
      </c>
      <c r="V186" t="e">
        <f t="array" ref="V186">IF(--INDEX('Raw Data'!$A$4:K$998,$F186,17)= 1, 1, 0)</f>
        <v>#NUM!</v>
      </c>
      <c r="W186" t="e">
        <f t="array" ref="W186">INDEX('Raw Data'!$A:$O,$F186,19)</f>
        <v>#NUM!</v>
      </c>
      <c r="X186" t="e">
        <f t="array" ref="X186">INDEX('Raw Data'!$A:$O,$F186,20)</f>
        <v>#NUM!</v>
      </c>
      <c r="Y186" t="e">
        <f t="array" ref="Y186">INDEX('Raw Data'!$A:$O,F186,21)</f>
        <v>#NUM!</v>
      </c>
      <c r="Z186" t="e">
        <f t="array" ref="Z186">INDEX('Raw Data'!$A:$O,$F186,3)</f>
        <v>#NUM!</v>
      </c>
      <c r="AA186" t="e">
        <f t="array" ref="AA186">INDEX('Raw Data'!$A:$O,$F186,22)</f>
        <v>#NUM!</v>
      </c>
      <c r="AB186" t="e">
        <f t="array" ref="AB186">INDEX('Raw Data'!$A:$O,$F186,23)</f>
        <v>#NUM!</v>
      </c>
    </row>
    <row r="187" spans="1:44" x14ac:dyDescent="0.25">
      <c r="A187" t="s">
        <v>55</v>
      </c>
      <c r="C187" s="2" t="e">
        <f>B177/B176</f>
        <v>#DIV/0!</v>
      </c>
      <c r="F187">
        <f t="array" ref="F187">COUNTIF(F172:F186,"&gt;0")</f>
        <v>0</v>
      </c>
      <c r="G187">
        <f t="array" ref="G187">SUMIF(G172:G186,"&gt;0")</f>
        <v>0</v>
      </c>
      <c r="H187">
        <f t="array" ref="H187">SUMIF(H172:H186,"&gt;0")</f>
        <v>0</v>
      </c>
      <c r="I187">
        <f t="array" ref="I187">SUMIF(I172:I186,"&gt;0")</f>
        <v>0</v>
      </c>
      <c r="J187">
        <f t="array" ref="J187">SUMIF(J172:J186,"&gt;0")</f>
        <v>0</v>
      </c>
      <c r="K187">
        <f t="array" ref="K187">SUMIF(K172:K186,"&gt;0")</f>
        <v>0</v>
      </c>
      <c r="L187">
        <f t="array" ref="L187">SUMIF(L172:L186,"&gt;0")</f>
        <v>0</v>
      </c>
      <c r="M187">
        <f t="array" ref="M187">SUMIF(M172:M186,"&gt;0")</f>
        <v>0</v>
      </c>
      <c r="N187">
        <f t="array" ref="N187">SUMIF(N172:N186,"&gt;0")</f>
        <v>0</v>
      </c>
      <c r="O187">
        <f t="array" ref="O187">SUMIF(O172:O186,"&gt;0")</f>
        <v>0</v>
      </c>
      <c r="P187">
        <f t="array" ref="P187">SUMIF(P172:P186,"&gt;0")</f>
        <v>0</v>
      </c>
      <c r="Q187">
        <f t="array" ref="Q187">SUMIF(Q172:Q186,"&gt;0")</f>
        <v>0</v>
      </c>
      <c r="R187">
        <f t="array" ref="R187">SUMIF(R172:R186,"&gt;0")</f>
        <v>0</v>
      </c>
      <c r="S187">
        <f t="array" ref="S187">SUMIF(S172:S186,"&gt;0")</f>
        <v>0</v>
      </c>
      <c r="T187">
        <f t="array" ref="T187">SUMIF(T172:T186,"&gt;0")</f>
        <v>0</v>
      </c>
      <c r="U187">
        <f t="array" ref="U187">SUMIF(U172:U186,"&gt;0")</f>
        <v>0</v>
      </c>
      <c r="V187">
        <f t="array" ref="V187">SUMIF(V172:V186,"&gt;0")</f>
        <v>0</v>
      </c>
      <c r="W187">
        <f t="array" ref="W187">SUMIF(W172:W186,"&gt;0")</f>
        <v>0</v>
      </c>
      <c r="X187">
        <f t="array" ref="X187">SUMIF(X172:X186,"&gt;0")</f>
        <v>0</v>
      </c>
      <c r="Y187">
        <f t="array" ref="Y187">SUMIF(Y172:Y186,"&gt;0")</f>
        <v>0</v>
      </c>
      <c r="Z187">
        <f t="array" ref="Z187">SUMIF(Z172:Z186,"&gt;0")</f>
        <v>0</v>
      </c>
      <c r="AA187">
        <f t="array" ref="AA187">SUMIF(AA172:AA186,"&gt;0")</f>
        <v>0</v>
      </c>
      <c r="AB187">
        <f t="array" ref="AB187">SUMIF(AB172:AB186,"&gt;0")</f>
        <v>0</v>
      </c>
    </row>
    <row r="188" spans="1:44" x14ac:dyDescent="0.25">
      <c r="A188" t="s">
        <v>58</v>
      </c>
      <c r="C188" s="2">
        <f t="array" ref="C188">IF((K187+L187)&lt;&gt;0, (L187/(K187+L187)),0)</f>
        <v>0</v>
      </c>
      <c r="J188" s="6">
        <f t="array" ref="J188">J187*10</f>
        <v>0</v>
      </c>
      <c r="K188" s="6"/>
      <c r="P188" t="s">
        <v>95</v>
      </c>
      <c r="Q188" s="2" t="e">
        <f t="array" ref="Q188">Q187/$F187</f>
        <v>#DIV/0!</v>
      </c>
      <c r="R188" s="2" t="e">
        <f t="array" ref="R188">R187/$F187</f>
        <v>#DIV/0!</v>
      </c>
      <c r="S188" s="2" t="e">
        <f t="array" ref="S188">S187/$F187</f>
        <v>#DIV/0!</v>
      </c>
      <c r="T188" s="2" t="e">
        <f t="array" ref="T188">T187/$F187</f>
        <v>#DIV/0!</v>
      </c>
      <c r="U188" s="2" t="e">
        <f t="array" ref="U188">U187/$F187</f>
        <v>#DIV/0!</v>
      </c>
      <c r="V188" s="2" t="e">
        <f t="array" ref="V188">V187/$F187</f>
        <v>#DIV/0!</v>
      </c>
      <c r="W188" s="2" t="e">
        <f t="array" ref="W188">W187/$F187</f>
        <v>#DIV/0!</v>
      </c>
      <c r="X188" s="2" t="e">
        <f t="array" ref="X188">X187/$F187</f>
        <v>#DIV/0!</v>
      </c>
      <c r="Z188" s="2" t="e">
        <f t="array" ref="Z188">Z187/F187</f>
        <v>#DIV/0!</v>
      </c>
    </row>
    <row r="189" spans="1:44" x14ac:dyDescent="0.25">
      <c r="A189" t="s">
        <v>60</v>
      </c>
      <c r="C189" s="2">
        <f t="array" ref="C189">IF((M187+N187)&lt;&gt;0, (N187/(M187+N187)),0)</f>
        <v>0</v>
      </c>
      <c r="J189" s="6"/>
      <c r="K189" s="6"/>
    </row>
    <row r="190" spans="1:44" ht="28.5" x14ac:dyDescent="0.45">
      <c r="A190" t="s">
        <v>61</v>
      </c>
      <c r="C190" s="2">
        <f t="array" ref="C190">IF(((K187+N187+L187+M187)&lt;&gt;0), ((L187+N187)/(K187+N187+L187+M187)),0)</f>
        <v>0</v>
      </c>
      <c r="F190" s="17" t="s">
        <v>106</v>
      </c>
      <c r="G190" s="17" t="e">
        <f t="array" ref="G190">'Weighting &amp; Ranking Sheet'!$B$3*Math!$C188+'Weighting &amp; Ranking Sheet'!$B$4*Math!$C189+'Weighting &amp; Ranking Sheet'!$B$5*Math!$C190+'Weighting &amp; Ranking Sheet'!$B$6*Math!$C191+'Weighting &amp; Ranking Sheet'!$B$7*Math!$C175+'Weighting &amp; Ranking Sheet'!$B$8*Math!$C187+'Weighting &amp; Ranking Sheet'!$B$9*Math!$C194+'Weighting &amp; Ranking Sheet'!$B$10*Math!$C192+'Weighting &amp; Ranking Sheet'!$B$11*Math!$C193+'Weighting &amp; Ranking Sheet'!$B$12*Math!$C195*0.01+'Weighting &amp; Ranking Sheet'!$B$13*Math!$Q188+'Weighting &amp; Ranking Sheet'!$B$14*Math!$R188+'Weighting &amp; Ranking Sheet'!$B$15*Math!$S188+'Weighting &amp; Ranking Sheet'!$B$16*Math!$T188+'Weighting &amp; Ranking Sheet'!$B$17*Math!$U188+'Weighting &amp; Ranking Sheet'!$B$18*Math!$V188+'Weighting &amp; Ranking Sheet'!$B$2*Math!$Z188</f>
        <v>#DIV/0!</v>
      </c>
      <c r="J190"/>
      <c r="K190"/>
    </row>
    <row r="191" spans="1:44" x14ac:dyDescent="0.25">
      <c r="A191" t="s">
        <v>62</v>
      </c>
      <c r="C191" s="2">
        <f t="array" ref="C191">IF((O187+P187&lt;&gt;0),(P187/(O187+P187)), 0)</f>
        <v>0</v>
      </c>
      <c r="J191"/>
      <c r="K191"/>
      <c r="AR191" s="25"/>
    </row>
    <row r="192" spans="1:44" x14ac:dyDescent="0.25">
      <c r="A192" t="s">
        <v>77</v>
      </c>
      <c r="C192" s="8" t="e">
        <f t="array" ref="C192">W187/F187</f>
        <v>#DIV/0!</v>
      </c>
      <c r="J192"/>
      <c r="K192"/>
      <c r="AR192" s="23"/>
    </row>
    <row r="193" spans="1:44" x14ac:dyDescent="0.25">
      <c r="A193" t="s">
        <v>78</v>
      </c>
      <c r="C193" s="8" t="e">
        <f t="array" ref="C193">X187/F187</f>
        <v>#DIV/0!</v>
      </c>
      <c r="J193"/>
      <c r="K193"/>
    </row>
    <row r="194" spans="1:44" x14ac:dyDescent="0.25">
      <c r="A194" t="s">
        <v>91</v>
      </c>
      <c r="C194" s="2" t="e">
        <f t="array" ref="C194">(C175+C187)/2</f>
        <v>#DIV/0!</v>
      </c>
      <c r="J194"/>
      <c r="K194"/>
    </row>
    <row r="195" spans="1:44" x14ac:dyDescent="0.25">
      <c r="A195" t="s">
        <v>92</v>
      </c>
      <c r="C195" s="8" t="e">
        <f t="array" ref="C195">Y187/F187</f>
        <v>#DIV/0!</v>
      </c>
      <c r="J195"/>
      <c r="K195"/>
    </row>
    <row r="196" spans="1:44" x14ac:dyDescent="0.25">
      <c r="C196" s="8"/>
      <c r="J196" s="6"/>
      <c r="K196" s="6"/>
    </row>
    <row r="197" spans="1:44" x14ac:dyDescent="0.25">
      <c r="C197" s="8"/>
      <c r="J197" s="6"/>
      <c r="K197" s="6"/>
    </row>
    <row r="198" spans="1:44" x14ac:dyDescent="0.25">
      <c r="J198" s="6"/>
      <c r="K198" s="6"/>
    </row>
    <row r="199" spans="1:44" x14ac:dyDescent="0.25">
      <c r="A199" t="s">
        <v>3</v>
      </c>
      <c r="C199" s="5">
        <v>225</v>
      </c>
      <c r="F199" t="s">
        <v>11</v>
      </c>
    </row>
    <row r="200" spans="1:44" x14ac:dyDescent="0.25">
      <c r="F200" t="e">
        <f t="array" ref="F200">SMALL(IF('Raw Data'!A:A=C199,ROW('Raw Data'!A:A)),ROW('Raw Data'!$1:$1))</f>
        <v>#NUM!</v>
      </c>
      <c r="G200" t="e">
        <f t="array" ref="G200">INDEX('Raw Data'!A:A,F200,9)</f>
        <v>#NUM!</v>
      </c>
      <c r="H200" t="e">
        <f t="array" ref="H200">INDEX('Raw Data'!A:A,F200,10)</f>
        <v>#NUM!</v>
      </c>
      <c r="I200" t="e">
        <f t="array" ref="I200">INDEX('Raw Data'!$A:A,$F200,11)</f>
        <v>#NUM!</v>
      </c>
      <c r="J200" t="e">
        <f t="array" ref="J200">INDEX('Raw Data'!$A:A,F200,12)</f>
        <v>#NUM!</v>
      </c>
      <c r="K200" t="e">
        <f>(--INDEX('Raw Data'!$A$4:B$993,F200,4))</f>
        <v>#NUM!</v>
      </c>
      <c r="L200" t="e">
        <f t="array" ref="L200">(--INDEX('Raw Data'!$A$4:B$993,F200,5))</f>
        <v>#NUM!</v>
      </c>
      <c r="M200" t="e">
        <f t="array" ref="M200">(--INDEX('Raw Data'!$A$4:D$993,$F200,6))</f>
        <v>#NUM!</v>
      </c>
      <c r="N200" t="e">
        <f t="array" ref="N200">(--INDEX('Raw Data'!$A$4:D$993,$F200,7))</f>
        <v>#NUM!</v>
      </c>
      <c r="O200" t="e">
        <f t="array" ref="O200">IF(--INDEX('Raw Data'!$A$4:E$993,$F200,8)= 0, 1, 0)</f>
        <v>#NUM!</v>
      </c>
      <c r="P200" t="e">
        <f t="array" ref="P200">IF(--INDEX('Raw Data'!$A$4:F$993,$F200,8)= 1, 1, 0)</f>
        <v>#NUM!</v>
      </c>
      <c r="Q200" t="e">
        <f t="array" ref="Q200">IF(--INDEX('Raw Data'!$A$4:G$993,$F200,13)= 1, 1, 0)</f>
        <v>#NUM!</v>
      </c>
      <c r="R200" t="e">
        <f t="array" ref="R200">IF(--INDEX('Raw Data'!$A$4:H$993,$F200,14)= 1, 1, 0)</f>
        <v>#NUM!</v>
      </c>
      <c r="S200" t="e">
        <f t="array" ref="S200">IF(--INDEX('Raw Data'!$A$4:I$993,$F200,15)= 1, 1, 0)</f>
        <v>#NUM!</v>
      </c>
      <c r="T200" t="e">
        <f t="array" ref="T200">IF(--INDEX('Raw Data'!$A$4:I$993,$F200,15)= 1, 1, 0)</f>
        <v>#NUM!</v>
      </c>
      <c r="U200" t="e">
        <f t="array" ref="U200">IF(--INDEX('Raw Data'!$A$4:J$993,$F200,16)= 1, 1, 0)</f>
        <v>#NUM!</v>
      </c>
      <c r="V200" t="e">
        <f t="array" ref="V200">IF(--INDEX('Raw Data'!$A$4:K$993,$F200,17)= 1, 1, 0)</f>
        <v>#NUM!</v>
      </c>
      <c r="W200" t="e">
        <f t="array" ref="W200">INDEX('Raw Data'!$A:$O,$F200,19)</f>
        <v>#NUM!</v>
      </c>
      <c r="X200" t="e">
        <f t="array" ref="X200">INDEX('Raw Data'!$A:$O,$F200,20)</f>
        <v>#NUM!</v>
      </c>
      <c r="Y200" t="e">
        <f t="array" ref="Y200">INDEX('Raw Data'!$A:$O,F200,21)</f>
        <v>#NUM!</v>
      </c>
      <c r="Z200" t="e">
        <f t="array" ref="Z200">INDEX('Raw Data'!$A:$O,$F200,3)</f>
        <v>#NUM!</v>
      </c>
      <c r="AA200" t="e">
        <f t="array" ref="AA200">INDEX('Raw Data'!$A:$O,$F200,22)</f>
        <v>#NUM!</v>
      </c>
      <c r="AB200" t="e">
        <f t="array" ref="AB200">INDEX('Raw Data'!$A:$O,$F200,23)</f>
        <v>#NUM!</v>
      </c>
    </row>
    <row r="201" spans="1:44" x14ac:dyDescent="0.25">
      <c r="A201" t="s">
        <v>0</v>
      </c>
      <c r="B201">
        <f>G215</f>
        <v>0</v>
      </c>
      <c r="F201" t="e">
        <f t="array" ref="F201">SMALL(IF('Raw Data'!A:A=C199,ROW('Raw Data'!A:A)),ROW('Raw Data'!$2:$2))</f>
        <v>#NUM!</v>
      </c>
      <c r="G201" t="e">
        <f t="array" ref="G201">INDEX('Raw Data'!A:A,F201,9)</f>
        <v>#NUM!</v>
      </c>
      <c r="H201" t="e">
        <f t="array" ref="H201">INDEX('Raw Data'!A:A,F201,10)</f>
        <v>#NUM!</v>
      </c>
      <c r="I201" t="e">
        <f t="array" ref="I201">INDEX('Raw Data'!$A:A,$F201,11)</f>
        <v>#NUM!</v>
      </c>
      <c r="J201" t="e">
        <f t="array" ref="J201">INDEX('Raw Data'!$A:A,F201,12)</f>
        <v>#NUM!</v>
      </c>
      <c r="K201" t="e">
        <f>(--INDEX('Raw Data'!$A$4:B$993,F201,4))</f>
        <v>#NUM!</v>
      </c>
      <c r="L201" t="e">
        <f t="array" ref="L201">(--INDEX('Raw Data'!$A$4:B$993,F201,5))</f>
        <v>#NUM!</v>
      </c>
      <c r="M201" t="e">
        <f t="array" ref="M201">(--INDEX('Raw Data'!$A$4:D$993,$F201,6))</f>
        <v>#NUM!</v>
      </c>
      <c r="N201" t="e">
        <f t="array" ref="N201">(--INDEX('Raw Data'!$A$4:D$993,$F201,7))</f>
        <v>#NUM!</v>
      </c>
      <c r="O201" t="e">
        <f t="array" ref="O201">IF(--INDEX('Raw Data'!$A$4:E$993,$F201,8)= 0, 1, 0)</f>
        <v>#NUM!</v>
      </c>
      <c r="P201" t="e">
        <f t="array" ref="P201">IF(--INDEX('Raw Data'!$A$4:F$993,$F201,8)= 1, 1, 0)</f>
        <v>#NUM!</v>
      </c>
      <c r="Q201" t="e">
        <f t="array" ref="Q201">IF(--INDEX('Raw Data'!$A$4:G$993,$F201,13)= 1, 1, 0)</f>
        <v>#NUM!</v>
      </c>
      <c r="R201" t="e">
        <f t="array" ref="R201">IF(--INDEX('Raw Data'!$A$4:H$993,$F201,14)= 1, 1, 0)</f>
        <v>#NUM!</v>
      </c>
      <c r="S201" t="e">
        <f t="array" ref="S201">IF(--INDEX('Raw Data'!$A$4:I$993,$F201,15)= 1, 1, 0)</f>
        <v>#NUM!</v>
      </c>
      <c r="T201" t="e">
        <f t="array" ref="T201">IF(--INDEX('Raw Data'!$A$4:I$993,$F201,15)= 1, 1, 0)</f>
        <v>#NUM!</v>
      </c>
      <c r="U201" t="e">
        <f t="array" ref="U201">IF(--INDEX('Raw Data'!$A$4:J$993,$F201,16)= 1, 1, 0)</f>
        <v>#NUM!</v>
      </c>
      <c r="V201" t="e">
        <f t="array" ref="V201">IF(--INDEX('Raw Data'!$A$4:K$993,$F201,17)= 1, 1, 0)</f>
        <v>#NUM!</v>
      </c>
      <c r="W201" t="e">
        <f t="array" ref="W201">INDEX('Raw Data'!$A:$O,$F201,19)</f>
        <v>#NUM!</v>
      </c>
      <c r="X201" t="e">
        <f t="array" ref="X201">INDEX('Raw Data'!$A:$O,$F201,20)</f>
        <v>#NUM!</v>
      </c>
      <c r="Y201" t="e">
        <f t="array" ref="Y201">INDEX('Raw Data'!$A:$O,F201,21)</f>
        <v>#NUM!</v>
      </c>
      <c r="Z201" t="e">
        <f t="array" ref="Z201">INDEX('Raw Data'!$A:$O,$F201,3)</f>
        <v>#NUM!</v>
      </c>
      <c r="AA201" t="e">
        <f t="array" ref="AA201">INDEX('Raw Data'!$A:$O,$F201,22)</f>
        <v>#NUM!</v>
      </c>
      <c r="AB201" t="e">
        <f t="array" ref="AB201">INDEX('Raw Data'!$A:$O,$F201,23)</f>
        <v>#NUM!</v>
      </c>
    </row>
    <row r="202" spans="1:44" x14ac:dyDescent="0.25">
      <c r="A202" t="s">
        <v>1</v>
      </c>
      <c r="B202">
        <f>H215</f>
        <v>0</v>
      </c>
      <c r="F202" t="e">
        <f t="array" ref="F202">SMALL(IF('Raw Data'!A:A=C199,ROW('Raw Data'!A:A)),ROW('Raw Data'!$3:$3))</f>
        <v>#NUM!</v>
      </c>
      <c r="G202" t="e">
        <f t="array" ref="G202">INDEX('Raw Data'!A:A,F202,9)</f>
        <v>#NUM!</v>
      </c>
      <c r="H202" t="e">
        <f t="array" ref="H202">INDEX('Raw Data'!A:A,F202,10)</f>
        <v>#NUM!</v>
      </c>
      <c r="I202" t="e">
        <f t="array" ref="I202">INDEX('Raw Data'!$A:A,$F202,11)</f>
        <v>#NUM!</v>
      </c>
      <c r="J202" t="e">
        <f t="array" ref="J202">INDEX('Raw Data'!$A:A,F202,12)</f>
        <v>#NUM!</v>
      </c>
      <c r="K202" t="e">
        <f>(--INDEX('Raw Data'!$A$4:B$993,F202,4))</f>
        <v>#NUM!</v>
      </c>
      <c r="L202" t="e">
        <f t="array" ref="L202">(--INDEX('Raw Data'!$A$4:B$993,F202,5))</f>
        <v>#NUM!</v>
      </c>
      <c r="M202" t="e">
        <f t="array" ref="M202">(--INDEX('Raw Data'!$A$4:D$993,$F202,6))</f>
        <v>#NUM!</v>
      </c>
      <c r="N202" t="e">
        <f t="array" ref="N202">(--INDEX('Raw Data'!$A$4:D$993,$F202,7))</f>
        <v>#NUM!</v>
      </c>
      <c r="O202" t="e">
        <f t="array" ref="O202">IF(--INDEX('Raw Data'!$A$4:E$993,$F202,8)= 0, 1, 0)</f>
        <v>#NUM!</v>
      </c>
      <c r="P202" t="e">
        <f t="array" ref="P202">IF(--INDEX('Raw Data'!$A$4:F$993,$F202,8)= 1, 1, 0)</f>
        <v>#NUM!</v>
      </c>
      <c r="Q202" t="e">
        <f t="array" ref="Q202">IF(--INDEX('Raw Data'!$A$4:G$993,$F202,13)= 1, 1, 0)</f>
        <v>#NUM!</v>
      </c>
      <c r="R202" t="e">
        <f t="array" ref="R202">IF(--INDEX('Raw Data'!$A$4:H$993,$F202,14)= 1, 1, 0)</f>
        <v>#NUM!</v>
      </c>
      <c r="S202" t="e">
        <f t="array" ref="S202">IF(--INDEX('Raw Data'!$A$4:I$993,$F202,15)= 1, 1, 0)</f>
        <v>#NUM!</v>
      </c>
      <c r="T202" t="e">
        <f t="array" ref="T202">IF(--INDEX('Raw Data'!$A$4:I$993,$F202,15)= 1, 1, 0)</f>
        <v>#NUM!</v>
      </c>
      <c r="U202" t="e">
        <f t="array" ref="U202">IF(--INDEX('Raw Data'!$A$4:J$993,$F202,16)= 1, 1, 0)</f>
        <v>#NUM!</v>
      </c>
      <c r="V202" t="e">
        <f t="array" ref="V202">IF(--INDEX('Raw Data'!$A$4:K$993,$F202,17)= 1, 1, 0)</f>
        <v>#NUM!</v>
      </c>
      <c r="W202" t="e">
        <f t="array" ref="W202">INDEX('Raw Data'!$A:$O,$F202,19)</f>
        <v>#NUM!</v>
      </c>
      <c r="X202" t="e">
        <f t="array" ref="X202">INDEX('Raw Data'!$A:$O,$F202,20)</f>
        <v>#NUM!</v>
      </c>
      <c r="Y202" t="e">
        <f t="array" ref="Y202">INDEX('Raw Data'!$A:$O,F202,21)</f>
        <v>#NUM!</v>
      </c>
      <c r="Z202" t="e">
        <f t="array" ref="Z202">INDEX('Raw Data'!$A:$O,$F202,3)</f>
        <v>#NUM!</v>
      </c>
      <c r="AA202" t="e">
        <f t="array" ref="AA202">INDEX('Raw Data'!$A:$O,$F202,22)</f>
        <v>#NUM!</v>
      </c>
      <c r="AB202" t="e">
        <f t="array" ref="AB202">INDEX('Raw Data'!$A:$O,$F202,23)</f>
        <v>#NUM!</v>
      </c>
    </row>
    <row r="203" spans="1:44" x14ac:dyDescent="0.25">
      <c r="A203" t="s">
        <v>2</v>
      </c>
      <c r="C203" s="3" t="e">
        <f>B202/B201</f>
        <v>#DIV/0!</v>
      </c>
      <c r="F203" t="e">
        <f t="array" ref="F203">SMALL(IF('Raw Data'!A:A=C199,ROW('Raw Data'!A:A)),ROW('Raw Data'!$4:$4))</f>
        <v>#NUM!</v>
      </c>
      <c r="G203" t="e">
        <f t="array" ref="G203">INDEX('Raw Data'!A:A,F203,9)</f>
        <v>#NUM!</v>
      </c>
      <c r="H203" t="e">
        <f t="array" ref="H203">INDEX('Raw Data'!A:A,F203,10)</f>
        <v>#NUM!</v>
      </c>
      <c r="I203" t="e">
        <f t="array" ref="I203">INDEX('Raw Data'!$A:A,$F203,11)</f>
        <v>#NUM!</v>
      </c>
      <c r="J203" t="e">
        <f t="array" ref="J203">INDEX('Raw Data'!$A:A,F203,12)</f>
        <v>#NUM!</v>
      </c>
      <c r="K203" t="e">
        <f>(--INDEX('Raw Data'!$A$4:B$993,F203,4))</f>
        <v>#NUM!</v>
      </c>
      <c r="L203" t="e">
        <f t="array" ref="L203">(--INDEX('Raw Data'!$A$4:B$993,F203,5))</f>
        <v>#NUM!</v>
      </c>
      <c r="M203" t="e">
        <f t="array" ref="M203">(--INDEX('Raw Data'!$A$4:D$993,$F203,6))</f>
        <v>#NUM!</v>
      </c>
      <c r="N203" t="e">
        <f t="array" ref="N203">(--INDEX('Raw Data'!$A$4:D$993,$F203,7))</f>
        <v>#NUM!</v>
      </c>
      <c r="O203" t="e">
        <f t="array" ref="O203">IF(--INDEX('Raw Data'!$A$4:E$993,$F203,8)= 0, 1, 0)</f>
        <v>#NUM!</v>
      </c>
      <c r="P203" t="e">
        <f t="array" ref="P203">IF(--INDEX('Raw Data'!$A$4:F$993,$F203,8)= 1, 1, 0)</f>
        <v>#NUM!</v>
      </c>
      <c r="Q203" t="e">
        <f t="array" ref="Q203">IF(--INDEX('Raw Data'!$A$4:G$993,$F203,13)= 1, 1, 0)</f>
        <v>#NUM!</v>
      </c>
      <c r="R203" t="e">
        <f t="array" ref="R203">IF(--INDEX('Raw Data'!$A$4:H$993,$F203,14)= 1, 1, 0)</f>
        <v>#NUM!</v>
      </c>
      <c r="S203" t="e">
        <f t="array" ref="S203">IF(--INDEX('Raw Data'!$A$4:I$993,$F203,15)= 1, 1, 0)</f>
        <v>#NUM!</v>
      </c>
      <c r="T203" t="e">
        <f t="array" ref="T203">IF(--INDEX('Raw Data'!$A$4:I$993,$F203,15)= 1, 1, 0)</f>
        <v>#NUM!</v>
      </c>
      <c r="U203" t="e">
        <f t="array" ref="U203">IF(--INDEX('Raw Data'!$A$4:J$993,$F203,16)= 1, 1, 0)</f>
        <v>#NUM!</v>
      </c>
      <c r="V203" t="e">
        <f t="array" ref="V203">IF(--INDEX('Raw Data'!$A$4:K$993,$F203,17)= 1, 1, 0)</f>
        <v>#NUM!</v>
      </c>
      <c r="W203" t="e">
        <f t="array" ref="W203">INDEX('Raw Data'!$A:$O,$F203,19)</f>
        <v>#NUM!</v>
      </c>
      <c r="X203" t="e">
        <f t="array" ref="X203">INDEX('Raw Data'!$A:$O,$F203,20)</f>
        <v>#NUM!</v>
      </c>
      <c r="Y203" t="e">
        <f t="array" ref="Y203">INDEX('Raw Data'!$A:$O,F203,21)</f>
        <v>#NUM!</v>
      </c>
      <c r="Z203" t="e">
        <f t="array" ref="Z203">INDEX('Raw Data'!$A:$O,$F203,3)</f>
        <v>#NUM!</v>
      </c>
      <c r="AA203" t="e">
        <f t="array" ref="AA203">INDEX('Raw Data'!$A:$O,$F203,22)</f>
        <v>#NUM!</v>
      </c>
      <c r="AB203" t="e">
        <f t="array" ref="AB203">INDEX('Raw Data'!$A:$O,$F203,23)</f>
        <v>#NUM!</v>
      </c>
    </row>
    <row r="204" spans="1:44" x14ac:dyDescent="0.25">
      <c r="A204" t="s">
        <v>54</v>
      </c>
      <c r="B204">
        <f>I215</f>
        <v>0</v>
      </c>
      <c r="F204" t="e">
        <f t="array" ref="F204">SMALL(IF('Raw Data'!A:A=C199,ROW('Raw Data'!A:A)),ROW('Raw Data'!$5:$5))</f>
        <v>#NUM!</v>
      </c>
      <c r="G204" t="e">
        <f t="array" ref="G204">INDEX('Raw Data'!A:A,F204,9)</f>
        <v>#NUM!</v>
      </c>
      <c r="H204" t="e">
        <f t="array" ref="H204">INDEX('Raw Data'!A:A,F204,10)</f>
        <v>#NUM!</v>
      </c>
      <c r="I204" t="e">
        <f t="array" ref="I204">INDEX('Raw Data'!$A:A,$F204,11)</f>
        <v>#NUM!</v>
      </c>
      <c r="J204" t="e">
        <f t="array" ref="J204">INDEX('Raw Data'!$A:A,F204,12)</f>
        <v>#NUM!</v>
      </c>
      <c r="K204" t="e">
        <f>(--INDEX('Raw Data'!$A$4:B$993,F204,4))</f>
        <v>#NUM!</v>
      </c>
      <c r="L204" t="e">
        <f t="array" ref="L204">(--INDEX('Raw Data'!$A$4:B$993,F204,5))</f>
        <v>#NUM!</v>
      </c>
      <c r="M204" t="e">
        <f t="array" ref="M204">(--INDEX('Raw Data'!$A$4:D$993,$F204,6))</f>
        <v>#NUM!</v>
      </c>
      <c r="N204" t="e">
        <f t="array" ref="N204">(--INDEX('Raw Data'!$A$4:D$993,$F204,7))</f>
        <v>#NUM!</v>
      </c>
      <c r="O204" t="e">
        <f t="array" ref="O204">IF(--INDEX('Raw Data'!$A$4:E$993,$F204,8)= 0, 1, 0)</f>
        <v>#NUM!</v>
      </c>
      <c r="P204" t="e">
        <f t="array" ref="P204">IF(--INDEX('Raw Data'!$A$4:F$993,$F204,8)= 1, 1, 0)</f>
        <v>#NUM!</v>
      </c>
      <c r="Q204" t="e">
        <f t="array" ref="Q204">IF(--INDEX('Raw Data'!$A$4:G$993,$F204,13)= 1, 1, 0)</f>
        <v>#NUM!</v>
      </c>
      <c r="R204" t="e">
        <f t="array" ref="R204">IF(--INDEX('Raw Data'!$A$4:H$993,$F204,14)= 1, 1, 0)</f>
        <v>#NUM!</v>
      </c>
      <c r="S204" t="e">
        <f t="array" ref="S204">IF(--INDEX('Raw Data'!$A$4:I$993,$F204,15)= 1, 1, 0)</f>
        <v>#NUM!</v>
      </c>
      <c r="T204" t="e">
        <f t="array" ref="T204">IF(--INDEX('Raw Data'!$A$4:I$993,$F204,15)= 1, 1, 0)</f>
        <v>#NUM!</v>
      </c>
      <c r="U204" t="e">
        <f t="array" ref="U204">IF(--INDEX('Raw Data'!$A$4:J$993,$F204,16)= 1, 1, 0)</f>
        <v>#NUM!</v>
      </c>
      <c r="V204" t="e">
        <f t="array" ref="V204">IF(--INDEX('Raw Data'!$A$4:K$993,$F204,17)= 1, 1, 0)</f>
        <v>#NUM!</v>
      </c>
      <c r="W204" t="e">
        <f t="array" ref="W204">INDEX('Raw Data'!$A:$O,$F204,19)</f>
        <v>#NUM!</v>
      </c>
      <c r="X204" t="e">
        <f t="array" ref="X204">INDEX('Raw Data'!$A:$O,$F204,20)</f>
        <v>#NUM!</v>
      </c>
      <c r="Y204" t="e">
        <f t="array" ref="Y204">INDEX('Raw Data'!$A:$O,F204,21)</f>
        <v>#NUM!</v>
      </c>
      <c r="Z204" t="e">
        <f t="array" ref="Z204">INDEX('Raw Data'!$A:$O,$F204,3)</f>
        <v>#NUM!</v>
      </c>
      <c r="AA204" t="e">
        <f t="array" ref="AA204">INDEX('Raw Data'!$A:$O,$F204,22)</f>
        <v>#NUM!</v>
      </c>
      <c r="AB204" t="e">
        <f t="array" ref="AB204">INDEX('Raw Data'!$A:$O,$F204,23)</f>
        <v>#NUM!</v>
      </c>
      <c r="AR204" s="25"/>
    </row>
    <row r="205" spans="1:44" x14ac:dyDescent="0.25">
      <c r="A205" t="s">
        <v>35</v>
      </c>
      <c r="B205">
        <f>J215</f>
        <v>0</v>
      </c>
      <c r="F205" t="e">
        <f t="array" ref="F205">SMALL(IF('Raw Data'!A:A=C199,ROW('Raw Data'!A:A)),ROW('Raw Data'!$6:$6))</f>
        <v>#NUM!</v>
      </c>
      <c r="G205" t="e">
        <f t="array" ref="G205">INDEX('Raw Data'!A:A,F205,9)</f>
        <v>#NUM!</v>
      </c>
      <c r="H205" t="e">
        <f t="array" ref="H205">INDEX('Raw Data'!A:A,F205,10)</f>
        <v>#NUM!</v>
      </c>
      <c r="I205" t="e">
        <f t="array" ref="I205">INDEX('Raw Data'!$A:A,$F205,11)</f>
        <v>#NUM!</v>
      </c>
      <c r="J205" t="e">
        <f t="array" ref="J205">INDEX('Raw Data'!$A:A,F205,12)</f>
        <v>#NUM!</v>
      </c>
      <c r="K205" t="e">
        <f>(--INDEX('Raw Data'!$A$4:B$993,F205,4))</f>
        <v>#NUM!</v>
      </c>
      <c r="L205" t="e">
        <f t="array" ref="L205">(--INDEX('Raw Data'!$A$4:B$998,F205,5))</f>
        <v>#NUM!</v>
      </c>
      <c r="M205" t="e">
        <f t="array" ref="M205">(--INDEX('Raw Data'!$A$4:D$998,$F205,6))</f>
        <v>#NUM!</v>
      </c>
      <c r="N205" t="e">
        <f t="array" ref="N205">(--INDEX('Raw Data'!$A$4:D$993,$F205,7))</f>
        <v>#NUM!</v>
      </c>
      <c r="O205" t="e">
        <f t="array" ref="O205">IF(--INDEX('Raw Data'!$A$4:E$993,$F205,8)= 0, 1, 0)</f>
        <v>#NUM!</v>
      </c>
      <c r="P205" t="e">
        <f t="array" ref="P205">IF(--INDEX('Raw Data'!$A$4:F$998,$F205,8)= 1, 1, 0)</f>
        <v>#NUM!</v>
      </c>
      <c r="Q205" t="e">
        <f t="array" ref="Q205">IF(--INDEX('Raw Data'!$A$4:G$998,$F205,13)= 1, 1, 0)</f>
        <v>#NUM!</v>
      </c>
      <c r="R205" t="e">
        <f t="array" ref="R205">IF(--INDEX('Raw Data'!$A$4:H$998,$F205,14)= 1, 1, 0)</f>
        <v>#NUM!</v>
      </c>
      <c r="S205" t="e">
        <f t="array" ref="S205">IF(--INDEX('Raw Data'!$A$4:I$993,$F205,15)= 1, 1, 0)</f>
        <v>#NUM!</v>
      </c>
      <c r="T205" t="e">
        <f t="array" ref="T205">IF(--INDEX('Raw Data'!$A$4:I$998,$F205,15)= 1, 1, 0)</f>
        <v>#NUM!</v>
      </c>
      <c r="U205" t="e">
        <f t="array" ref="U205">IF(--INDEX('Raw Data'!$A$4:J$998,$F205,16)= 1, 1, 0)</f>
        <v>#NUM!</v>
      </c>
      <c r="V205" t="e">
        <f t="array" ref="V205">IF(--INDEX('Raw Data'!$A$4:K$993,$F205,17)= 1, 1, 0)</f>
        <v>#NUM!</v>
      </c>
      <c r="W205" t="e">
        <f t="array" ref="W205">INDEX('Raw Data'!$A:$O,$F205,19)</f>
        <v>#NUM!</v>
      </c>
      <c r="X205" t="e">
        <f t="array" ref="X205">INDEX('Raw Data'!$A:$O,$F205,20)</f>
        <v>#NUM!</v>
      </c>
      <c r="Y205" t="e">
        <f t="array" ref="Y205">INDEX('Raw Data'!$A:$O,F205,21)</f>
        <v>#NUM!</v>
      </c>
      <c r="Z205" t="e">
        <f t="array" ref="Z205">INDEX('Raw Data'!$A:$O,$F205,3)</f>
        <v>#NUM!</v>
      </c>
      <c r="AA205" t="e">
        <f t="array" ref="AA205">INDEX('Raw Data'!$A:$O,$F205,22)</f>
        <v>#NUM!</v>
      </c>
      <c r="AB205" t="e">
        <f t="array" ref="AB205">INDEX('Raw Data'!$A:$O,$F205,23)</f>
        <v>#NUM!</v>
      </c>
      <c r="AR205" s="25"/>
    </row>
    <row r="206" spans="1:44" ht="28.5" x14ac:dyDescent="0.45">
      <c r="F206" t="e">
        <f t="array" ref="F206">SMALL(IF('Raw Data'!A:A=C199,ROW('Raw Data'!A:A)),ROW('Raw Data'!$7:$7))</f>
        <v>#NUM!</v>
      </c>
      <c r="G206" t="e">
        <f t="array" ref="G206">INDEX('Raw Data'!A:A,F206,9)</f>
        <v>#NUM!</v>
      </c>
      <c r="H206" t="e">
        <f t="array" ref="H206">INDEX('Raw Data'!A:A,F206,10)</f>
        <v>#NUM!</v>
      </c>
      <c r="I206" t="e">
        <f t="array" ref="I206">INDEX('Raw Data'!$A:A,$F206,11)</f>
        <v>#NUM!</v>
      </c>
      <c r="J206" t="e">
        <f t="array" ref="J206">INDEX('Raw Data'!$A:A,F206,12)</f>
        <v>#NUM!</v>
      </c>
      <c r="K206" t="e">
        <f t="array" ref="K206">(--INDEX('Raw Data'!$A$4:B$998,F206,4))</f>
        <v>#NUM!</v>
      </c>
      <c r="L206" t="e">
        <f t="array" ref="L206">(--INDEX('Raw Data'!$A$4:B$998,F206,5))</f>
        <v>#NUM!</v>
      </c>
      <c r="M206" t="e">
        <f t="array" ref="M206">(--INDEX('Raw Data'!$A$4:D$998,$F206,6))</f>
        <v>#NUM!</v>
      </c>
      <c r="N206" t="e">
        <f t="array" ref="N206">(--INDEX('Raw Data'!$A$4:D$998,$F206,7))</f>
        <v>#NUM!</v>
      </c>
      <c r="O206" t="e">
        <f t="array" ref="O206">IF(--INDEX('Raw Data'!$A$4:E$998,$F206,8)= 0, 1, 0)</f>
        <v>#NUM!</v>
      </c>
      <c r="P206" t="e">
        <f t="array" ref="P206">IF(--INDEX('Raw Data'!$A$4:F$998,$F206,8)= 1, 1, 0)</f>
        <v>#NUM!</v>
      </c>
      <c r="Q206" t="e">
        <f t="array" ref="Q206">IF(--INDEX('Raw Data'!$A$4:G$998,$F206,13)= 1, 1, 0)</f>
        <v>#NUM!</v>
      </c>
      <c r="R206" t="e">
        <f t="array" ref="R206">IF(--INDEX('Raw Data'!$A$4:H$998,$F206,14)= 1, 1, 0)</f>
        <v>#NUM!</v>
      </c>
      <c r="S206" t="e">
        <f t="array" ref="S206">IF(--INDEX('Raw Data'!$A$4:I$998,$F206,15)= 1, 1, 0)</f>
        <v>#NUM!</v>
      </c>
      <c r="T206" t="e">
        <f t="array" ref="T206">IF(--INDEX('Raw Data'!$A$4:I$998,$F206,15)= 1, 1, 0)</f>
        <v>#NUM!</v>
      </c>
      <c r="U206" t="e">
        <f t="array" ref="U206">IF(--INDEX('Raw Data'!$A$4:J$998,$F206,16)= 1, 1, 0)</f>
        <v>#NUM!</v>
      </c>
      <c r="V206" t="e">
        <f t="array" ref="V206">IF(--INDEX('Raw Data'!$A$4:K$998,$F206,17)= 1, 1, 0)</f>
        <v>#NUM!</v>
      </c>
      <c r="W206" t="e">
        <f t="array" ref="W206">INDEX('Raw Data'!$A:$O,$F206,19)</f>
        <v>#NUM!</v>
      </c>
      <c r="X206" t="e">
        <f t="array" ref="X206">INDEX('Raw Data'!$A:$O,$F206,20)</f>
        <v>#NUM!</v>
      </c>
      <c r="Y206" t="e">
        <f t="array" ref="Y206">INDEX('Raw Data'!$A:$O,F206,21)</f>
        <v>#NUM!</v>
      </c>
      <c r="Z206" t="e">
        <f t="array" ref="Z206">INDEX('Raw Data'!$A:$O,$F206,3)</f>
        <v>#NUM!</v>
      </c>
      <c r="AA206" t="e">
        <f t="array" ref="AA206">INDEX('Raw Data'!$A:$O,$F206,22)</f>
        <v>#NUM!</v>
      </c>
      <c r="AB206" t="e">
        <f t="array" ref="AB206">INDEX('Raw Data'!$A:$O,$F206,23)</f>
        <v>#NUM!</v>
      </c>
      <c r="AM206" s="21"/>
    </row>
    <row r="207" spans="1:44" x14ac:dyDescent="0.25">
      <c r="F207" t="e">
        <f t="array" ref="F207">SMALL(IF('Raw Data'!A:A=C199,ROW('Raw Data'!A:A)),ROW('Raw Data'!$8:$8))</f>
        <v>#NUM!</v>
      </c>
      <c r="G207" t="e">
        <f t="array" ref="G207">INDEX('Raw Data'!A:A,F207,9)</f>
        <v>#NUM!</v>
      </c>
      <c r="H207" t="e">
        <f t="array" ref="H207">INDEX('Raw Data'!A:A,F207,10)</f>
        <v>#NUM!</v>
      </c>
      <c r="I207" t="e">
        <f t="array" ref="I207">INDEX('Raw Data'!$A:A,$F207,11)</f>
        <v>#NUM!</v>
      </c>
      <c r="J207" t="e">
        <f t="array" ref="J207">INDEX('Raw Data'!$A:A,F207,12)</f>
        <v>#NUM!</v>
      </c>
      <c r="K207" t="e">
        <f t="array" ref="K207">(--INDEX('Raw Data'!$A$4:B$998,F207,4))</f>
        <v>#NUM!</v>
      </c>
      <c r="L207" t="e">
        <f t="array" ref="L207">(--INDEX('Raw Data'!$A$4:B$998,F207,5))</f>
        <v>#NUM!</v>
      </c>
      <c r="M207" t="e">
        <f t="array" ref="M207">(--INDEX('Raw Data'!$A$4:D$998,$F207,6))</f>
        <v>#NUM!</v>
      </c>
      <c r="N207" t="e">
        <f t="array" ref="N207">(--INDEX('Raw Data'!$A$4:D$998,$F207,7))</f>
        <v>#NUM!</v>
      </c>
      <c r="O207" t="e">
        <f t="array" ref="O207">IF(--INDEX('Raw Data'!$A$4:E$998,$F207,8)= 0, 1, 0)</f>
        <v>#NUM!</v>
      </c>
      <c r="P207" t="e">
        <f t="array" ref="P207">IF(--INDEX('Raw Data'!$A$4:F$998,$F207,8)= 1, 1, 0)</f>
        <v>#NUM!</v>
      </c>
      <c r="Q207" t="e">
        <f t="array" ref="Q207">IF(--INDEX('Raw Data'!$A$4:G$998,$F207,13)= 1, 1, 0)</f>
        <v>#NUM!</v>
      </c>
      <c r="R207" t="e">
        <f t="array" ref="R207">IF(--INDEX('Raw Data'!$A$4:H$998,$F207,14)= 1, 1, 0)</f>
        <v>#NUM!</v>
      </c>
      <c r="S207" t="e">
        <f t="array" ref="S207">IF(--INDEX('Raw Data'!$A$4:I$998,$F207,15)= 1, 1, 0)</f>
        <v>#NUM!</v>
      </c>
      <c r="T207" t="e">
        <f t="array" ref="T207">IF(--INDEX('Raw Data'!$A$4:I$998,$F207,15)= 1, 1, 0)</f>
        <v>#NUM!</v>
      </c>
      <c r="U207" t="e">
        <f t="array" ref="U207">IF(--INDEX('Raw Data'!$A$4:J$998,$F207,16)= 1, 1, 0)</f>
        <v>#NUM!</v>
      </c>
      <c r="V207" t="e">
        <f t="array" ref="V207">IF(--INDEX('Raw Data'!$A$4:K$998,$F207,17)= 1, 1, 0)</f>
        <v>#NUM!</v>
      </c>
      <c r="W207" t="e">
        <f t="array" ref="W207">INDEX('Raw Data'!$A:$O,$F207,19)</f>
        <v>#NUM!</v>
      </c>
      <c r="X207" t="e">
        <f t="array" ref="X207">INDEX('Raw Data'!$A:$O,$F207,20)</f>
        <v>#NUM!</v>
      </c>
      <c r="Y207" t="e">
        <f t="array" ref="Y207">INDEX('Raw Data'!$A:$O,F207,21)</f>
        <v>#NUM!</v>
      </c>
      <c r="Z207" t="e">
        <f t="array" ref="Z207">INDEX('Raw Data'!$A:$O,$F207,3)</f>
        <v>#NUM!</v>
      </c>
      <c r="AA207" t="e">
        <f t="array" ref="AA207">INDEX('Raw Data'!$A:$O,$F207,22)</f>
        <v>#NUM!</v>
      </c>
      <c r="AB207" t="e">
        <f t="array" ref="AB207">INDEX('Raw Data'!$A:$O,$F207,23)</f>
        <v>#NUM!</v>
      </c>
    </row>
    <row r="208" spans="1:44" x14ac:dyDescent="0.25">
      <c r="F208" t="e">
        <f t="array" ref="F208">SMALL(IF('Raw Data'!A:A=C199,ROW('Raw Data'!A:A)),ROW('Raw Data'!$9:$9))</f>
        <v>#NUM!</v>
      </c>
      <c r="G208" t="e">
        <f t="array" ref="G208">INDEX('Raw Data'!A:A,F208,9)</f>
        <v>#NUM!</v>
      </c>
      <c r="H208" t="e">
        <f t="array" ref="H208">INDEX('Raw Data'!A:A,F208,10)</f>
        <v>#NUM!</v>
      </c>
      <c r="I208" t="e">
        <f t="array" ref="I208">INDEX('Raw Data'!$A:A,$F208,11)</f>
        <v>#NUM!</v>
      </c>
      <c r="J208" t="e">
        <f t="array" ref="J208">INDEX('Raw Data'!$A:A,F208,12)</f>
        <v>#NUM!</v>
      </c>
      <c r="K208" t="e">
        <f t="array" ref="K208">(--INDEX('Raw Data'!$A$4:B$998,F208,4))</f>
        <v>#NUM!</v>
      </c>
      <c r="L208" t="e">
        <f t="array" ref="L208">(--INDEX('Raw Data'!$A$4:B$998,F208,5))</f>
        <v>#NUM!</v>
      </c>
      <c r="M208" t="e">
        <f t="array" ref="M208">(--INDEX('Raw Data'!$A$4:D$998,$F208,6))</f>
        <v>#NUM!</v>
      </c>
      <c r="N208" t="e">
        <f t="array" ref="N208">(--INDEX('Raw Data'!$A$4:D$998,$F208,7))</f>
        <v>#NUM!</v>
      </c>
      <c r="O208" t="e">
        <f t="array" ref="O208">IF(--INDEX('Raw Data'!$A$4:E$998,$F208,8)= 0, 1, 0)</f>
        <v>#NUM!</v>
      </c>
      <c r="P208" t="e">
        <f t="array" ref="P208">IF(--INDEX('Raw Data'!$A$4:F$998,$F208,8)= 1, 1, 0)</f>
        <v>#NUM!</v>
      </c>
      <c r="Q208" t="e">
        <f t="array" ref="Q208">IF(--INDEX('Raw Data'!$A$4:G$998,$F208,13)= 1, 1, 0)</f>
        <v>#NUM!</v>
      </c>
      <c r="R208" t="e">
        <f t="array" ref="R208">IF(--INDEX('Raw Data'!$A$4:H$998,$F208,14)= 1, 1, 0)</f>
        <v>#NUM!</v>
      </c>
      <c r="S208" t="e">
        <f t="array" ref="S208">IF(--INDEX('Raw Data'!$A$4:I$998,$F208,15)= 1, 1, 0)</f>
        <v>#NUM!</v>
      </c>
      <c r="T208" t="e">
        <f t="array" ref="T208">IF(--INDEX('Raw Data'!$A$4:I$998,$F208,15)= 1, 1, 0)</f>
        <v>#NUM!</v>
      </c>
      <c r="U208" t="e">
        <f t="array" ref="U208">IF(--INDEX('Raw Data'!$A$4:J$998,$F208,16)= 1, 1, 0)</f>
        <v>#NUM!</v>
      </c>
      <c r="V208" t="e">
        <f t="array" ref="V208">IF(--INDEX('Raw Data'!$A$4:K$998,$F208,17)= 1, 1, 0)</f>
        <v>#NUM!</v>
      </c>
      <c r="W208" t="e">
        <f t="array" ref="W208">INDEX('Raw Data'!$A:$O,$F208,19)</f>
        <v>#NUM!</v>
      </c>
      <c r="X208" t="e">
        <f t="array" ref="X208">INDEX('Raw Data'!$A:$O,$F208,20)</f>
        <v>#NUM!</v>
      </c>
      <c r="Y208" t="e">
        <f t="array" ref="Y208">INDEX('Raw Data'!$A:$O,F208,21)</f>
        <v>#NUM!</v>
      </c>
      <c r="Z208" t="e">
        <f t="array" ref="Z208">INDEX('Raw Data'!$A:$O,$F208,3)</f>
        <v>#NUM!</v>
      </c>
      <c r="AA208" t="e">
        <f t="array" ref="AA208">INDEX('Raw Data'!$A:$O,$F208,22)</f>
        <v>#NUM!</v>
      </c>
      <c r="AB208" t="e">
        <f t="array" ref="AB208">INDEX('Raw Data'!$A:$O,$F208,23)</f>
        <v>#NUM!</v>
      </c>
    </row>
    <row r="209" spans="1:44" x14ac:dyDescent="0.25">
      <c r="F209" t="e">
        <f t="array" ref="F209">SMALL(IF('Raw Data'!A:A=C199,ROW('Raw Data'!A:A)),ROW('Raw Data'!$10:$10))</f>
        <v>#NUM!</v>
      </c>
      <c r="G209" t="e">
        <f t="array" ref="G209">INDEX('Raw Data'!A:A,F209,9)</f>
        <v>#NUM!</v>
      </c>
      <c r="H209" t="e">
        <f t="array" ref="H209">INDEX('Raw Data'!A:A,F209,10)</f>
        <v>#NUM!</v>
      </c>
      <c r="I209" t="e">
        <f t="array" ref="I209">INDEX('Raw Data'!$A:A,$F209,11)</f>
        <v>#NUM!</v>
      </c>
      <c r="J209" t="e">
        <f t="array" ref="J209">INDEX('Raw Data'!$A:A,F209,12)</f>
        <v>#NUM!</v>
      </c>
      <c r="K209" t="e">
        <f t="array" ref="K209">(--INDEX('Raw Data'!$A$4:B$998,F209,4))</f>
        <v>#NUM!</v>
      </c>
      <c r="L209" t="e">
        <f t="array" ref="L209">(--INDEX('Raw Data'!$A$4:B$998,F209,5))</f>
        <v>#NUM!</v>
      </c>
      <c r="M209" t="e">
        <f t="array" ref="M209">(--INDEX('Raw Data'!$A$4:D$998,$F209,6))</f>
        <v>#NUM!</v>
      </c>
      <c r="N209" t="e">
        <f t="array" ref="N209">(--INDEX('Raw Data'!$A$4:D$998,$F209,7))</f>
        <v>#NUM!</v>
      </c>
      <c r="O209" t="e">
        <f t="array" ref="O209">IF(--INDEX('Raw Data'!$A$4:E$998,$F209,8)= 0, 1, 0)</f>
        <v>#NUM!</v>
      </c>
      <c r="P209" t="e">
        <f t="array" ref="P209">IF(--INDEX('Raw Data'!$A$4:F$998,$F209,8)= 1, 1, 0)</f>
        <v>#NUM!</v>
      </c>
      <c r="Q209" t="e">
        <f t="array" ref="Q209">IF(--INDEX('Raw Data'!$A$4:G$998,$F209,13)= 1, 1, 0)</f>
        <v>#NUM!</v>
      </c>
      <c r="R209" t="e">
        <f t="array" ref="R209">IF(--INDEX('Raw Data'!$A$4:H$998,$F209,14)= 1, 1, 0)</f>
        <v>#NUM!</v>
      </c>
      <c r="S209" t="e">
        <f t="array" ref="S209">IF(--INDEX('Raw Data'!$A$4:I$998,$F209,15)= 1, 1, 0)</f>
        <v>#NUM!</v>
      </c>
      <c r="T209" t="e">
        <f t="array" ref="T209">IF(--INDEX('Raw Data'!$A$4:I$998,$F209,15)= 1, 1, 0)</f>
        <v>#NUM!</v>
      </c>
      <c r="U209" t="e">
        <f t="array" ref="U209">IF(--INDEX('Raw Data'!$A$4:J$998,$F209,16)= 1, 1, 0)</f>
        <v>#NUM!</v>
      </c>
      <c r="V209" t="e">
        <f t="array" ref="V209">IF(--INDEX('Raw Data'!$A$4:K$998,$F209,17)= 1, 1, 0)</f>
        <v>#NUM!</v>
      </c>
      <c r="W209" t="e">
        <f t="array" ref="W209">INDEX('Raw Data'!$A:$O,$F209,19)</f>
        <v>#NUM!</v>
      </c>
      <c r="X209" t="e">
        <f t="array" ref="X209">INDEX('Raw Data'!$A:$O,$F209,20)</f>
        <v>#NUM!</v>
      </c>
      <c r="Y209" t="e">
        <f t="array" ref="Y209">INDEX('Raw Data'!$A:$O,F209,21)</f>
        <v>#NUM!</v>
      </c>
      <c r="Z209" t="e">
        <f t="array" ref="Z209">INDEX('Raw Data'!$A:$O,$F209,3)</f>
        <v>#NUM!</v>
      </c>
      <c r="AA209" t="e">
        <f t="array" ref="AA209">INDEX('Raw Data'!$A:$O,$F209,22)</f>
        <v>#NUM!</v>
      </c>
      <c r="AB209" t="e">
        <f t="array" ref="AB209">INDEX('Raw Data'!$A:$O,$F209,23)</f>
        <v>#NUM!</v>
      </c>
    </row>
    <row r="210" spans="1:44" x14ac:dyDescent="0.25">
      <c r="F210" t="e">
        <f t="array" ref="F210">SMALL(IF('Raw Data'!A:A=C199,ROW('Raw Data'!A:A)),ROW('Raw Data'!$11:$11))</f>
        <v>#NUM!</v>
      </c>
      <c r="G210" t="e">
        <f t="array" ref="G210">INDEX('Raw Data'!A:A,F210,9)</f>
        <v>#NUM!</v>
      </c>
      <c r="H210" t="e">
        <f t="array" ref="H210">INDEX('Raw Data'!A:A,F210,10)</f>
        <v>#NUM!</v>
      </c>
      <c r="I210" t="e">
        <f t="array" ref="I210">INDEX('Raw Data'!$A:A,$F210,11)</f>
        <v>#NUM!</v>
      </c>
      <c r="J210" t="e">
        <f t="array" ref="J210">INDEX('Raw Data'!$A:A,F210,12)</f>
        <v>#NUM!</v>
      </c>
      <c r="K210" t="e">
        <f t="array" ref="K210">(--INDEX('Raw Data'!$A$4:B$998,F210,4))</f>
        <v>#NUM!</v>
      </c>
      <c r="L210" t="e">
        <f t="array" ref="L210">(--INDEX('Raw Data'!$A$4:B$998,F210,5))</f>
        <v>#NUM!</v>
      </c>
      <c r="M210" t="e">
        <f t="array" ref="M210">(--INDEX('Raw Data'!$A$4:D$998,$F210,6))</f>
        <v>#NUM!</v>
      </c>
      <c r="N210" t="e">
        <f t="array" ref="N210">(--INDEX('Raw Data'!$A$4:D$998,$F210,7))</f>
        <v>#NUM!</v>
      </c>
      <c r="O210" t="e">
        <f t="array" ref="O210">IF(--INDEX('Raw Data'!$A$4:E$998,$F210,8)= 0, 1, 0)</f>
        <v>#NUM!</v>
      </c>
      <c r="P210" t="e">
        <f t="array" ref="P210">IF(--INDEX('Raw Data'!$A$4:F$998,$F210,8)= 1, 1, 0)</f>
        <v>#NUM!</v>
      </c>
      <c r="Q210" t="e">
        <f t="array" ref="Q210">IF(--INDEX('Raw Data'!$A$4:G$998,$F210,13)= 1, 1, 0)</f>
        <v>#NUM!</v>
      </c>
      <c r="R210" t="e">
        <f t="array" ref="R210">IF(--INDEX('Raw Data'!$A$4:H$998,$F210,14)= 1, 1, 0)</f>
        <v>#NUM!</v>
      </c>
      <c r="S210" t="e">
        <f t="array" ref="S210">IF(--INDEX('Raw Data'!$A$4:I$998,$F210,15)= 1, 1, 0)</f>
        <v>#NUM!</v>
      </c>
      <c r="T210" t="e">
        <f t="array" ref="T210">IF(--INDEX('Raw Data'!$A$4:I$998,$F210,15)= 1, 1, 0)</f>
        <v>#NUM!</v>
      </c>
      <c r="U210" t="e">
        <f t="array" ref="U210">IF(--INDEX('Raw Data'!$A$4:J$998,$F210,16)= 1, 1, 0)</f>
        <v>#NUM!</v>
      </c>
      <c r="V210" t="e">
        <f t="array" ref="V210">IF(--INDEX('Raw Data'!$A$4:K$998,$F210,17)= 1, 1, 0)</f>
        <v>#NUM!</v>
      </c>
      <c r="W210" t="e">
        <f t="array" ref="W210">INDEX('Raw Data'!$A:$O,$F210,19)</f>
        <v>#NUM!</v>
      </c>
      <c r="X210" t="e">
        <f t="array" ref="X210">INDEX('Raw Data'!$A:$O,$F210,20)</f>
        <v>#NUM!</v>
      </c>
      <c r="Y210" t="e">
        <f t="array" ref="Y210">INDEX('Raw Data'!$A:$O,F210,21)</f>
        <v>#NUM!</v>
      </c>
      <c r="Z210" t="e">
        <f t="array" ref="Z210">INDEX('Raw Data'!$A:$O,$F210,3)</f>
        <v>#NUM!</v>
      </c>
      <c r="AA210" t="e">
        <f t="array" ref="AA210">INDEX('Raw Data'!$A:$O,$F210,22)</f>
        <v>#NUM!</v>
      </c>
      <c r="AB210" t="e">
        <f t="array" ref="AB210">INDEX('Raw Data'!$A:$O,$F210,23)</f>
        <v>#NUM!</v>
      </c>
    </row>
    <row r="211" spans="1:44" x14ac:dyDescent="0.25">
      <c r="F211" t="e">
        <f t="array" ref="F211">SMALL(IF('Raw Data'!A:A=C199,ROW('Raw Data'!A:A)),ROW('Raw Data'!$12:$12))</f>
        <v>#NUM!</v>
      </c>
      <c r="G211" t="e">
        <f t="array" ref="G211">INDEX('Raw Data'!A:A,F211,9)</f>
        <v>#NUM!</v>
      </c>
      <c r="H211" t="e">
        <f t="array" ref="H211">INDEX('Raw Data'!A:A,F211,10)</f>
        <v>#NUM!</v>
      </c>
      <c r="I211" t="e">
        <f t="array" ref="I211">INDEX('Raw Data'!$A:A,$F211,11)</f>
        <v>#NUM!</v>
      </c>
      <c r="J211" t="e">
        <f t="array" ref="J211">INDEX('Raw Data'!$A:A,F211,12)</f>
        <v>#NUM!</v>
      </c>
      <c r="K211" t="e">
        <f t="array" ref="K211">(--INDEX('Raw Data'!$A$4:B$998,F211,4))</f>
        <v>#NUM!</v>
      </c>
      <c r="L211" t="e">
        <f t="array" ref="L211">(--INDEX('Raw Data'!$A$4:B$998,F211,5))</f>
        <v>#NUM!</v>
      </c>
      <c r="M211" t="e">
        <f t="array" ref="M211">(--INDEX('Raw Data'!$A$4:D$998,$F211,6))</f>
        <v>#NUM!</v>
      </c>
      <c r="N211" t="e">
        <f t="array" ref="N211">(--INDEX('Raw Data'!$A$4:D$998,$F211,7))</f>
        <v>#NUM!</v>
      </c>
      <c r="O211" t="e">
        <f t="array" ref="O211">IF(--INDEX('Raw Data'!$A$4:E$998,$F211,8)= 0, 1, 0)</f>
        <v>#NUM!</v>
      </c>
      <c r="P211" t="e">
        <f t="array" ref="P211">IF(--INDEX('Raw Data'!$A$4:F$998,$F211,8)= 1, 1, 0)</f>
        <v>#NUM!</v>
      </c>
      <c r="Q211" t="e">
        <f t="array" ref="Q211">IF(--INDEX('Raw Data'!$A$4:G$998,$F211,13)= 1, 1, 0)</f>
        <v>#NUM!</v>
      </c>
      <c r="R211" t="e">
        <f t="array" ref="R211">IF(--INDEX('Raw Data'!$A$4:H$998,$F211,14)= 1, 1, 0)</f>
        <v>#NUM!</v>
      </c>
      <c r="S211" t="e">
        <f t="array" ref="S211">IF(--INDEX('Raw Data'!$A$4:I$998,$F211,15)= 1, 1, 0)</f>
        <v>#NUM!</v>
      </c>
      <c r="T211" t="e">
        <f t="array" ref="T211">IF(--INDEX('Raw Data'!$A$4:I$998,$F211,15)= 1, 1, 0)</f>
        <v>#NUM!</v>
      </c>
      <c r="U211" t="e">
        <f t="array" ref="U211">IF(--INDEX('Raw Data'!$A$4:J$998,$F211,16)= 1, 1, 0)</f>
        <v>#NUM!</v>
      </c>
      <c r="V211" t="e">
        <f t="array" ref="V211">IF(--INDEX('Raw Data'!$A$4:K$998,$F211,17)= 1, 1, 0)</f>
        <v>#NUM!</v>
      </c>
      <c r="W211" t="e">
        <f t="array" ref="W211">INDEX('Raw Data'!$A:$O,$F211,19)</f>
        <v>#NUM!</v>
      </c>
      <c r="X211" t="e">
        <f t="array" ref="X211">INDEX('Raw Data'!$A:$O,$F211,20)</f>
        <v>#NUM!</v>
      </c>
      <c r="Y211" t="e">
        <f t="array" ref="Y211">INDEX('Raw Data'!$A:$O,F211,21)</f>
        <v>#NUM!</v>
      </c>
      <c r="Z211" t="e">
        <f t="array" ref="Z211">INDEX('Raw Data'!$A:$O,$F211,3)</f>
        <v>#NUM!</v>
      </c>
      <c r="AA211" t="e">
        <f t="array" ref="AA211">INDEX('Raw Data'!$A:$O,$F211,22)</f>
        <v>#NUM!</v>
      </c>
      <c r="AB211" t="e">
        <f t="array" ref="AB211">INDEX('Raw Data'!$A:$O,$F211,23)</f>
        <v>#NUM!</v>
      </c>
    </row>
    <row r="212" spans="1:44" x14ac:dyDescent="0.25">
      <c r="F212" t="e">
        <f t="array" ref="F212">SMALL(IF('Raw Data'!A:A=C199,ROW('Raw Data'!A:A)),ROW('Raw Data'!$13:$13))</f>
        <v>#NUM!</v>
      </c>
      <c r="G212" t="e">
        <f t="array" ref="G212">INDEX('Raw Data'!A:A,F212,9)</f>
        <v>#NUM!</v>
      </c>
      <c r="H212" t="e">
        <f t="array" ref="H212">INDEX('Raw Data'!A:A,F212,10)</f>
        <v>#NUM!</v>
      </c>
      <c r="I212" t="e">
        <f t="array" ref="I212">INDEX('Raw Data'!$A:A,$F212,11)</f>
        <v>#NUM!</v>
      </c>
      <c r="J212" t="e">
        <f t="array" ref="J212">INDEX('Raw Data'!$A:A,F212,12)</f>
        <v>#NUM!</v>
      </c>
      <c r="K212" t="e">
        <f t="array" ref="K212">(--INDEX('Raw Data'!$A$4:B$998,F212,4))</f>
        <v>#NUM!</v>
      </c>
      <c r="L212" t="e">
        <f t="array" ref="L212">(--INDEX('Raw Data'!$A$4:B$998,F212,5))</f>
        <v>#NUM!</v>
      </c>
      <c r="M212" t="e">
        <f t="array" ref="M212">(--INDEX('Raw Data'!$A$4:D$998,$F212,6))</f>
        <v>#NUM!</v>
      </c>
      <c r="N212" t="e">
        <f t="array" ref="N212">(--INDEX('Raw Data'!$A$4:D$998,$F212,7))</f>
        <v>#NUM!</v>
      </c>
      <c r="O212" t="e">
        <f t="array" ref="O212">IF(--INDEX('Raw Data'!$A$4:E$998,$F212,8)= 0, 1, 0)</f>
        <v>#NUM!</v>
      </c>
      <c r="P212" t="e">
        <f t="array" ref="P212">IF(--INDEX('Raw Data'!$A$4:F$998,$F212,8)= 1, 1, 0)</f>
        <v>#NUM!</v>
      </c>
      <c r="Q212" t="e">
        <f t="array" ref="Q212">IF(--INDEX('Raw Data'!$A$4:G$998,$F212,13)= 1, 1, 0)</f>
        <v>#NUM!</v>
      </c>
      <c r="R212" t="e">
        <f t="array" ref="R212">IF(--INDEX('Raw Data'!$A$4:H$998,$F212,14)= 1, 1, 0)</f>
        <v>#NUM!</v>
      </c>
      <c r="S212" t="e">
        <f t="array" ref="S212">IF(--INDEX('Raw Data'!$A$4:I$998,$F212,15)= 1, 1, 0)</f>
        <v>#NUM!</v>
      </c>
      <c r="T212" t="e">
        <f t="array" ref="T212">IF(--INDEX('Raw Data'!$A$4:I$998,$F212,15)= 1, 1, 0)</f>
        <v>#NUM!</v>
      </c>
      <c r="U212" t="e">
        <f t="array" ref="U212">IF(--INDEX('Raw Data'!$A$4:J$998,$F212,16)= 1, 1, 0)</f>
        <v>#NUM!</v>
      </c>
      <c r="V212" t="e">
        <f t="array" ref="V212">IF(--INDEX('Raw Data'!$A$4:K$998,$F212,17)= 1, 1, 0)</f>
        <v>#NUM!</v>
      </c>
      <c r="W212" t="e">
        <f t="array" ref="W212">INDEX('Raw Data'!$A:$O,$F212,19)</f>
        <v>#NUM!</v>
      </c>
      <c r="X212" t="e">
        <f t="array" ref="X212">INDEX('Raw Data'!$A:$O,$F212,20)</f>
        <v>#NUM!</v>
      </c>
      <c r="Y212" t="e">
        <f t="array" ref="Y212">INDEX('Raw Data'!$A:$O,F212,21)</f>
        <v>#NUM!</v>
      </c>
      <c r="Z212" t="e">
        <f t="array" ref="Z212">INDEX('Raw Data'!$A:$O,$F212,3)</f>
        <v>#NUM!</v>
      </c>
      <c r="AA212" t="e">
        <f t="array" ref="AA212">INDEX('Raw Data'!$A:$O,$F212,22)</f>
        <v>#NUM!</v>
      </c>
      <c r="AB212" t="e">
        <f t="array" ref="AB212">INDEX('Raw Data'!$A:$O,$F212,23)</f>
        <v>#NUM!</v>
      </c>
    </row>
    <row r="213" spans="1:44" x14ac:dyDescent="0.25">
      <c r="F213" t="e">
        <f t="array" ref="F213">SMALL(IF('Raw Data'!A:A=C199,ROW('Raw Data'!A:A)),ROW('Raw Data'!$14:$14))</f>
        <v>#NUM!</v>
      </c>
      <c r="G213" t="e">
        <f t="array" ref="G213">INDEX('Raw Data'!A:A,F213,9)</f>
        <v>#NUM!</v>
      </c>
      <c r="H213" t="e">
        <f t="array" ref="H213">INDEX('Raw Data'!A:A,F213,10)</f>
        <v>#NUM!</v>
      </c>
      <c r="I213" t="e">
        <f t="array" ref="I213">INDEX('Raw Data'!$A:A,$F213,11)</f>
        <v>#NUM!</v>
      </c>
      <c r="J213" t="e">
        <f t="array" ref="J213">INDEX('Raw Data'!$A:A,F213,12)</f>
        <v>#NUM!</v>
      </c>
      <c r="K213" t="e">
        <f t="array" ref="K213">(--INDEX('Raw Data'!$A$4:B$998,F213,4))</f>
        <v>#NUM!</v>
      </c>
      <c r="L213" t="e">
        <f t="array" ref="L213">(--INDEX('Raw Data'!$A$4:B$998,F213,5))</f>
        <v>#NUM!</v>
      </c>
      <c r="M213" t="e">
        <f t="array" ref="M213">(--INDEX('Raw Data'!$A$4:D$998,$F213,6))</f>
        <v>#NUM!</v>
      </c>
      <c r="N213" t="e">
        <f t="array" ref="N213">(--INDEX('Raw Data'!$A$4:D$998,$F213,7))</f>
        <v>#NUM!</v>
      </c>
      <c r="O213" t="e">
        <f t="array" ref="O213">IF(--INDEX('Raw Data'!$A$4:E$998,$F213,8)= 0, 1, 0)</f>
        <v>#NUM!</v>
      </c>
      <c r="P213" t="e">
        <f t="array" ref="P213">IF(--INDEX('Raw Data'!$A$4:F$998,$F213,8)= 1, 1, 0)</f>
        <v>#NUM!</v>
      </c>
      <c r="Q213" t="e">
        <f t="array" ref="Q213">IF(--INDEX('Raw Data'!$A$4:G$998,$F213,13)= 1, 1, 0)</f>
        <v>#NUM!</v>
      </c>
      <c r="R213" t="e">
        <f t="array" ref="R213">IF(--INDEX('Raw Data'!$A$4:H$998,$F213,14)= 1, 1, 0)</f>
        <v>#NUM!</v>
      </c>
      <c r="S213" t="e">
        <f t="array" ref="S213">IF(--INDEX('Raw Data'!$A$4:I$998,$F213,15)= 1, 1, 0)</f>
        <v>#NUM!</v>
      </c>
      <c r="T213" t="e">
        <f t="array" ref="T213">IF(--INDEX('Raw Data'!$A$4:I$998,$F213,15)= 1, 1, 0)</f>
        <v>#NUM!</v>
      </c>
      <c r="U213" t="e">
        <f t="array" ref="U213">IF(--INDEX('Raw Data'!$A$4:J$998,$F213,16)= 1, 1, 0)</f>
        <v>#NUM!</v>
      </c>
      <c r="V213" t="e">
        <f t="array" ref="V213">IF(--INDEX('Raw Data'!$A$4:K$998,$F213,17)= 1, 1, 0)</f>
        <v>#NUM!</v>
      </c>
      <c r="W213" t="e">
        <f t="array" ref="W213">INDEX('Raw Data'!$A:$O,$F213,19)</f>
        <v>#NUM!</v>
      </c>
      <c r="X213" t="e">
        <f t="array" ref="X213">INDEX('Raw Data'!$A:$O,$F213,20)</f>
        <v>#NUM!</v>
      </c>
      <c r="Y213" t="e">
        <f t="array" ref="Y213">INDEX('Raw Data'!$A:$O,F213,21)</f>
        <v>#NUM!</v>
      </c>
      <c r="Z213" t="e">
        <f t="array" ref="Z213">INDEX('Raw Data'!$A:$O,$F213,3)</f>
        <v>#NUM!</v>
      </c>
      <c r="AA213" t="e">
        <f t="array" ref="AA213">INDEX('Raw Data'!$A:$O,$F213,22)</f>
        <v>#NUM!</v>
      </c>
      <c r="AB213" t="e">
        <f t="array" ref="AB213">INDEX('Raw Data'!$A:$O,$F213,23)</f>
        <v>#NUM!</v>
      </c>
    </row>
    <row r="214" spans="1:44" x14ac:dyDescent="0.25">
      <c r="F214" t="e">
        <f t="array" ref="F214">SMALL(IF('Raw Data'!A:A=C199,ROW('Raw Data'!A:A)),ROW('Raw Data'!$15:$15))</f>
        <v>#NUM!</v>
      </c>
      <c r="G214" t="e">
        <f t="array" ref="G214">INDEX('Raw Data'!A:A,F214,9)</f>
        <v>#NUM!</v>
      </c>
      <c r="H214" t="e">
        <f t="array" ref="H214">INDEX('Raw Data'!A:A,F214,10)</f>
        <v>#NUM!</v>
      </c>
      <c r="I214" t="e">
        <f t="array" ref="I214">INDEX('Raw Data'!$A:A,$F214,11)</f>
        <v>#NUM!</v>
      </c>
      <c r="J214" t="e">
        <f t="array" ref="J214">INDEX('Raw Data'!$A:A,F214,12)</f>
        <v>#NUM!</v>
      </c>
      <c r="K214" t="e">
        <f t="array" ref="K214">(--INDEX('Raw Data'!$A$4:B$998,F214,4))</f>
        <v>#NUM!</v>
      </c>
      <c r="L214" t="e">
        <f t="array" ref="L214">(--INDEX('Raw Data'!$A$4:B$998,F214,5))</f>
        <v>#NUM!</v>
      </c>
      <c r="M214" t="e">
        <f t="array" ref="M214">(--INDEX('Raw Data'!$A$4:D$998,$F214,6))</f>
        <v>#NUM!</v>
      </c>
      <c r="N214" t="e">
        <f t="array" ref="N214">(--INDEX('Raw Data'!$A$4:D$998,$F214,7))</f>
        <v>#NUM!</v>
      </c>
      <c r="O214" t="e">
        <f t="array" ref="O214">IF(--INDEX('Raw Data'!$A$4:E$998,$F214,8)= 0, 1, 0)</f>
        <v>#NUM!</v>
      </c>
      <c r="P214" t="e">
        <f t="array" ref="P214">IF(--INDEX('Raw Data'!$A$4:F$998,$F214,8)= 1, 1, 0)</f>
        <v>#NUM!</v>
      </c>
      <c r="Q214" t="e">
        <f t="array" ref="Q214">IF(--INDEX('Raw Data'!$A$4:G$998,$F214,13)= 1, 1, 0)</f>
        <v>#NUM!</v>
      </c>
      <c r="R214" t="e">
        <f t="array" ref="R214">IF(--INDEX('Raw Data'!$A$4:H$998,$F214,14)= 1, 1, 0)</f>
        <v>#NUM!</v>
      </c>
      <c r="S214" t="e">
        <f t="array" ref="S214">IF(--INDEX('Raw Data'!$A$4:I$998,$F214,15)= 1, 1, 0)</f>
        <v>#NUM!</v>
      </c>
      <c r="T214" t="e">
        <f t="array" ref="T214">IF(--INDEX('Raw Data'!$A$4:I$998,$F214,15)= 1, 1, 0)</f>
        <v>#NUM!</v>
      </c>
      <c r="U214" t="e">
        <f t="array" ref="U214">IF(--INDEX('Raw Data'!$A$4:J$998,$F214,16)= 1, 1, 0)</f>
        <v>#NUM!</v>
      </c>
      <c r="V214" t="e">
        <f t="array" ref="V214">IF(--INDEX('Raw Data'!$A$4:K$998,$F214,17)= 1, 1, 0)</f>
        <v>#NUM!</v>
      </c>
      <c r="W214" t="e">
        <f t="array" ref="W214">INDEX('Raw Data'!$A:$O,$F214,19)</f>
        <v>#NUM!</v>
      </c>
      <c r="X214" t="e">
        <f t="array" ref="X214">INDEX('Raw Data'!$A:$O,$F214,20)</f>
        <v>#NUM!</v>
      </c>
      <c r="Y214" t="e">
        <f t="array" ref="Y214">INDEX('Raw Data'!$A:$O,F214,21)</f>
        <v>#NUM!</v>
      </c>
      <c r="Z214" t="e">
        <f t="array" ref="Z214">INDEX('Raw Data'!$A:$O,$F214,3)</f>
        <v>#NUM!</v>
      </c>
      <c r="AA214" t="e">
        <f t="array" ref="AA214">INDEX('Raw Data'!$A:$O,$F214,22)</f>
        <v>#NUM!</v>
      </c>
      <c r="AB214" t="e">
        <f t="array" ref="AB214">INDEX('Raw Data'!$A:$O,$F214,23)</f>
        <v>#NUM!</v>
      </c>
    </row>
    <row r="215" spans="1:44" x14ac:dyDescent="0.25">
      <c r="A215" t="s">
        <v>55</v>
      </c>
      <c r="C215" s="2" t="e">
        <f>B205/B204</f>
        <v>#DIV/0!</v>
      </c>
      <c r="F215">
        <f t="array" ref="F215">COUNTIF(F200:F214,"&gt;0")</f>
        <v>0</v>
      </c>
      <c r="G215">
        <f t="array" ref="G215">SUMIF(G200:G214,"&gt;0")</f>
        <v>0</v>
      </c>
      <c r="H215">
        <f t="array" ref="H215">SUMIF(H200:H214,"&gt;0")</f>
        <v>0</v>
      </c>
      <c r="I215">
        <f t="array" ref="I215">SUMIF(I200:I214,"&gt;0")</f>
        <v>0</v>
      </c>
      <c r="J215">
        <f t="array" ref="J215">SUMIF(J200:J214,"&gt;0")</f>
        <v>0</v>
      </c>
      <c r="K215">
        <f t="array" ref="K215">SUMIF(K200:K214,"&gt;0")</f>
        <v>0</v>
      </c>
      <c r="L215">
        <f t="array" ref="L215">SUMIF(L200:L214,"&gt;0")</f>
        <v>0</v>
      </c>
      <c r="M215">
        <f t="array" ref="M215">SUMIF(M200:M214,"&gt;0")</f>
        <v>0</v>
      </c>
      <c r="N215">
        <f t="array" ref="N215">SUMIF(N200:N214,"&gt;0")</f>
        <v>0</v>
      </c>
      <c r="O215">
        <f t="array" ref="O215">SUMIF(O200:O214,"&gt;0")</f>
        <v>0</v>
      </c>
      <c r="P215">
        <f t="array" ref="P215">SUMIF(P200:P214,"&gt;0")</f>
        <v>0</v>
      </c>
      <c r="Q215">
        <f t="array" ref="Q215">SUMIF(Q200:Q214,"&gt;0")</f>
        <v>0</v>
      </c>
      <c r="R215">
        <f t="array" ref="R215">SUMIF(R200:R214,"&gt;0")</f>
        <v>0</v>
      </c>
      <c r="S215">
        <f t="array" ref="S215">SUMIF(S200:S214,"&gt;0")</f>
        <v>0</v>
      </c>
      <c r="T215">
        <f t="array" ref="T215">SUMIF(T200:T214,"&gt;0")</f>
        <v>0</v>
      </c>
      <c r="U215">
        <f t="array" ref="U215">SUMIF(U200:U214,"&gt;0")</f>
        <v>0</v>
      </c>
      <c r="V215">
        <f t="array" ref="V215">SUMIF(V200:V214,"&gt;0")</f>
        <v>0</v>
      </c>
      <c r="W215">
        <f t="array" ref="W215">SUMIF(W200:W214,"&gt;0")</f>
        <v>0</v>
      </c>
      <c r="X215">
        <f t="array" ref="X215">SUMIF(X200:X214,"&gt;0")</f>
        <v>0</v>
      </c>
      <c r="Y215">
        <f t="array" ref="Y215">SUMIF(Y200:Y214,"&gt;0")</f>
        <v>0</v>
      </c>
      <c r="Z215">
        <f t="array" ref="Z215">SUMIF(Z200:Z214,"&gt;0")</f>
        <v>0</v>
      </c>
      <c r="AA215">
        <f t="array" ref="AA215">SUMIF(AA200:AA214,"&gt;0")</f>
        <v>0</v>
      </c>
      <c r="AB215">
        <f t="array" ref="AB215">SUMIF(AB200:AB214,"&gt;0")</f>
        <v>0</v>
      </c>
    </row>
    <row r="216" spans="1:44" x14ac:dyDescent="0.25">
      <c r="A216" t="s">
        <v>58</v>
      </c>
      <c r="C216" s="2">
        <f t="array" ref="C216">IF((K215+L215)&lt;&gt;0, (L215/(K215+L215)),0)</f>
        <v>0</v>
      </c>
      <c r="J216" s="6">
        <f t="array" ref="J216">J215*10</f>
        <v>0</v>
      </c>
      <c r="K216" s="6"/>
      <c r="P216" t="s">
        <v>95</v>
      </c>
      <c r="Q216" s="2" t="e">
        <f t="array" ref="Q216">Q215/$F215</f>
        <v>#DIV/0!</v>
      </c>
      <c r="R216" s="2" t="e">
        <f t="array" ref="R216">R215/$F215</f>
        <v>#DIV/0!</v>
      </c>
      <c r="S216" s="2" t="e">
        <f t="array" ref="S216">S215/$F215</f>
        <v>#DIV/0!</v>
      </c>
      <c r="T216" s="2" t="e">
        <f t="array" ref="T216">T215/$F215</f>
        <v>#DIV/0!</v>
      </c>
      <c r="U216" s="2" t="e">
        <f t="array" ref="U216">U215/$F215</f>
        <v>#DIV/0!</v>
      </c>
      <c r="V216" s="2" t="e">
        <f t="array" ref="V216">V215/$F215</f>
        <v>#DIV/0!</v>
      </c>
      <c r="W216" s="2" t="e">
        <f t="array" ref="W216">W215/$F215</f>
        <v>#DIV/0!</v>
      </c>
      <c r="X216" s="2" t="e">
        <f t="array" ref="X216">X215/$F215</f>
        <v>#DIV/0!</v>
      </c>
      <c r="Z216" s="2" t="e">
        <f t="array" ref="Z216">Z215/F215</f>
        <v>#DIV/0!</v>
      </c>
    </row>
    <row r="217" spans="1:44" x14ac:dyDescent="0.25">
      <c r="A217" t="s">
        <v>60</v>
      </c>
      <c r="C217" s="2">
        <f t="array" ref="C217">IF((M215+N215)&lt;&gt;0, (N215/(M215+N215)),0)</f>
        <v>0</v>
      </c>
      <c r="J217" s="6"/>
      <c r="K217" s="6"/>
      <c r="AR217" s="25"/>
    </row>
    <row r="218" spans="1:44" ht="28.5" x14ac:dyDescent="0.45">
      <c r="A218" t="s">
        <v>61</v>
      </c>
      <c r="C218" s="2">
        <f t="array" ref="C218">IF(((K215+N215+L215+M215)&lt;&gt;0), ((L215+N215)/(K215+N215+L215+M215)),0)</f>
        <v>0</v>
      </c>
      <c r="F218" s="17" t="s">
        <v>106</v>
      </c>
      <c r="G218" s="17" t="e">
        <f t="array" ref="G218">'Weighting &amp; Ranking Sheet'!$B$3*Math!$C216+'Weighting &amp; Ranking Sheet'!$B$4*Math!$C217+'Weighting &amp; Ranking Sheet'!$B$5*Math!$C218+'Weighting &amp; Ranking Sheet'!$B$6*Math!$C219+'Weighting &amp; Ranking Sheet'!$B$7*Math!$C203+'Weighting &amp; Ranking Sheet'!$B$8*Math!$C215+'Weighting &amp; Ranking Sheet'!$B$9*Math!$C222+'Weighting &amp; Ranking Sheet'!$B$10*Math!$C220+'Weighting &amp; Ranking Sheet'!$B$11*Math!$C221+'Weighting &amp; Ranking Sheet'!$B$12*Math!$C223*0.01+'Weighting &amp; Ranking Sheet'!$B$13*Math!$Q216+'Weighting &amp; Ranking Sheet'!$B$14*Math!$R216+'Weighting &amp; Ranking Sheet'!$B$15*Math!$S216+'Weighting &amp; Ranking Sheet'!$B$16*Math!$T216+'Weighting &amp; Ranking Sheet'!$B$17*Math!$U216+'Weighting &amp; Ranking Sheet'!$B$18*Math!$V216+'Weighting &amp; Ranking Sheet'!$B$2*Math!$Z216</f>
        <v>#DIV/0!</v>
      </c>
      <c r="J218"/>
      <c r="K218"/>
      <c r="AR218" s="25"/>
    </row>
    <row r="219" spans="1:44" x14ac:dyDescent="0.25">
      <c r="A219" t="s">
        <v>62</v>
      </c>
      <c r="C219" s="2">
        <f t="array" ref="C219">IF((O215+P215&lt;&gt;0),(P215/(O215+P215)), 0)</f>
        <v>0</v>
      </c>
      <c r="J219"/>
      <c r="K219"/>
      <c r="AR219" s="25"/>
    </row>
    <row r="220" spans="1:44" x14ac:dyDescent="0.25">
      <c r="A220" t="s">
        <v>77</v>
      </c>
      <c r="C220" s="8" t="e">
        <f t="array" ref="C220">W215/F215</f>
        <v>#DIV/0!</v>
      </c>
      <c r="J220"/>
      <c r="K220"/>
      <c r="AR220" s="23"/>
    </row>
    <row r="221" spans="1:44" x14ac:dyDescent="0.25">
      <c r="A221" t="s">
        <v>78</v>
      </c>
      <c r="C221" s="8" t="e">
        <f t="array" ref="C221">X215/F215</f>
        <v>#DIV/0!</v>
      </c>
      <c r="J221"/>
      <c r="K221"/>
    </row>
    <row r="222" spans="1:44" x14ac:dyDescent="0.25">
      <c r="A222" t="s">
        <v>91</v>
      </c>
      <c r="C222" s="2" t="e">
        <f t="array" ref="C222">(C203+C215)/2</f>
        <v>#DIV/0!</v>
      </c>
      <c r="J222"/>
      <c r="K222"/>
    </row>
    <row r="223" spans="1:44" x14ac:dyDescent="0.25">
      <c r="A223" t="s">
        <v>92</v>
      </c>
      <c r="C223" s="8" t="e">
        <f t="array" ref="C223">Y215/F215</f>
        <v>#DIV/0!</v>
      </c>
      <c r="J223"/>
      <c r="K223"/>
    </row>
    <row r="224" spans="1:44" x14ac:dyDescent="0.25">
      <c r="C224" s="8"/>
      <c r="J224"/>
      <c r="K224"/>
    </row>
    <row r="225" spans="1:44" x14ac:dyDescent="0.25">
      <c r="C225" s="8"/>
      <c r="J225" s="6"/>
      <c r="K225" s="6"/>
    </row>
    <row r="226" spans="1:44" x14ac:dyDescent="0.25">
      <c r="J226" s="6"/>
      <c r="K226" s="6"/>
    </row>
    <row r="227" spans="1:44" x14ac:dyDescent="0.25">
      <c r="A227" t="s">
        <v>3</v>
      </c>
      <c r="C227" s="5">
        <v>265</v>
      </c>
      <c r="F227" t="s">
        <v>12</v>
      </c>
    </row>
    <row r="228" spans="1:44" x14ac:dyDescent="0.25">
      <c r="F228" t="e">
        <f t="array" ref="F228">SMALL(IF('Raw Data'!A:A=C227,ROW('Raw Data'!A:A)),ROW('Raw Data'!$1:$1))</f>
        <v>#NUM!</v>
      </c>
      <c r="G228" t="e">
        <f t="array" ref="G228">INDEX('Raw Data'!A:A,F228,9)</f>
        <v>#NUM!</v>
      </c>
      <c r="H228" t="e">
        <f t="array" ref="H228">INDEX('Raw Data'!A:A,F228,10)</f>
        <v>#NUM!</v>
      </c>
      <c r="I228" t="e">
        <f t="array" ref="I228">INDEX('Raw Data'!$A:A,$F228,11)</f>
        <v>#NUM!</v>
      </c>
      <c r="J228" t="e">
        <f t="array" ref="J228">INDEX('Raw Data'!$A:A,F228,12)</f>
        <v>#NUM!</v>
      </c>
      <c r="K228" t="e">
        <f>(--INDEX('Raw Data'!$A$4:B$993,F228,4))</f>
        <v>#NUM!</v>
      </c>
      <c r="L228" t="e">
        <f t="array" ref="L228">(--INDEX('Raw Data'!$A$4:B$993,F228,5))</f>
        <v>#NUM!</v>
      </c>
      <c r="M228" t="e">
        <f t="array" ref="M228">(--INDEX('Raw Data'!$A$4:D$993,$F228,6))</f>
        <v>#NUM!</v>
      </c>
      <c r="N228" t="e">
        <f t="array" ref="N228">(--INDEX('Raw Data'!$A$4:D$993,$F228,7))</f>
        <v>#NUM!</v>
      </c>
      <c r="O228" t="e">
        <f t="array" ref="O228">IF(--INDEX('Raw Data'!$A$4:E$993,$F228,8)= 0, 1, 0)</f>
        <v>#NUM!</v>
      </c>
      <c r="P228" t="e">
        <f t="array" ref="P228">IF(--INDEX('Raw Data'!$A$4:F$993,$F228,8)= 1, 1, 0)</f>
        <v>#NUM!</v>
      </c>
      <c r="Q228" t="e">
        <f t="array" ref="Q228">IF(--INDEX('Raw Data'!$A$4:G$993,$F228,13)= 1, 1, 0)</f>
        <v>#NUM!</v>
      </c>
      <c r="R228" t="e">
        <f t="array" ref="R228">IF(--INDEX('Raw Data'!$A$4:H$993,$F228,14)= 1, 1, 0)</f>
        <v>#NUM!</v>
      </c>
      <c r="S228" t="e">
        <f t="array" ref="S228">IF(--INDEX('Raw Data'!$A$4:I$993,$F228,15)= 1, 1, 0)</f>
        <v>#NUM!</v>
      </c>
      <c r="T228" t="e">
        <f t="array" ref="T228">IF(--INDEX('Raw Data'!$A$4:I$993,$F228,15)= 1, 1, 0)</f>
        <v>#NUM!</v>
      </c>
      <c r="U228" t="e">
        <f t="array" ref="U228">IF(--INDEX('Raw Data'!$A$4:J$993,$F228,16)= 1, 1, 0)</f>
        <v>#NUM!</v>
      </c>
      <c r="V228" t="e">
        <f t="array" ref="V228">IF(--INDEX('Raw Data'!$A$4:K$993,$F228,17)= 1, 1, 0)</f>
        <v>#NUM!</v>
      </c>
      <c r="W228" t="e">
        <f t="array" ref="W228">INDEX('Raw Data'!$A:$O,$F228,19)</f>
        <v>#NUM!</v>
      </c>
      <c r="X228" t="e">
        <f t="array" ref="X228">INDEX('Raw Data'!$A:$O,$F228,20)</f>
        <v>#NUM!</v>
      </c>
      <c r="Y228" t="e">
        <f t="array" ref="Y228">INDEX('Raw Data'!$A:$O,F228,21)</f>
        <v>#NUM!</v>
      </c>
      <c r="Z228" t="e">
        <f t="array" ref="Z228">INDEX('Raw Data'!$A:$O,$F228,3)</f>
        <v>#NUM!</v>
      </c>
      <c r="AA228" t="e">
        <f t="array" ref="AA228">INDEX('Raw Data'!$A:$O,$F228,22)</f>
        <v>#NUM!</v>
      </c>
      <c r="AB228" t="e">
        <f t="array" ref="AB228">INDEX('Raw Data'!$A:$O,$F228,23)</f>
        <v>#NUM!</v>
      </c>
    </row>
    <row r="229" spans="1:44" x14ac:dyDescent="0.25">
      <c r="A229" t="s">
        <v>0</v>
      </c>
      <c r="B229">
        <f>G243</f>
        <v>0</v>
      </c>
      <c r="F229" t="e">
        <f t="array" ref="F229">SMALL(IF('Raw Data'!A:A=C227,ROW('Raw Data'!A:A)),ROW('Raw Data'!$2:$2))</f>
        <v>#NUM!</v>
      </c>
      <c r="G229" t="e">
        <f t="array" ref="G229">INDEX('Raw Data'!A:A,F229,9)</f>
        <v>#NUM!</v>
      </c>
      <c r="H229" t="e">
        <f t="array" ref="H229">INDEX('Raw Data'!A:A,F229,10)</f>
        <v>#NUM!</v>
      </c>
      <c r="I229" t="e">
        <f t="array" ref="I229">INDEX('Raw Data'!$A:A,$F229,11)</f>
        <v>#NUM!</v>
      </c>
      <c r="J229" t="e">
        <f t="array" ref="J229">INDEX('Raw Data'!$A:A,F229,12)</f>
        <v>#NUM!</v>
      </c>
      <c r="K229" t="e">
        <f>(--INDEX('Raw Data'!$A$4:B$993,F229,4))</f>
        <v>#NUM!</v>
      </c>
      <c r="L229" t="e">
        <f t="array" ref="L229">(--INDEX('Raw Data'!$A$4:B$993,F229,5))</f>
        <v>#NUM!</v>
      </c>
      <c r="M229" t="e">
        <f t="array" ref="M229">(--INDEX('Raw Data'!$A$4:D$993,$F229,6))</f>
        <v>#NUM!</v>
      </c>
      <c r="N229" t="e">
        <f t="array" ref="N229">(--INDEX('Raw Data'!$A$4:D$993,$F229,7))</f>
        <v>#NUM!</v>
      </c>
      <c r="O229" t="e">
        <f t="array" ref="O229">IF(--INDEX('Raw Data'!$A$4:E$993,$F229,8)= 0, 1, 0)</f>
        <v>#NUM!</v>
      </c>
      <c r="P229" t="e">
        <f t="array" ref="P229">IF(--INDEX('Raw Data'!$A$4:F$993,$F229,8)= 1, 1, 0)</f>
        <v>#NUM!</v>
      </c>
      <c r="Q229" t="e">
        <f t="array" ref="Q229">IF(--INDEX('Raw Data'!$A$4:G$993,$F229,13)= 1, 1, 0)</f>
        <v>#NUM!</v>
      </c>
      <c r="R229" t="e">
        <f t="array" ref="R229">IF(--INDEX('Raw Data'!$A$4:H$993,$F229,14)= 1, 1, 0)</f>
        <v>#NUM!</v>
      </c>
      <c r="S229" t="e">
        <f t="array" ref="S229">IF(--INDEX('Raw Data'!$A$4:I$993,$F229,15)= 1, 1, 0)</f>
        <v>#NUM!</v>
      </c>
      <c r="T229" t="e">
        <f t="array" ref="T229">IF(--INDEX('Raw Data'!$A$4:I$993,$F229,15)= 1, 1, 0)</f>
        <v>#NUM!</v>
      </c>
      <c r="U229" t="e">
        <f t="array" ref="U229">IF(--INDEX('Raw Data'!$A$4:J$993,$F229,16)= 1, 1, 0)</f>
        <v>#NUM!</v>
      </c>
      <c r="V229" t="e">
        <f t="array" ref="V229">IF(--INDEX('Raw Data'!$A$4:K$993,$F229,17)= 1, 1, 0)</f>
        <v>#NUM!</v>
      </c>
      <c r="W229" t="e">
        <f t="array" ref="W229">INDEX('Raw Data'!$A:$O,$F229,19)</f>
        <v>#NUM!</v>
      </c>
      <c r="X229" t="e">
        <f t="array" ref="X229">INDEX('Raw Data'!$A:$O,$F229,20)</f>
        <v>#NUM!</v>
      </c>
      <c r="Y229" t="e">
        <f t="array" ref="Y229">INDEX('Raw Data'!$A:$O,F229,21)</f>
        <v>#NUM!</v>
      </c>
      <c r="Z229" t="e">
        <f t="array" ref="Z229">INDEX('Raw Data'!$A:$O,$F229,3)</f>
        <v>#NUM!</v>
      </c>
      <c r="AA229" t="e">
        <f t="array" ref="AA229">INDEX('Raw Data'!$A:$O,$F229,22)</f>
        <v>#NUM!</v>
      </c>
      <c r="AB229" t="e">
        <f t="array" ref="AB229">INDEX('Raw Data'!$A:$O,$F229,23)</f>
        <v>#NUM!</v>
      </c>
    </row>
    <row r="230" spans="1:44" x14ac:dyDescent="0.25">
      <c r="A230" t="s">
        <v>1</v>
      </c>
      <c r="B230">
        <f>H243</f>
        <v>0</v>
      </c>
      <c r="F230" t="e">
        <f t="array" ref="F230">SMALL(IF('Raw Data'!A:A=C227,ROW('Raw Data'!A:A)),ROW('Raw Data'!$3:$3))</f>
        <v>#NUM!</v>
      </c>
      <c r="G230" t="e">
        <f t="array" ref="G230">INDEX('Raw Data'!A:A,F230,9)</f>
        <v>#NUM!</v>
      </c>
      <c r="H230" t="e">
        <f t="array" ref="H230">INDEX('Raw Data'!A:A,F230,10)</f>
        <v>#NUM!</v>
      </c>
      <c r="I230" t="e">
        <f t="array" ref="I230">INDEX('Raw Data'!$A:A,$F230,11)</f>
        <v>#NUM!</v>
      </c>
      <c r="J230" t="e">
        <f t="array" ref="J230">INDEX('Raw Data'!$A:A,F230,12)</f>
        <v>#NUM!</v>
      </c>
      <c r="K230" t="e">
        <f>(--INDEX('Raw Data'!$A$4:B$993,F230,4))</f>
        <v>#NUM!</v>
      </c>
      <c r="L230" t="e">
        <f t="array" ref="L230">(--INDEX('Raw Data'!$A$4:B$993,F230,5))</f>
        <v>#NUM!</v>
      </c>
      <c r="M230" t="e">
        <f t="array" ref="M230">(--INDEX('Raw Data'!$A$4:D$993,$F230,6))</f>
        <v>#NUM!</v>
      </c>
      <c r="N230" t="e">
        <f t="array" ref="N230">(--INDEX('Raw Data'!$A$4:D$993,$F230,7))</f>
        <v>#NUM!</v>
      </c>
      <c r="O230" t="e">
        <f t="array" ref="O230">IF(--INDEX('Raw Data'!$A$4:E$993,$F230,8)= 0, 1, 0)</f>
        <v>#NUM!</v>
      </c>
      <c r="P230" t="e">
        <f t="array" ref="P230">IF(--INDEX('Raw Data'!$A$4:F$993,$F230,8)= 1, 1, 0)</f>
        <v>#NUM!</v>
      </c>
      <c r="Q230" t="e">
        <f t="array" ref="Q230">IF(--INDEX('Raw Data'!$A$4:G$993,$F230,13)= 1, 1, 0)</f>
        <v>#NUM!</v>
      </c>
      <c r="R230" t="e">
        <f t="array" ref="R230">IF(--INDEX('Raw Data'!$A$4:H$993,$F230,14)= 1, 1, 0)</f>
        <v>#NUM!</v>
      </c>
      <c r="S230" t="e">
        <f t="array" ref="S230">IF(--INDEX('Raw Data'!$A$4:I$993,$F230,15)= 1, 1, 0)</f>
        <v>#NUM!</v>
      </c>
      <c r="T230" t="e">
        <f t="array" ref="T230">IF(--INDEX('Raw Data'!$A$4:I$993,$F230,15)= 1, 1, 0)</f>
        <v>#NUM!</v>
      </c>
      <c r="U230" t="e">
        <f t="array" ref="U230">IF(--INDEX('Raw Data'!$A$4:J$993,$F230,16)= 1, 1, 0)</f>
        <v>#NUM!</v>
      </c>
      <c r="V230" t="e">
        <f t="array" ref="V230">IF(--INDEX('Raw Data'!$A$4:K$993,$F230,17)= 1, 1, 0)</f>
        <v>#NUM!</v>
      </c>
      <c r="W230" t="e">
        <f t="array" ref="W230">INDEX('Raw Data'!$A:$O,$F230,19)</f>
        <v>#NUM!</v>
      </c>
      <c r="X230" t="e">
        <f t="array" ref="X230">INDEX('Raw Data'!$A:$O,$F230,20)</f>
        <v>#NUM!</v>
      </c>
      <c r="Y230" t="e">
        <f t="array" ref="Y230">INDEX('Raw Data'!$A:$O,F230,21)</f>
        <v>#NUM!</v>
      </c>
      <c r="Z230" t="e">
        <f t="array" ref="Z230">INDEX('Raw Data'!$A:$O,$F230,3)</f>
        <v>#NUM!</v>
      </c>
      <c r="AA230" t="e">
        <f t="array" ref="AA230">INDEX('Raw Data'!$A:$O,$F230,22)</f>
        <v>#NUM!</v>
      </c>
      <c r="AB230" t="e">
        <f t="array" ref="AB230">INDEX('Raw Data'!$A:$O,$F230,23)</f>
        <v>#NUM!</v>
      </c>
    </row>
    <row r="231" spans="1:44" x14ac:dyDescent="0.25">
      <c r="A231" t="s">
        <v>2</v>
      </c>
      <c r="C231" s="3" t="e">
        <f>B230/B229</f>
        <v>#DIV/0!</v>
      </c>
      <c r="F231" t="e">
        <f t="array" ref="F231">SMALL(IF('Raw Data'!A:A=C227,ROW('Raw Data'!A:A)),ROW('Raw Data'!$4:$4))</f>
        <v>#NUM!</v>
      </c>
      <c r="G231" t="e">
        <f t="array" ref="G231">INDEX('Raw Data'!A:A,F231,9)</f>
        <v>#NUM!</v>
      </c>
      <c r="H231" t="e">
        <f t="array" ref="H231">INDEX('Raw Data'!A:A,F231,10)</f>
        <v>#NUM!</v>
      </c>
      <c r="I231" t="e">
        <f t="array" ref="I231">INDEX('Raw Data'!$A:A,$F231,11)</f>
        <v>#NUM!</v>
      </c>
      <c r="J231" t="e">
        <f t="array" ref="J231">INDEX('Raw Data'!$A:A,F231,12)</f>
        <v>#NUM!</v>
      </c>
      <c r="K231" t="e">
        <f>(--INDEX('Raw Data'!$A$4:B$993,F231,4))</f>
        <v>#NUM!</v>
      </c>
      <c r="L231" t="e">
        <f t="array" ref="L231">(--INDEX('Raw Data'!$A$4:B$993,F231,5))</f>
        <v>#NUM!</v>
      </c>
      <c r="M231" t="e">
        <f t="array" ref="M231">(--INDEX('Raw Data'!$A$4:D$993,$F231,6))</f>
        <v>#NUM!</v>
      </c>
      <c r="N231" t="e">
        <f t="array" ref="N231">(--INDEX('Raw Data'!$A$4:D$993,$F231,7))</f>
        <v>#NUM!</v>
      </c>
      <c r="O231" t="e">
        <f t="array" ref="O231">IF(--INDEX('Raw Data'!$A$4:E$993,$F231,8)= 0, 1, 0)</f>
        <v>#NUM!</v>
      </c>
      <c r="P231" t="e">
        <f t="array" ref="P231">IF(--INDEX('Raw Data'!$A$4:F$993,$F231,8)= 1, 1, 0)</f>
        <v>#NUM!</v>
      </c>
      <c r="Q231" t="e">
        <f t="array" ref="Q231">IF(--INDEX('Raw Data'!$A$4:G$993,$F231,13)= 1, 1, 0)</f>
        <v>#NUM!</v>
      </c>
      <c r="R231" t="e">
        <f t="array" ref="R231">IF(--INDEX('Raw Data'!$A$4:H$993,$F231,14)= 1, 1, 0)</f>
        <v>#NUM!</v>
      </c>
      <c r="S231" t="e">
        <f t="array" ref="S231">IF(--INDEX('Raw Data'!$A$4:I$993,$F231,15)= 1, 1, 0)</f>
        <v>#NUM!</v>
      </c>
      <c r="T231" t="e">
        <f t="array" ref="T231">IF(--INDEX('Raw Data'!$A$4:I$993,$F231,15)= 1, 1, 0)</f>
        <v>#NUM!</v>
      </c>
      <c r="U231" t="e">
        <f t="array" ref="U231">IF(--INDEX('Raw Data'!$A$4:J$993,$F231,16)= 1, 1, 0)</f>
        <v>#NUM!</v>
      </c>
      <c r="V231" t="e">
        <f t="array" ref="V231">IF(--INDEX('Raw Data'!$A$4:K$993,$F231,17)= 1, 1, 0)</f>
        <v>#NUM!</v>
      </c>
      <c r="W231" t="e">
        <f t="array" ref="W231">INDEX('Raw Data'!$A:$O,$F231,19)</f>
        <v>#NUM!</v>
      </c>
      <c r="X231" t="e">
        <f t="array" ref="X231">INDEX('Raw Data'!$A:$O,$F231,20)</f>
        <v>#NUM!</v>
      </c>
      <c r="Y231" t="e">
        <f t="array" ref="Y231">INDEX('Raw Data'!$A:$O,F231,21)</f>
        <v>#NUM!</v>
      </c>
      <c r="Z231" t="e">
        <f t="array" ref="Z231">INDEX('Raw Data'!$A:$O,$F231,3)</f>
        <v>#NUM!</v>
      </c>
      <c r="AA231" t="e">
        <f t="array" ref="AA231">INDEX('Raw Data'!$A:$O,$F231,22)</f>
        <v>#NUM!</v>
      </c>
      <c r="AB231" t="e">
        <f t="array" ref="AB231">INDEX('Raw Data'!$A:$O,$F231,23)</f>
        <v>#NUM!</v>
      </c>
    </row>
    <row r="232" spans="1:44" x14ac:dyDescent="0.25">
      <c r="A232" t="s">
        <v>54</v>
      </c>
      <c r="B232">
        <f>I243</f>
        <v>0</v>
      </c>
      <c r="F232" t="e">
        <f t="array" ref="F232">SMALL(IF('Raw Data'!A:A=C227,ROW('Raw Data'!A:A)),ROW('Raw Data'!$5:$5))</f>
        <v>#NUM!</v>
      </c>
      <c r="G232" t="e">
        <f t="array" ref="G232">INDEX('Raw Data'!A:A,F232,9)</f>
        <v>#NUM!</v>
      </c>
      <c r="H232" t="e">
        <f t="array" ref="H232">INDEX('Raw Data'!A:A,F232,10)</f>
        <v>#NUM!</v>
      </c>
      <c r="I232" t="e">
        <f t="array" ref="I232">INDEX('Raw Data'!$A:A,$F232,11)</f>
        <v>#NUM!</v>
      </c>
      <c r="J232" t="e">
        <f t="array" ref="J232">INDEX('Raw Data'!$A:A,F232,12)</f>
        <v>#NUM!</v>
      </c>
      <c r="K232" t="e">
        <f>(--INDEX('Raw Data'!$A$4:B$993,F232,4))</f>
        <v>#NUM!</v>
      </c>
      <c r="L232" t="e">
        <f t="array" ref="L232">(--INDEX('Raw Data'!$A$4:B$993,F232,5))</f>
        <v>#NUM!</v>
      </c>
      <c r="M232" t="e">
        <f t="array" ref="M232">(--INDEX('Raw Data'!$A$4:D$993,$F232,6))</f>
        <v>#NUM!</v>
      </c>
      <c r="N232" t="e">
        <f t="array" ref="N232">(--INDEX('Raw Data'!$A$4:D$993,$F232,7))</f>
        <v>#NUM!</v>
      </c>
      <c r="O232" t="e">
        <f t="array" ref="O232">IF(--INDEX('Raw Data'!$A$4:E$993,$F232,8)= 0, 1, 0)</f>
        <v>#NUM!</v>
      </c>
      <c r="P232" t="e">
        <f t="array" ref="P232">IF(--INDEX('Raw Data'!$A$4:F$993,$F232,8)= 1, 1, 0)</f>
        <v>#NUM!</v>
      </c>
      <c r="Q232" t="e">
        <f t="array" ref="Q232">IF(--INDEX('Raw Data'!$A$4:G$993,$F232,13)= 1, 1, 0)</f>
        <v>#NUM!</v>
      </c>
      <c r="R232" t="e">
        <f t="array" ref="R232">IF(--INDEX('Raw Data'!$A$4:H$993,$F232,14)= 1, 1, 0)</f>
        <v>#NUM!</v>
      </c>
      <c r="S232" t="e">
        <f t="array" ref="S232">IF(--INDEX('Raw Data'!$A$4:I$993,$F232,15)= 1, 1, 0)</f>
        <v>#NUM!</v>
      </c>
      <c r="T232" t="e">
        <f t="array" ref="T232">IF(--INDEX('Raw Data'!$A$4:I$993,$F232,15)= 1, 1, 0)</f>
        <v>#NUM!</v>
      </c>
      <c r="U232" t="e">
        <f t="array" ref="U232">IF(--INDEX('Raw Data'!$A$4:J$993,$F232,16)= 1, 1, 0)</f>
        <v>#NUM!</v>
      </c>
      <c r="V232" t="e">
        <f t="array" ref="V232">IF(--INDEX('Raw Data'!$A$4:K$993,$F232,17)= 1, 1, 0)</f>
        <v>#NUM!</v>
      </c>
      <c r="W232" t="e">
        <f t="array" ref="W232">INDEX('Raw Data'!$A:$O,$F232,19)</f>
        <v>#NUM!</v>
      </c>
      <c r="X232" t="e">
        <f t="array" ref="X232">INDEX('Raw Data'!$A:$O,$F232,20)</f>
        <v>#NUM!</v>
      </c>
      <c r="Y232" t="e">
        <f t="array" ref="Y232">INDEX('Raw Data'!$A:$O,F232,21)</f>
        <v>#NUM!</v>
      </c>
      <c r="Z232" t="e">
        <f t="array" ref="Z232">INDEX('Raw Data'!$A:$O,$F232,3)</f>
        <v>#NUM!</v>
      </c>
      <c r="AA232" t="e">
        <f t="array" ref="AA232">INDEX('Raw Data'!$A:$O,$F232,22)</f>
        <v>#NUM!</v>
      </c>
      <c r="AB232" t="e">
        <f t="array" ref="AB232">INDEX('Raw Data'!$A:$O,$F232,23)</f>
        <v>#NUM!</v>
      </c>
      <c r="AR232" s="25"/>
    </row>
    <row r="233" spans="1:44" x14ac:dyDescent="0.25">
      <c r="A233" t="s">
        <v>35</v>
      </c>
      <c r="B233">
        <f>J243</f>
        <v>0</v>
      </c>
      <c r="F233" t="e">
        <f t="array" ref="F233">SMALL(IF('Raw Data'!A:A=C227,ROW('Raw Data'!A:A)),ROW('Raw Data'!$6:$6))</f>
        <v>#NUM!</v>
      </c>
      <c r="G233" t="e">
        <f t="array" ref="G233">INDEX('Raw Data'!A:A,F233,9)</f>
        <v>#NUM!</v>
      </c>
      <c r="H233" t="e">
        <f t="array" ref="H233">INDEX('Raw Data'!A:A,F233,10)</f>
        <v>#NUM!</v>
      </c>
      <c r="I233" t="e">
        <f t="array" ref="I233">INDEX('Raw Data'!$A:A,$F233,11)</f>
        <v>#NUM!</v>
      </c>
      <c r="J233" t="e">
        <f t="array" ref="J233">INDEX('Raw Data'!$A:A,F233,12)</f>
        <v>#NUM!</v>
      </c>
      <c r="K233" t="e">
        <f>(--INDEX('Raw Data'!$A$4:B$993,F233,4))</f>
        <v>#NUM!</v>
      </c>
      <c r="L233" t="e">
        <f t="array" ref="L233">(--INDEX('Raw Data'!$A$4:B$998,F233,5))</f>
        <v>#NUM!</v>
      </c>
      <c r="M233" t="e">
        <f t="array" ref="M233">(--INDEX('Raw Data'!$A$4:D$998,$F233,6))</f>
        <v>#NUM!</v>
      </c>
      <c r="N233" t="e">
        <f t="array" ref="N233">(--INDEX('Raw Data'!$A$4:D$993,$F233,7))</f>
        <v>#NUM!</v>
      </c>
      <c r="O233" t="e">
        <f t="array" ref="O233">IF(--INDEX('Raw Data'!$A$4:E$993,$F233,8)= 0, 1, 0)</f>
        <v>#NUM!</v>
      </c>
      <c r="P233" t="e">
        <f t="array" ref="P233">IF(--INDEX('Raw Data'!$A$4:F$998,$F233,8)= 1, 1, 0)</f>
        <v>#NUM!</v>
      </c>
      <c r="Q233" t="e">
        <f t="array" ref="Q233">IF(--INDEX('Raw Data'!$A$4:G$998,$F233,13)= 1, 1, 0)</f>
        <v>#NUM!</v>
      </c>
      <c r="R233" t="e">
        <f t="array" ref="R233">IF(--INDEX('Raw Data'!$A$4:H$998,$F233,14)= 1, 1, 0)</f>
        <v>#NUM!</v>
      </c>
      <c r="S233" t="e">
        <f t="array" ref="S233">IF(--INDEX('Raw Data'!$A$4:I$993,$F233,15)= 1, 1, 0)</f>
        <v>#NUM!</v>
      </c>
      <c r="T233" t="e">
        <f t="array" ref="T233">IF(--INDEX('Raw Data'!$A$4:I$998,$F233,15)= 1, 1, 0)</f>
        <v>#NUM!</v>
      </c>
      <c r="U233" t="e">
        <f t="array" ref="U233">IF(--INDEX('Raw Data'!$A$4:J$998,$F233,16)= 1, 1, 0)</f>
        <v>#NUM!</v>
      </c>
      <c r="V233" t="e">
        <f t="array" ref="V233">IF(--INDEX('Raw Data'!$A$4:K$993,$F233,17)= 1, 1, 0)</f>
        <v>#NUM!</v>
      </c>
      <c r="W233" t="e">
        <f t="array" ref="W233">INDEX('Raw Data'!$A:$O,$F233,19)</f>
        <v>#NUM!</v>
      </c>
      <c r="X233" t="e">
        <f t="array" ref="X233">INDEX('Raw Data'!$A:$O,$F233,20)</f>
        <v>#NUM!</v>
      </c>
      <c r="Y233" t="e">
        <f t="array" ref="Y233">INDEX('Raw Data'!$A:$O,F233,21)</f>
        <v>#NUM!</v>
      </c>
      <c r="Z233" t="e">
        <f t="array" ref="Z233">INDEX('Raw Data'!$A:$O,$F233,3)</f>
        <v>#NUM!</v>
      </c>
      <c r="AA233" t="e">
        <f t="array" ref="AA233">INDEX('Raw Data'!$A:$O,$F233,22)</f>
        <v>#NUM!</v>
      </c>
      <c r="AB233" t="e">
        <f t="array" ref="AB233">INDEX('Raw Data'!$A:$O,$F233,23)</f>
        <v>#NUM!</v>
      </c>
      <c r="AR233" s="25"/>
    </row>
    <row r="234" spans="1:44" ht="28.5" x14ac:dyDescent="0.45">
      <c r="F234" t="e">
        <f t="array" ref="F234">SMALL(IF('Raw Data'!A:A=C227,ROW('Raw Data'!A:A)),ROW('Raw Data'!$7:$7))</f>
        <v>#NUM!</v>
      </c>
      <c r="G234" t="e">
        <f t="array" ref="G234">INDEX('Raw Data'!A:A,F234,9)</f>
        <v>#NUM!</v>
      </c>
      <c r="H234" t="e">
        <f t="array" ref="H234">INDEX('Raw Data'!A:A,F234,10)</f>
        <v>#NUM!</v>
      </c>
      <c r="I234" t="e">
        <f t="array" ref="I234">INDEX('Raw Data'!$A:A,$F234,11)</f>
        <v>#NUM!</v>
      </c>
      <c r="J234" t="e">
        <f t="array" ref="J234">INDEX('Raw Data'!$A:A,F234,12)</f>
        <v>#NUM!</v>
      </c>
      <c r="K234" t="e">
        <f t="array" ref="K234">(--INDEX('Raw Data'!$A$4:B$998,F234,4))</f>
        <v>#NUM!</v>
      </c>
      <c r="L234" t="e">
        <f t="array" ref="L234">(--INDEX('Raw Data'!$A$4:B$998,F234,5))</f>
        <v>#NUM!</v>
      </c>
      <c r="M234" t="e">
        <f t="array" ref="M234">(--INDEX('Raw Data'!$A$4:D$998,$F234,6))</f>
        <v>#NUM!</v>
      </c>
      <c r="N234" t="e">
        <f t="array" ref="N234">(--INDEX('Raw Data'!$A$4:D$998,$F234,7))</f>
        <v>#NUM!</v>
      </c>
      <c r="O234" t="e">
        <f t="array" ref="O234">IF(--INDEX('Raw Data'!$A$4:E$998,$F234,8)= 0, 1, 0)</f>
        <v>#NUM!</v>
      </c>
      <c r="P234" t="e">
        <f t="array" ref="P234">IF(--INDEX('Raw Data'!$A$4:F$998,$F234,8)= 1, 1, 0)</f>
        <v>#NUM!</v>
      </c>
      <c r="Q234" t="e">
        <f t="array" ref="Q234">IF(--INDEX('Raw Data'!$A$4:G$998,$F234,13)= 1, 1, 0)</f>
        <v>#NUM!</v>
      </c>
      <c r="R234" t="e">
        <f t="array" ref="R234">IF(--INDEX('Raw Data'!$A$4:H$998,$F234,14)= 1, 1, 0)</f>
        <v>#NUM!</v>
      </c>
      <c r="S234" t="e">
        <f t="array" ref="S234">IF(--INDEX('Raw Data'!$A$4:I$998,$F234,15)= 1, 1, 0)</f>
        <v>#NUM!</v>
      </c>
      <c r="T234" t="e">
        <f t="array" ref="T234">IF(--INDEX('Raw Data'!$A$4:I$998,$F234,15)= 1, 1, 0)</f>
        <v>#NUM!</v>
      </c>
      <c r="U234" t="e">
        <f t="array" ref="U234">IF(--INDEX('Raw Data'!$A$4:J$998,$F234,16)= 1, 1, 0)</f>
        <v>#NUM!</v>
      </c>
      <c r="V234" t="e">
        <f t="array" ref="V234">IF(--INDEX('Raw Data'!$A$4:K$998,$F234,17)= 1, 1, 0)</f>
        <v>#NUM!</v>
      </c>
      <c r="W234" t="e">
        <f t="array" ref="W234">INDEX('Raw Data'!$A:$O,$F234,19)</f>
        <v>#NUM!</v>
      </c>
      <c r="X234" t="e">
        <f t="array" ref="X234">INDEX('Raw Data'!$A:$O,$F234,20)</f>
        <v>#NUM!</v>
      </c>
      <c r="Y234" t="e">
        <f t="array" ref="Y234">INDEX('Raw Data'!$A:$O,F234,21)</f>
        <v>#NUM!</v>
      </c>
      <c r="Z234" t="e">
        <f t="array" ref="Z234">INDEX('Raw Data'!$A:$O,$F234,3)</f>
        <v>#NUM!</v>
      </c>
      <c r="AA234" t="e">
        <f t="array" ref="AA234">INDEX('Raw Data'!$A:$O,$F234,22)</f>
        <v>#NUM!</v>
      </c>
      <c r="AB234" t="e">
        <f t="array" ref="AB234">INDEX('Raw Data'!$A:$O,$F234,23)</f>
        <v>#NUM!</v>
      </c>
      <c r="AM234" s="21"/>
    </row>
    <row r="235" spans="1:44" x14ac:dyDescent="0.25">
      <c r="F235" t="e">
        <f t="array" ref="F235">SMALL(IF('Raw Data'!A:A=C227,ROW('Raw Data'!A:A)),ROW('Raw Data'!$8:$8))</f>
        <v>#NUM!</v>
      </c>
      <c r="G235" t="e">
        <f t="array" ref="G235">INDEX('Raw Data'!A:A,F235,9)</f>
        <v>#NUM!</v>
      </c>
      <c r="H235" t="e">
        <f t="array" ref="H235">INDEX('Raw Data'!A:A,F235,10)</f>
        <v>#NUM!</v>
      </c>
      <c r="I235" t="e">
        <f t="array" ref="I235">INDEX('Raw Data'!$A:A,$F235,11)</f>
        <v>#NUM!</v>
      </c>
      <c r="J235" t="e">
        <f t="array" ref="J235">INDEX('Raw Data'!$A:A,F235,12)</f>
        <v>#NUM!</v>
      </c>
      <c r="K235" t="e">
        <f t="array" ref="K235">(--INDEX('Raw Data'!$A$4:B$998,F235,4))</f>
        <v>#NUM!</v>
      </c>
      <c r="L235" t="e">
        <f t="array" ref="L235">(--INDEX('Raw Data'!$A$4:B$998,F235,5))</f>
        <v>#NUM!</v>
      </c>
      <c r="M235" t="e">
        <f t="array" ref="M235">(--INDEX('Raw Data'!$A$4:D$998,$F235,6))</f>
        <v>#NUM!</v>
      </c>
      <c r="N235" t="e">
        <f t="array" ref="N235">(--INDEX('Raw Data'!$A$4:D$998,$F235,7))</f>
        <v>#NUM!</v>
      </c>
      <c r="O235" t="e">
        <f t="array" ref="O235">IF(--INDEX('Raw Data'!$A$4:E$998,$F235,8)= 0, 1, 0)</f>
        <v>#NUM!</v>
      </c>
      <c r="P235" t="e">
        <f t="array" ref="P235">IF(--INDEX('Raw Data'!$A$4:F$998,$F235,8)= 1, 1, 0)</f>
        <v>#NUM!</v>
      </c>
      <c r="Q235" t="e">
        <f t="array" ref="Q235">IF(--INDEX('Raw Data'!$A$4:G$998,$F235,13)= 1, 1, 0)</f>
        <v>#NUM!</v>
      </c>
      <c r="R235" t="e">
        <f t="array" ref="R235">IF(--INDEX('Raw Data'!$A$4:H$998,$F235,14)= 1, 1, 0)</f>
        <v>#NUM!</v>
      </c>
      <c r="S235" t="e">
        <f t="array" ref="S235">IF(--INDEX('Raw Data'!$A$4:I$998,$F235,15)= 1, 1, 0)</f>
        <v>#NUM!</v>
      </c>
      <c r="T235" t="e">
        <f t="array" ref="T235">IF(--INDEX('Raw Data'!$A$4:I$998,$F235,15)= 1, 1, 0)</f>
        <v>#NUM!</v>
      </c>
      <c r="U235" t="e">
        <f t="array" ref="U235">IF(--INDEX('Raw Data'!$A$4:J$998,$F235,16)= 1, 1, 0)</f>
        <v>#NUM!</v>
      </c>
      <c r="V235" t="e">
        <f t="array" ref="V235">IF(--INDEX('Raw Data'!$A$4:K$998,$F235,17)= 1, 1, 0)</f>
        <v>#NUM!</v>
      </c>
      <c r="W235" t="e">
        <f t="array" ref="W235">INDEX('Raw Data'!$A:$O,$F235,19)</f>
        <v>#NUM!</v>
      </c>
      <c r="X235" t="e">
        <f t="array" ref="X235">INDEX('Raw Data'!$A:$O,$F235,20)</f>
        <v>#NUM!</v>
      </c>
      <c r="Y235" t="e">
        <f t="array" ref="Y235">INDEX('Raw Data'!$A:$O,F235,21)</f>
        <v>#NUM!</v>
      </c>
      <c r="Z235" t="e">
        <f t="array" ref="Z235">INDEX('Raw Data'!$A:$O,$F235,3)</f>
        <v>#NUM!</v>
      </c>
      <c r="AA235" t="e">
        <f t="array" ref="AA235">INDEX('Raw Data'!$A:$O,$F235,22)</f>
        <v>#NUM!</v>
      </c>
      <c r="AB235" t="e">
        <f t="array" ref="AB235">INDEX('Raw Data'!$A:$O,$F235,23)</f>
        <v>#NUM!</v>
      </c>
    </row>
    <row r="236" spans="1:44" x14ac:dyDescent="0.25">
      <c r="F236" t="e">
        <f t="array" ref="F236">SMALL(IF('Raw Data'!A:A=C227,ROW('Raw Data'!A:A)),ROW('Raw Data'!$9:$9))</f>
        <v>#NUM!</v>
      </c>
      <c r="G236" t="e">
        <f t="array" ref="G236">INDEX('Raw Data'!A:A,F236,9)</f>
        <v>#NUM!</v>
      </c>
      <c r="H236" t="e">
        <f t="array" ref="H236">INDEX('Raw Data'!A:A,F236,10)</f>
        <v>#NUM!</v>
      </c>
      <c r="I236" t="e">
        <f t="array" ref="I236">INDEX('Raw Data'!$A:A,$F236,11)</f>
        <v>#NUM!</v>
      </c>
      <c r="J236" t="e">
        <f t="array" ref="J236">INDEX('Raw Data'!$A:A,F236,12)</f>
        <v>#NUM!</v>
      </c>
      <c r="K236" t="e">
        <f t="array" ref="K236">(--INDEX('Raw Data'!$A$4:B$998,F236,4))</f>
        <v>#NUM!</v>
      </c>
      <c r="L236" t="e">
        <f t="array" ref="L236">(--INDEX('Raw Data'!$A$4:B$998,F236,5))</f>
        <v>#NUM!</v>
      </c>
      <c r="M236" t="e">
        <f t="array" ref="M236">(--INDEX('Raw Data'!$A$4:D$998,$F236,6))</f>
        <v>#NUM!</v>
      </c>
      <c r="N236" t="e">
        <f t="array" ref="N236">(--INDEX('Raw Data'!$A$4:D$998,$F236,7))</f>
        <v>#NUM!</v>
      </c>
      <c r="O236" t="e">
        <f t="array" ref="O236">IF(--INDEX('Raw Data'!$A$4:E$998,$F236,8)= 0, 1, 0)</f>
        <v>#NUM!</v>
      </c>
      <c r="P236" t="e">
        <f t="array" ref="P236">IF(--INDEX('Raw Data'!$A$4:F$998,$F236,8)= 1, 1, 0)</f>
        <v>#NUM!</v>
      </c>
      <c r="Q236" t="e">
        <f t="array" ref="Q236">IF(--INDEX('Raw Data'!$A$4:G$998,$F236,13)= 1, 1, 0)</f>
        <v>#NUM!</v>
      </c>
      <c r="R236" t="e">
        <f t="array" ref="R236">IF(--INDEX('Raw Data'!$A$4:H$998,$F236,14)= 1, 1, 0)</f>
        <v>#NUM!</v>
      </c>
      <c r="S236" t="e">
        <f t="array" ref="S236">IF(--INDEX('Raw Data'!$A$4:I$998,$F236,15)= 1, 1, 0)</f>
        <v>#NUM!</v>
      </c>
      <c r="T236" t="e">
        <f t="array" ref="T236">IF(--INDEX('Raw Data'!$A$4:I$998,$F236,15)= 1, 1, 0)</f>
        <v>#NUM!</v>
      </c>
      <c r="U236" t="e">
        <f t="array" ref="U236">IF(--INDEX('Raw Data'!$A$4:J$998,$F236,16)= 1, 1, 0)</f>
        <v>#NUM!</v>
      </c>
      <c r="V236" t="e">
        <f t="array" ref="V236">IF(--INDEX('Raw Data'!$A$4:K$998,$F236,17)= 1, 1, 0)</f>
        <v>#NUM!</v>
      </c>
      <c r="W236" t="e">
        <f t="array" ref="W236">INDEX('Raw Data'!$A:$O,$F236,19)</f>
        <v>#NUM!</v>
      </c>
      <c r="X236" t="e">
        <f t="array" ref="X236">INDEX('Raw Data'!$A:$O,$F236,20)</f>
        <v>#NUM!</v>
      </c>
      <c r="Y236" t="e">
        <f t="array" ref="Y236">INDEX('Raw Data'!$A:$O,F236,21)</f>
        <v>#NUM!</v>
      </c>
      <c r="Z236" t="e">
        <f t="array" ref="Z236">INDEX('Raw Data'!$A:$O,$F236,3)</f>
        <v>#NUM!</v>
      </c>
      <c r="AA236" t="e">
        <f t="array" ref="AA236">INDEX('Raw Data'!$A:$O,$F236,22)</f>
        <v>#NUM!</v>
      </c>
      <c r="AB236" t="e">
        <f t="array" ref="AB236">INDEX('Raw Data'!$A:$O,$F236,23)</f>
        <v>#NUM!</v>
      </c>
    </row>
    <row r="237" spans="1:44" x14ac:dyDescent="0.25">
      <c r="F237" t="e">
        <f t="array" ref="F237">SMALL(IF('Raw Data'!A:A=C227,ROW('Raw Data'!A:A)),ROW('Raw Data'!$10:$10))</f>
        <v>#NUM!</v>
      </c>
      <c r="G237" t="e">
        <f t="array" ref="G237">INDEX('Raw Data'!A:A,F237,9)</f>
        <v>#NUM!</v>
      </c>
      <c r="H237" t="e">
        <f t="array" ref="H237">INDEX('Raw Data'!A:A,F237,10)</f>
        <v>#NUM!</v>
      </c>
      <c r="I237" t="e">
        <f t="array" ref="I237">INDEX('Raw Data'!$A:A,$F237,11)</f>
        <v>#NUM!</v>
      </c>
      <c r="J237" t="e">
        <f t="array" ref="J237">INDEX('Raw Data'!$A:A,F237,12)</f>
        <v>#NUM!</v>
      </c>
      <c r="K237" t="e">
        <f t="array" ref="K237">(--INDEX('Raw Data'!$A$4:B$998,F237,4))</f>
        <v>#NUM!</v>
      </c>
      <c r="L237" t="e">
        <f t="array" ref="L237">(--INDEX('Raw Data'!$A$4:B$998,F237,5))</f>
        <v>#NUM!</v>
      </c>
      <c r="M237" t="e">
        <f t="array" ref="M237">(--INDEX('Raw Data'!$A$4:D$998,$F237,6))</f>
        <v>#NUM!</v>
      </c>
      <c r="N237" t="e">
        <f t="array" ref="N237">(--INDEX('Raw Data'!$A$4:D$998,$F237,7))</f>
        <v>#NUM!</v>
      </c>
      <c r="O237" t="e">
        <f t="array" ref="O237">IF(--INDEX('Raw Data'!$A$4:E$998,$F237,8)= 0, 1, 0)</f>
        <v>#NUM!</v>
      </c>
      <c r="P237" t="e">
        <f t="array" ref="P237">IF(--INDEX('Raw Data'!$A$4:F$998,$F237,8)= 1, 1, 0)</f>
        <v>#NUM!</v>
      </c>
      <c r="Q237" t="e">
        <f t="array" ref="Q237">IF(--INDEX('Raw Data'!$A$4:G$998,$F237,13)= 1, 1, 0)</f>
        <v>#NUM!</v>
      </c>
      <c r="R237" t="e">
        <f t="array" ref="R237">IF(--INDEX('Raw Data'!$A$4:H$998,$F237,14)= 1, 1, 0)</f>
        <v>#NUM!</v>
      </c>
      <c r="S237" t="e">
        <f t="array" ref="S237">IF(--INDEX('Raw Data'!$A$4:I$998,$F237,15)= 1, 1, 0)</f>
        <v>#NUM!</v>
      </c>
      <c r="T237" t="e">
        <f t="array" ref="T237">IF(--INDEX('Raw Data'!$A$4:I$998,$F237,15)= 1, 1, 0)</f>
        <v>#NUM!</v>
      </c>
      <c r="U237" t="e">
        <f t="array" ref="U237">IF(--INDEX('Raw Data'!$A$4:J$998,$F237,16)= 1, 1, 0)</f>
        <v>#NUM!</v>
      </c>
      <c r="V237" t="e">
        <f t="array" ref="V237">IF(--INDEX('Raw Data'!$A$4:K$998,$F237,17)= 1, 1, 0)</f>
        <v>#NUM!</v>
      </c>
      <c r="W237" t="e">
        <f t="array" ref="W237">INDEX('Raw Data'!$A:$O,$F237,19)</f>
        <v>#NUM!</v>
      </c>
      <c r="X237" t="e">
        <f t="array" ref="X237">INDEX('Raw Data'!$A:$O,$F237,20)</f>
        <v>#NUM!</v>
      </c>
      <c r="Y237" t="e">
        <f t="array" ref="Y237">INDEX('Raw Data'!$A:$O,F237,21)</f>
        <v>#NUM!</v>
      </c>
      <c r="Z237" t="e">
        <f t="array" ref="Z237">INDEX('Raw Data'!$A:$O,$F237,3)</f>
        <v>#NUM!</v>
      </c>
      <c r="AA237" t="e">
        <f t="array" ref="AA237">INDEX('Raw Data'!$A:$O,$F237,22)</f>
        <v>#NUM!</v>
      </c>
      <c r="AB237" t="e">
        <f t="array" ref="AB237">INDEX('Raw Data'!$A:$O,$F237,23)</f>
        <v>#NUM!</v>
      </c>
    </row>
    <row r="238" spans="1:44" x14ac:dyDescent="0.25">
      <c r="F238" t="e">
        <f t="array" ref="F238">SMALL(IF('Raw Data'!A:A=C227,ROW('Raw Data'!A:A)),ROW('Raw Data'!$11:$11))</f>
        <v>#NUM!</v>
      </c>
      <c r="G238" t="e">
        <f t="array" ref="G238">INDEX('Raw Data'!A:A,F238,9)</f>
        <v>#NUM!</v>
      </c>
      <c r="H238" t="e">
        <f t="array" ref="H238">INDEX('Raw Data'!A:A,F238,10)</f>
        <v>#NUM!</v>
      </c>
      <c r="I238" t="e">
        <f t="array" ref="I238">INDEX('Raw Data'!$A:A,$F238,11)</f>
        <v>#NUM!</v>
      </c>
      <c r="J238" t="e">
        <f t="array" ref="J238">INDEX('Raw Data'!$A:A,F238,12)</f>
        <v>#NUM!</v>
      </c>
      <c r="K238" t="e">
        <f t="array" ref="K238">(--INDEX('Raw Data'!$A$4:B$998,F238,4))</f>
        <v>#NUM!</v>
      </c>
      <c r="L238" t="e">
        <f t="array" ref="L238">(--INDEX('Raw Data'!$A$4:B$998,F238,5))</f>
        <v>#NUM!</v>
      </c>
      <c r="M238" t="e">
        <f t="array" ref="M238">(--INDEX('Raw Data'!$A$4:D$998,$F238,6))</f>
        <v>#NUM!</v>
      </c>
      <c r="N238" t="e">
        <f t="array" ref="N238">(--INDEX('Raw Data'!$A$4:D$998,$F238,7))</f>
        <v>#NUM!</v>
      </c>
      <c r="O238" t="e">
        <f t="array" ref="O238">IF(--INDEX('Raw Data'!$A$4:E$998,$F238,8)= 0, 1, 0)</f>
        <v>#NUM!</v>
      </c>
      <c r="P238" t="e">
        <f t="array" ref="P238">IF(--INDEX('Raw Data'!$A$4:F$998,$F238,8)= 1, 1, 0)</f>
        <v>#NUM!</v>
      </c>
      <c r="Q238" t="e">
        <f t="array" ref="Q238">IF(--INDEX('Raw Data'!$A$4:G$998,$F238,13)= 1, 1, 0)</f>
        <v>#NUM!</v>
      </c>
      <c r="R238" t="e">
        <f t="array" ref="R238">IF(--INDEX('Raw Data'!$A$4:H$998,$F238,14)= 1, 1, 0)</f>
        <v>#NUM!</v>
      </c>
      <c r="S238" t="e">
        <f t="array" ref="S238">IF(--INDEX('Raw Data'!$A$4:I$998,$F238,15)= 1, 1, 0)</f>
        <v>#NUM!</v>
      </c>
      <c r="T238" t="e">
        <f t="array" ref="T238">IF(--INDEX('Raw Data'!$A$4:I$998,$F238,15)= 1, 1, 0)</f>
        <v>#NUM!</v>
      </c>
      <c r="U238" t="e">
        <f t="array" ref="U238">IF(--INDEX('Raw Data'!$A$4:J$998,$F238,16)= 1, 1, 0)</f>
        <v>#NUM!</v>
      </c>
      <c r="V238" t="e">
        <f t="array" ref="V238">IF(--INDEX('Raw Data'!$A$4:K$998,$F238,17)= 1, 1, 0)</f>
        <v>#NUM!</v>
      </c>
      <c r="W238" t="e">
        <f t="array" ref="W238">INDEX('Raw Data'!$A:$O,$F238,19)</f>
        <v>#NUM!</v>
      </c>
      <c r="X238" t="e">
        <f t="array" ref="X238">INDEX('Raw Data'!$A:$O,$F238,20)</f>
        <v>#NUM!</v>
      </c>
      <c r="Y238" t="e">
        <f t="array" ref="Y238">INDEX('Raw Data'!$A:$O,F238,21)</f>
        <v>#NUM!</v>
      </c>
      <c r="Z238" t="e">
        <f t="array" ref="Z238">INDEX('Raw Data'!$A:$O,$F238,3)</f>
        <v>#NUM!</v>
      </c>
      <c r="AA238" t="e">
        <f t="array" ref="AA238">INDEX('Raw Data'!$A:$O,$F238,22)</f>
        <v>#NUM!</v>
      </c>
      <c r="AB238" t="e">
        <f t="array" ref="AB238">INDEX('Raw Data'!$A:$O,$F238,23)</f>
        <v>#NUM!</v>
      </c>
    </row>
    <row r="239" spans="1:44" x14ac:dyDescent="0.25">
      <c r="F239" t="e">
        <f t="array" ref="F239">SMALL(IF('Raw Data'!A:A=C227,ROW('Raw Data'!A:A)),ROW('Raw Data'!$12:$12))</f>
        <v>#NUM!</v>
      </c>
      <c r="G239" t="e">
        <f t="array" ref="G239">INDEX('Raw Data'!A:A,F239,9)</f>
        <v>#NUM!</v>
      </c>
      <c r="H239" t="e">
        <f t="array" ref="H239">INDEX('Raw Data'!A:A,F239,10)</f>
        <v>#NUM!</v>
      </c>
      <c r="I239" t="e">
        <f t="array" ref="I239">INDEX('Raw Data'!$A:A,$F239,11)</f>
        <v>#NUM!</v>
      </c>
      <c r="J239" t="e">
        <f t="array" ref="J239">INDEX('Raw Data'!$A:A,F239,12)</f>
        <v>#NUM!</v>
      </c>
      <c r="K239" t="e">
        <f t="array" ref="K239">(--INDEX('Raw Data'!$A$4:B$998,F239,4))</f>
        <v>#NUM!</v>
      </c>
      <c r="L239" t="e">
        <f t="array" ref="L239">(--INDEX('Raw Data'!$A$4:B$998,F239,5))</f>
        <v>#NUM!</v>
      </c>
      <c r="M239" t="e">
        <f t="array" ref="M239">(--INDEX('Raw Data'!$A$4:D$998,$F239,6))</f>
        <v>#NUM!</v>
      </c>
      <c r="N239" t="e">
        <f t="array" ref="N239">(--INDEX('Raw Data'!$A$4:D$998,$F239,7))</f>
        <v>#NUM!</v>
      </c>
      <c r="O239" t="e">
        <f t="array" ref="O239">IF(--INDEX('Raw Data'!$A$4:E$998,$F239,8)= 0, 1, 0)</f>
        <v>#NUM!</v>
      </c>
      <c r="P239" t="e">
        <f t="array" ref="P239">IF(--INDEX('Raw Data'!$A$4:F$998,$F239,8)= 1, 1, 0)</f>
        <v>#NUM!</v>
      </c>
      <c r="Q239" t="e">
        <f t="array" ref="Q239">IF(--INDEX('Raw Data'!$A$4:G$998,$F239,13)= 1, 1, 0)</f>
        <v>#NUM!</v>
      </c>
      <c r="R239" t="e">
        <f t="array" ref="R239">IF(--INDEX('Raw Data'!$A$4:H$998,$F239,14)= 1, 1, 0)</f>
        <v>#NUM!</v>
      </c>
      <c r="S239" t="e">
        <f t="array" ref="S239">IF(--INDEX('Raw Data'!$A$4:I$998,$F239,15)= 1, 1, 0)</f>
        <v>#NUM!</v>
      </c>
      <c r="T239" t="e">
        <f t="array" ref="T239">IF(--INDEX('Raw Data'!$A$4:I$998,$F239,15)= 1, 1, 0)</f>
        <v>#NUM!</v>
      </c>
      <c r="U239" t="e">
        <f t="array" ref="U239">IF(--INDEX('Raw Data'!$A$4:J$998,$F239,16)= 1, 1, 0)</f>
        <v>#NUM!</v>
      </c>
      <c r="V239" t="e">
        <f t="array" ref="V239">IF(--INDEX('Raw Data'!$A$4:K$998,$F239,17)= 1, 1, 0)</f>
        <v>#NUM!</v>
      </c>
      <c r="W239" t="e">
        <f t="array" ref="W239">INDEX('Raw Data'!$A:$O,$F239,19)</f>
        <v>#NUM!</v>
      </c>
      <c r="X239" t="e">
        <f t="array" ref="X239">INDEX('Raw Data'!$A:$O,$F239,20)</f>
        <v>#NUM!</v>
      </c>
      <c r="Y239" t="e">
        <f t="array" ref="Y239">INDEX('Raw Data'!$A:$O,F239,21)</f>
        <v>#NUM!</v>
      </c>
      <c r="Z239" t="e">
        <f t="array" ref="Z239">INDEX('Raw Data'!$A:$O,$F239,3)</f>
        <v>#NUM!</v>
      </c>
      <c r="AA239" t="e">
        <f t="array" ref="AA239">INDEX('Raw Data'!$A:$O,$F239,22)</f>
        <v>#NUM!</v>
      </c>
      <c r="AB239" t="e">
        <f t="array" ref="AB239">INDEX('Raw Data'!$A:$O,$F239,23)</f>
        <v>#NUM!</v>
      </c>
    </row>
    <row r="240" spans="1:44" x14ac:dyDescent="0.25">
      <c r="F240" t="e">
        <f t="array" ref="F240">SMALL(IF('Raw Data'!A:A=C227,ROW('Raw Data'!A:A)),ROW('Raw Data'!$13:$13))</f>
        <v>#NUM!</v>
      </c>
      <c r="G240" t="e">
        <f t="array" ref="G240">INDEX('Raw Data'!A:A,F240,9)</f>
        <v>#NUM!</v>
      </c>
      <c r="H240" t="e">
        <f t="array" ref="H240">INDEX('Raw Data'!A:A,F240,10)</f>
        <v>#NUM!</v>
      </c>
      <c r="I240" t="e">
        <f t="array" ref="I240">INDEX('Raw Data'!$A:A,$F240,11)</f>
        <v>#NUM!</v>
      </c>
      <c r="J240" t="e">
        <f t="array" ref="J240">INDEX('Raw Data'!$A:A,F240,12)</f>
        <v>#NUM!</v>
      </c>
      <c r="K240" t="e">
        <f t="array" ref="K240">(--INDEX('Raw Data'!$A$4:B$998,F240,4))</f>
        <v>#NUM!</v>
      </c>
      <c r="L240" t="e">
        <f t="array" ref="L240">(--INDEX('Raw Data'!$A$4:B$998,F240,5))</f>
        <v>#NUM!</v>
      </c>
      <c r="M240" t="e">
        <f t="array" ref="M240">(--INDEX('Raw Data'!$A$4:D$998,$F240,6))</f>
        <v>#NUM!</v>
      </c>
      <c r="N240" t="e">
        <f t="array" ref="N240">(--INDEX('Raw Data'!$A$4:D$998,$F240,7))</f>
        <v>#NUM!</v>
      </c>
      <c r="O240" t="e">
        <f t="array" ref="O240">IF(--INDEX('Raw Data'!$A$4:E$998,$F240,8)= 0, 1, 0)</f>
        <v>#NUM!</v>
      </c>
      <c r="P240" t="e">
        <f t="array" ref="P240">IF(--INDEX('Raw Data'!$A$4:F$998,$F240,8)= 1, 1, 0)</f>
        <v>#NUM!</v>
      </c>
      <c r="Q240" t="e">
        <f t="array" ref="Q240">IF(--INDEX('Raw Data'!$A$4:G$998,$F240,13)= 1, 1, 0)</f>
        <v>#NUM!</v>
      </c>
      <c r="R240" t="e">
        <f t="array" ref="R240">IF(--INDEX('Raw Data'!$A$4:H$998,$F240,14)= 1, 1, 0)</f>
        <v>#NUM!</v>
      </c>
      <c r="S240" t="e">
        <f t="array" ref="S240">IF(--INDEX('Raw Data'!$A$4:I$998,$F240,15)= 1, 1, 0)</f>
        <v>#NUM!</v>
      </c>
      <c r="T240" t="e">
        <f t="array" ref="T240">IF(--INDEX('Raw Data'!$A$4:I$998,$F240,15)= 1, 1, 0)</f>
        <v>#NUM!</v>
      </c>
      <c r="U240" t="e">
        <f t="array" ref="U240">IF(--INDEX('Raw Data'!$A$4:J$998,$F240,16)= 1, 1, 0)</f>
        <v>#NUM!</v>
      </c>
      <c r="V240" t="e">
        <f t="array" ref="V240">IF(--INDEX('Raw Data'!$A$4:K$998,$F240,17)= 1, 1, 0)</f>
        <v>#NUM!</v>
      </c>
      <c r="W240" t="e">
        <f t="array" ref="W240">INDEX('Raw Data'!$A:$O,$F240,19)</f>
        <v>#NUM!</v>
      </c>
      <c r="X240" t="e">
        <f t="array" ref="X240">INDEX('Raw Data'!$A:$O,$F240,20)</f>
        <v>#NUM!</v>
      </c>
      <c r="Y240" t="e">
        <f t="array" ref="Y240">INDEX('Raw Data'!$A:$O,F240,21)</f>
        <v>#NUM!</v>
      </c>
      <c r="Z240" t="e">
        <f t="array" ref="Z240">INDEX('Raw Data'!$A:$O,$F240,3)</f>
        <v>#NUM!</v>
      </c>
      <c r="AA240" t="e">
        <f t="array" ref="AA240">INDEX('Raw Data'!$A:$O,$F240,22)</f>
        <v>#NUM!</v>
      </c>
      <c r="AB240" t="e">
        <f t="array" ref="AB240">INDEX('Raw Data'!$A:$O,$F240,23)</f>
        <v>#NUM!</v>
      </c>
    </row>
    <row r="241" spans="1:44" x14ac:dyDescent="0.25">
      <c r="F241" t="e">
        <f t="array" ref="F241">SMALL(IF('Raw Data'!A:A=C227,ROW('Raw Data'!A:A)),ROW('Raw Data'!$14:$14))</f>
        <v>#NUM!</v>
      </c>
      <c r="G241" t="e">
        <f t="array" ref="G241">INDEX('Raw Data'!A:A,F241,9)</f>
        <v>#NUM!</v>
      </c>
      <c r="H241" t="e">
        <f t="array" ref="H241">INDEX('Raw Data'!A:A,F241,10)</f>
        <v>#NUM!</v>
      </c>
      <c r="I241" t="e">
        <f t="array" ref="I241">INDEX('Raw Data'!$A:A,$F241,11)</f>
        <v>#NUM!</v>
      </c>
      <c r="J241" t="e">
        <f t="array" ref="J241">INDEX('Raw Data'!$A:A,F241,12)</f>
        <v>#NUM!</v>
      </c>
      <c r="K241" t="e">
        <f t="array" ref="K241">(--INDEX('Raw Data'!$A$4:B$998,F241,4))</f>
        <v>#NUM!</v>
      </c>
      <c r="L241" t="e">
        <f t="array" ref="L241">(--INDEX('Raw Data'!$A$4:B$998,F241,5))</f>
        <v>#NUM!</v>
      </c>
      <c r="M241" t="e">
        <f t="array" ref="M241">(--INDEX('Raw Data'!$A$4:D$998,$F241,6))</f>
        <v>#NUM!</v>
      </c>
      <c r="N241" t="e">
        <f t="array" ref="N241">(--INDEX('Raw Data'!$A$4:D$998,$F241,7))</f>
        <v>#NUM!</v>
      </c>
      <c r="O241" t="e">
        <f t="array" ref="O241">IF(--INDEX('Raw Data'!$A$4:E$998,$F241,8)= 0, 1, 0)</f>
        <v>#NUM!</v>
      </c>
      <c r="P241" t="e">
        <f t="array" ref="P241">IF(--INDEX('Raw Data'!$A$4:F$998,$F241,8)= 1, 1, 0)</f>
        <v>#NUM!</v>
      </c>
      <c r="Q241" t="e">
        <f t="array" ref="Q241">IF(--INDEX('Raw Data'!$A$4:G$998,$F241,13)= 1, 1, 0)</f>
        <v>#NUM!</v>
      </c>
      <c r="R241" t="e">
        <f t="array" ref="R241">IF(--INDEX('Raw Data'!$A$4:H$998,$F241,14)= 1, 1, 0)</f>
        <v>#NUM!</v>
      </c>
      <c r="S241" t="e">
        <f t="array" ref="S241">IF(--INDEX('Raw Data'!$A$4:I$998,$F241,15)= 1, 1, 0)</f>
        <v>#NUM!</v>
      </c>
      <c r="T241" t="e">
        <f t="array" ref="T241">IF(--INDEX('Raw Data'!$A$4:I$998,$F241,15)= 1, 1, 0)</f>
        <v>#NUM!</v>
      </c>
      <c r="U241" t="e">
        <f t="array" ref="U241">IF(--INDEX('Raw Data'!$A$4:J$998,$F241,16)= 1, 1, 0)</f>
        <v>#NUM!</v>
      </c>
      <c r="V241" t="e">
        <f t="array" ref="V241">IF(--INDEX('Raw Data'!$A$4:K$998,$F241,17)= 1, 1, 0)</f>
        <v>#NUM!</v>
      </c>
      <c r="W241" t="e">
        <f t="array" ref="W241">INDEX('Raw Data'!$A:$O,$F241,19)</f>
        <v>#NUM!</v>
      </c>
      <c r="X241" t="e">
        <f t="array" ref="X241">INDEX('Raw Data'!$A:$O,$F241,20)</f>
        <v>#NUM!</v>
      </c>
      <c r="Y241" t="e">
        <f t="array" ref="Y241">INDEX('Raw Data'!$A:$O,F241,21)</f>
        <v>#NUM!</v>
      </c>
      <c r="Z241" t="e">
        <f t="array" ref="Z241">INDEX('Raw Data'!$A:$O,$F241,3)</f>
        <v>#NUM!</v>
      </c>
      <c r="AA241" t="e">
        <f t="array" ref="AA241">INDEX('Raw Data'!$A:$O,$F241,22)</f>
        <v>#NUM!</v>
      </c>
      <c r="AB241" t="e">
        <f t="array" ref="AB241">INDEX('Raw Data'!$A:$O,$F241,23)</f>
        <v>#NUM!</v>
      </c>
    </row>
    <row r="242" spans="1:44" x14ac:dyDescent="0.25">
      <c r="F242" t="e">
        <f t="array" ref="F242">SMALL(IF('Raw Data'!A:A=C227,ROW('Raw Data'!A:A)),ROW('Raw Data'!$15:$15))</f>
        <v>#NUM!</v>
      </c>
      <c r="G242" t="e">
        <f t="array" ref="G242">INDEX('Raw Data'!A:A,F242,9)</f>
        <v>#NUM!</v>
      </c>
      <c r="H242" t="e">
        <f t="array" ref="H242">INDEX('Raw Data'!A:A,F242,10)</f>
        <v>#NUM!</v>
      </c>
      <c r="I242" t="e">
        <f t="array" ref="I242">INDEX('Raw Data'!$A:A,$F242,11)</f>
        <v>#NUM!</v>
      </c>
      <c r="J242" t="e">
        <f t="array" ref="J242">INDEX('Raw Data'!$A:A,F242,12)</f>
        <v>#NUM!</v>
      </c>
      <c r="K242" t="e">
        <f t="array" ref="K242">(--INDEX('Raw Data'!$A$4:B$998,F242,4))</f>
        <v>#NUM!</v>
      </c>
      <c r="L242" t="e">
        <f t="array" ref="L242">(--INDEX('Raw Data'!$A$4:B$998,F242,5))</f>
        <v>#NUM!</v>
      </c>
      <c r="M242" t="e">
        <f t="array" ref="M242">(--INDEX('Raw Data'!$A$4:D$998,$F242,6))</f>
        <v>#NUM!</v>
      </c>
      <c r="N242" t="e">
        <f t="array" ref="N242">(--INDEX('Raw Data'!$A$4:D$998,$F242,7))</f>
        <v>#NUM!</v>
      </c>
      <c r="O242" t="e">
        <f t="array" ref="O242">IF(--INDEX('Raw Data'!$A$4:E$998,$F242,8)= 0, 1, 0)</f>
        <v>#NUM!</v>
      </c>
      <c r="P242" t="e">
        <f t="array" ref="P242">IF(--INDEX('Raw Data'!$A$4:F$998,$F242,8)= 1, 1, 0)</f>
        <v>#NUM!</v>
      </c>
      <c r="Q242" t="e">
        <f t="array" ref="Q242">IF(--INDEX('Raw Data'!$A$4:G$998,$F242,13)= 1, 1, 0)</f>
        <v>#NUM!</v>
      </c>
      <c r="R242" t="e">
        <f t="array" ref="R242">IF(--INDEX('Raw Data'!$A$4:H$998,$F242,14)= 1, 1, 0)</f>
        <v>#NUM!</v>
      </c>
      <c r="S242" t="e">
        <f t="array" ref="S242">IF(--INDEX('Raw Data'!$A$4:I$998,$F242,15)= 1, 1, 0)</f>
        <v>#NUM!</v>
      </c>
      <c r="T242" t="e">
        <f t="array" ref="T242">IF(--INDEX('Raw Data'!$A$4:I$998,$F242,15)= 1, 1, 0)</f>
        <v>#NUM!</v>
      </c>
      <c r="U242" t="e">
        <f t="array" ref="U242">IF(--INDEX('Raw Data'!$A$4:J$998,$F242,16)= 1, 1, 0)</f>
        <v>#NUM!</v>
      </c>
      <c r="V242" t="e">
        <f t="array" ref="V242">IF(--INDEX('Raw Data'!$A$4:K$998,$F242,17)= 1, 1, 0)</f>
        <v>#NUM!</v>
      </c>
      <c r="W242" t="e">
        <f t="array" ref="W242">INDEX('Raw Data'!$A:$O,$F242,19)</f>
        <v>#NUM!</v>
      </c>
      <c r="X242" t="e">
        <f t="array" ref="X242">INDEX('Raw Data'!$A:$O,$F242,20)</f>
        <v>#NUM!</v>
      </c>
      <c r="Y242" t="e">
        <f t="array" ref="Y242">INDEX('Raw Data'!$A:$O,F242,21)</f>
        <v>#NUM!</v>
      </c>
      <c r="Z242" t="e">
        <f t="array" ref="Z242">INDEX('Raw Data'!$A:$O,$F242,3)</f>
        <v>#NUM!</v>
      </c>
      <c r="AA242" t="e">
        <f t="array" ref="AA242">INDEX('Raw Data'!$A:$O,$F242,22)</f>
        <v>#NUM!</v>
      </c>
      <c r="AB242" t="e">
        <f t="array" ref="AB242">INDEX('Raw Data'!$A:$O,$F242,23)</f>
        <v>#NUM!</v>
      </c>
    </row>
    <row r="243" spans="1:44" x14ac:dyDescent="0.25">
      <c r="A243" t="s">
        <v>55</v>
      </c>
      <c r="C243" s="2" t="e">
        <f>B233/B232</f>
        <v>#DIV/0!</v>
      </c>
      <c r="F243">
        <f t="array" ref="F243">COUNTIF(F228:F242,"&gt;0")</f>
        <v>0</v>
      </c>
      <c r="G243">
        <f t="array" ref="G243">SUMIF(G228:G242,"&gt;0")</f>
        <v>0</v>
      </c>
      <c r="H243">
        <f t="array" ref="H243">SUMIF(H228:H242,"&gt;0")</f>
        <v>0</v>
      </c>
      <c r="I243">
        <f t="array" ref="I243">SUMIF(I228:I242,"&gt;0")</f>
        <v>0</v>
      </c>
      <c r="J243">
        <f t="array" ref="J243">SUMIF(J228:J242,"&gt;0")</f>
        <v>0</v>
      </c>
      <c r="K243">
        <f t="array" ref="K243">SUMIF(K228:K242,"&gt;0")</f>
        <v>0</v>
      </c>
      <c r="L243">
        <f t="array" ref="L243">SUMIF(L228:L242,"&gt;0")</f>
        <v>0</v>
      </c>
      <c r="M243">
        <f t="array" ref="M243">SUMIF(M228:M242,"&gt;0")</f>
        <v>0</v>
      </c>
      <c r="N243">
        <f t="array" ref="N243">SUMIF(N228:N242,"&gt;0")</f>
        <v>0</v>
      </c>
      <c r="O243">
        <f t="array" ref="O243">SUMIF(O228:O242,"&gt;0")</f>
        <v>0</v>
      </c>
      <c r="P243">
        <f t="array" ref="P243">SUMIF(P228:P242,"&gt;0")</f>
        <v>0</v>
      </c>
      <c r="Q243">
        <f t="array" ref="Q243">SUMIF(Q228:Q242,"&gt;0")</f>
        <v>0</v>
      </c>
      <c r="R243">
        <f t="array" ref="R243">SUMIF(R228:R242,"&gt;0")</f>
        <v>0</v>
      </c>
      <c r="S243">
        <f t="array" ref="S243">SUMIF(S228:S242,"&gt;0")</f>
        <v>0</v>
      </c>
      <c r="T243">
        <f t="array" ref="T243">SUMIF(T228:T242,"&gt;0")</f>
        <v>0</v>
      </c>
      <c r="U243">
        <f t="array" ref="U243">SUMIF(U228:U242,"&gt;0")</f>
        <v>0</v>
      </c>
      <c r="V243">
        <f t="array" ref="V243">SUMIF(V228:V242,"&gt;0")</f>
        <v>0</v>
      </c>
      <c r="W243">
        <f t="array" ref="W243">SUMIF(W228:W242,"&gt;0")</f>
        <v>0</v>
      </c>
      <c r="X243">
        <f t="array" ref="X243">SUMIF(X228:X242,"&gt;0")</f>
        <v>0</v>
      </c>
      <c r="Y243">
        <f t="array" ref="Y243">SUMIF(Y228:Y242,"&gt;0")</f>
        <v>0</v>
      </c>
      <c r="Z243">
        <f t="array" ref="Z243">SUMIF(Z228:Z242,"&gt;0")</f>
        <v>0</v>
      </c>
      <c r="AA243">
        <f t="array" ref="AA243">SUMIF(AA228:AA242,"&gt;0")</f>
        <v>0</v>
      </c>
      <c r="AB243">
        <f t="array" ref="AB243">SUMIF(AB228:AB242,"&gt;0")</f>
        <v>0</v>
      </c>
    </row>
    <row r="244" spans="1:44" x14ac:dyDescent="0.25">
      <c r="A244" t="s">
        <v>58</v>
      </c>
      <c r="C244" s="2">
        <f t="array" ref="C244">IF((K243+L243)&lt;&gt;0, (L243/(K243+L243)),0)</f>
        <v>0</v>
      </c>
      <c r="J244" s="6">
        <f t="array" ref="J244">J243*10</f>
        <v>0</v>
      </c>
      <c r="K244" s="6"/>
      <c r="P244" t="s">
        <v>95</v>
      </c>
      <c r="Q244" s="2" t="e">
        <f t="array" ref="Q244">Q243/$F243</f>
        <v>#DIV/0!</v>
      </c>
      <c r="R244" s="2" t="e">
        <f t="array" ref="R244">R243/$F243</f>
        <v>#DIV/0!</v>
      </c>
      <c r="S244" s="2" t="e">
        <f t="array" ref="S244">S243/$F243</f>
        <v>#DIV/0!</v>
      </c>
      <c r="T244" s="2" t="e">
        <f t="array" ref="T244">T243/$F243</f>
        <v>#DIV/0!</v>
      </c>
      <c r="U244" s="2" t="e">
        <f t="array" ref="U244">U243/$F243</f>
        <v>#DIV/0!</v>
      </c>
      <c r="V244" s="2" t="e">
        <f t="array" ref="V244">V243/$F243</f>
        <v>#DIV/0!</v>
      </c>
      <c r="W244" s="2" t="e">
        <f t="array" ref="W244">W243/$F243</f>
        <v>#DIV/0!</v>
      </c>
      <c r="X244" s="2" t="e">
        <f t="array" ref="X244">X243/$F243</f>
        <v>#DIV/0!</v>
      </c>
      <c r="Z244" s="2" t="e">
        <f t="array" ref="Z244">Z243/F243</f>
        <v>#DIV/0!</v>
      </c>
    </row>
    <row r="245" spans="1:44" x14ac:dyDescent="0.25">
      <c r="A245" t="s">
        <v>60</v>
      </c>
      <c r="C245" s="2">
        <f t="array" ref="C245">IF((M243+N243)&lt;&gt;0, (N243/(M243+N243)),0)</f>
        <v>0</v>
      </c>
      <c r="J245" s="6"/>
      <c r="K245" s="6"/>
    </row>
    <row r="246" spans="1:44" ht="28.5" x14ac:dyDescent="0.45">
      <c r="A246" t="s">
        <v>61</v>
      </c>
      <c r="C246" s="2">
        <f t="array" ref="C246">IF(((K243+N243+L243+M243)&lt;&gt;0), ((L243+N243)/(K243+N243+L243+M243)),0)</f>
        <v>0</v>
      </c>
      <c r="F246" s="17" t="s">
        <v>106</v>
      </c>
      <c r="G246" s="17" t="e">
        <f t="array" ref="G246">'Weighting &amp; Ranking Sheet'!$B$3*Math!$C244+'Weighting &amp; Ranking Sheet'!$B$4*Math!$C245+'Weighting &amp; Ranking Sheet'!$B$5*Math!$C246+'Weighting &amp; Ranking Sheet'!$B$6*Math!$C247+'Weighting &amp; Ranking Sheet'!$B$7*Math!$C231+'Weighting &amp; Ranking Sheet'!$B$8*Math!$C243+'Weighting &amp; Ranking Sheet'!$B$9*Math!$C250+'Weighting &amp; Ranking Sheet'!$B$10*Math!$C248+'Weighting &amp; Ranking Sheet'!$B$11*Math!$C249+'Weighting &amp; Ranking Sheet'!$B$12*Math!$C251*0.01+'Weighting &amp; Ranking Sheet'!$B$13*Math!$Q244+'Weighting &amp; Ranking Sheet'!$B$14*Math!$R244+'Weighting &amp; Ranking Sheet'!$B$15*Math!$S244+'Weighting &amp; Ranking Sheet'!$B$16*Math!$T244+'Weighting &amp; Ranking Sheet'!$B$17*Math!$U244+'Weighting &amp; Ranking Sheet'!$B$18*Math!$V244+'Weighting &amp; Ranking Sheet'!$B$2*Math!$Z244</f>
        <v>#DIV/0!</v>
      </c>
      <c r="J246"/>
      <c r="K246"/>
      <c r="AR246" s="25"/>
    </row>
    <row r="247" spans="1:44" x14ac:dyDescent="0.25">
      <c r="A247" t="s">
        <v>62</v>
      </c>
      <c r="C247" s="2">
        <f t="array" ref="C247">IF((O243+P243&lt;&gt;0),(P243/(O243+P243)), 0)</f>
        <v>0</v>
      </c>
      <c r="J247"/>
      <c r="K247"/>
      <c r="AR247" s="25"/>
    </row>
    <row r="248" spans="1:44" x14ac:dyDescent="0.25">
      <c r="A248" t="s">
        <v>77</v>
      </c>
      <c r="C248" s="8" t="e">
        <f t="array" ref="C248">W243/F243</f>
        <v>#DIV/0!</v>
      </c>
      <c r="J248"/>
      <c r="K248"/>
      <c r="AR248" s="23"/>
    </row>
    <row r="249" spans="1:44" x14ac:dyDescent="0.25">
      <c r="A249" t="s">
        <v>78</v>
      </c>
      <c r="C249" s="8" t="e">
        <f t="array" ref="C249">X243/F243</f>
        <v>#DIV/0!</v>
      </c>
      <c r="J249"/>
      <c r="K249"/>
    </row>
    <row r="250" spans="1:44" x14ac:dyDescent="0.25">
      <c r="A250" t="s">
        <v>91</v>
      </c>
      <c r="C250" s="2" t="e">
        <f t="array" ref="C250">(C231+C243)/2</f>
        <v>#DIV/0!</v>
      </c>
      <c r="J250"/>
      <c r="K250"/>
    </row>
    <row r="251" spans="1:44" x14ac:dyDescent="0.25">
      <c r="A251" t="s">
        <v>92</v>
      </c>
      <c r="C251" s="8" t="e">
        <f t="array" ref="C251">Y243/F243</f>
        <v>#DIV/0!</v>
      </c>
      <c r="J251"/>
      <c r="K251"/>
    </row>
    <row r="252" spans="1:44" x14ac:dyDescent="0.25">
      <c r="C252" s="8"/>
      <c r="J252" s="6"/>
      <c r="K252" s="6"/>
    </row>
    <row r="253" spans="1:44" x14ac:dyDescent="0.25">
      <c r="C253" s="8"/>
      <c r="J253" s="6"/>
      <c r="K253" s="6"/>
    </row>
    <row r="254" spans="1:44" x14ac:dyDescent="0.25">
      <c r="J254" s="6"/>
      <c r="K254" s="6"/>
    </row>
    <row r="255" spans="1:44" x14ac:dyDescent="0.25">
      <c r="A255" t="s">
        <v>3</v>
      </c>
      <c r="C255" s="5">
        <v>272</v>
      </c>
      <c r="F255" t="s">
        <v>13</v>
      </c>
    </row>
    <row r="256" spans="1:44" x14ac:dyDescent="0.25">
      <c r="F256" t="e">
        <f t="array" ref="F256">SMALL(IF('Raw Data'!A:A=C255,ROW('Raw Data'!A:A)),ROW('Raw Data'!$1:$1))</f>
        <v>#NUM!</v>
      </c>
      <c r="G256" t="e">
        <f t="array" ref="G256">INDEX('Raw Data'!A:A,F256,9)</f>
        <v>#NUM!</v>
      </c>
      <c r="H256" t="e">
        <f t="array" ref="H256">INDEX('Raw Data'!A:A,F256,10)</f>
        <v>#NUM!</v>
      </c>
      <c r="I256" t="e">
        <f t="array" ref="I256">INDEX('Raw Data'!$A:A,$F256,11)</f>
        <v>#NUM!</v>
      </c>
      <c r="J256" t="e">
        <f t="array" ref="J256">INDEX('Raw Data'!$A:A,F256,12)</f>
        <v>#NUM!</v>
      </c>
      <c r="K256" t="e">
        <f>(--INDEX('Raw Data'!$A$4:B$993,F256,4))</f>
        <v>#NUM!</v>
      </c>
      <c r="L256" t="e">
        <f t="array" ref="L256">(--INDEX('Raw Data'!$A$4:B$993,F256,5))</f>
        <v>#NUM!</v>
      </c>
      <c r="M256" t="e">
        <f t="array" ref="M256">(--INDEX('Raw Data'!$A$4:D$993,$F256,6))</f>
        <v>#NUM!</v>
      </c>
      <c r="N256" t="e">
        <f t="array" ref="N256">(--INDEX('Raw Data'!$A$4:D$993,$F256,7))</f>
        <v>#NUM!</v>
      </c>
      <c r="O256" t="e">
        <f t="array" ref="O256">IF(--INDEX('Raw Data'!$A$4:E$993,$F256,8)= 0, 1, 0)</f>
        <v>#NUM!</v>
      </c>
      <c r="P256" t="e">
        <f t="array" ref="P256">IF(--INDEX('Raw Data'!$A$4:F$993,$F256,8)= 1, 1, 0)</f>
        <v>#NUM!</v>
      </c>
      <c r="Q256" t="e">
        <f t="array" ref="Q256">IF(--INDEX('Raw Data'!$A$4:G$993,$F256,13)= 1, 1, 0)</f>
        <v>#NUM!</v>
      </c>
      <c r="R256" t="e">
        <f t="array" ref="R256">IF(--INDEX('Raw Data'!$A$4:H$993,$F256,14)= 1, 1, 0)</f>
        <v>#NUM!</v>
      </c>
      <c r="S256" t="e">
        <f t="array" ref="S256">IF(--INDEX('Raw Data'!$A$4:I$993,$F256,15)= 1, 1, 0)</f>
        <v>#NUM!</v>
      </c>
      <c r="T256" t="e">
        <f t="array" ref="T256">IF(--INDEX('Raw Data'!$A$4:I$993,$F256,15)= 1, 1, 0)</f>
        <v>#NUM!</v>
      </c>
      <c r="U256" t="e">
        <f t="array" ref="U256">IF(--INDEX('Raw Data'!$A$4:J$993,$F256,16)= 1, 1, 0)</f>
        <v>#NUM!</v>
      </c>
      <c r="V256" t="e">
        <f t="array" ref="V256">IF(--INDEX('Raw Data'!$A$4:K$993,$F256,17)= 1, 1, 0)</f>
        <v>#NUM!</v>
      </c>
      <c r="W256" t="e">
        <f t="array" ref="W256">INDEX('Raw Data'!$A:$O,$F256,19)</f>
        <v>#NUM!</v>
      </c>
      <c r="X256" t="e">
        <f t="array" ref="X256">INDEX('Raw Data'!$A:$O,$F256,20)</f>
        <v>#NUM!</v>
      </c>
      <c r="Y256" t="e">
        <f t="array" ref="Y256">INDEX('Raw Data'!$A:$O,F256,21)</f>
        <v>#NUM!</v>
      </c>
      <c r="Z256" t="e">
        <f t="array" ref="Z256">INDEX('Raw Data'!$A:$O,$F256,3)</f>
        <v>#NUM!</v>
      </c>
      <c r="AA256" t="e">
        <f t="array" ref="AA256">INDEX('Raw Data'!$A:$O,$F256,22)</f>
        <v>#NUM!</v>
      </c>
      <c r="AB256" t="e">
        <f t="array" ref="AB256">INDEX('Raw Data'!$A:$O,$F256,23)</f>
        <v>#NUM!</v>
      </c>
    </row>
    <row r="257" spans="1:44" x14ac:dyDescent="0.25">
      <c r="A257" t="s">
        <v>0</v>
      </c>
      <c r="B257">
        <f>G271</f>
        <v>0</v>
      </c>
      <c r="F257" t="e">
        <f t="array" ref="F257">SMALL(IF('Raw Data'!A:A=C255,ROW('Raw Data'!A:A)),ROW('Raw Data'!$2:$2))</f>
        <v>#NUM!</v>
      </c>
      <c r="G257" t="e">
        <f t="array" ref="G257">INDEX('Raw Data'!A:A,F257,9)</f>
        <v>#NUM!</v>
      </c>
      <c r="H257" t="e">
        <f t="array" ref="H257">INDEX('Raw Data'!A:A,F257,10)</f>
        <v>#NUM!</v>
      </c>
      <c r="I257" t="e">
        <f t="array" ref="I257">INDEX('Raw Data'!$A:A,$F257,11)</f>
        <v>#NUM!</v>
      </c>
      <c r="J257" t="e">
        <f t="array" ref="J257">INDEX('Raw Data'!$A:A,F257,12)</f>
        <v>#NUM!</v>
      </c>
      <c r="K257" t="e">
        <f>(--INDEX('Raw Data'!$A$4:B$993,F257,4))</f>
        <v>#NUM!</v>
      </c>
      <c r="L257" t="e">
        <f t="array" ref="L257">(--INDEX('Raw Data'!$A$4:B$993,F257,5))</f>
        <v>#NUM!</v>
      </c>
      <c r="M257" t="e">
        <f t="array" ref="M257">(--INDEX('Raw Data'!$A$4:D$993,$F257,6))</f>
        <v>#NUM!</v>
      </c>
      <c r="N257" t="e">
        <f t="array" ref="N257">(--INDEX('Raw Data'!$A$4:D$993,$F257,7))</f>
        <v>#NUM!</v>
      </c>
      <c r="O257" t="e">
        <f t="array" ref="O257">IF(--INDEX('Raw Data'!$A$4:E$993,$F257,8)= 0, 1, 0)</f>
        <v>#NUM!</v>
      </c>
      <c r="P257" t="e">
        <f t="array" ref="P257">IF(--INDEX('Raw Data'!$A$4:F$993,$F257,8)= 1, 1, 0)</f>
        <v>#NUM!</v>
      </c>
      <c r="Q257" t="e">
        <f t="array" ref="Q257">IF(--INDEX('Raw Data'!$A$4:G$993,$F257,13)= 1, 1, 0)</f>
        <v>#NUM!</v>
      </c>
      <c r="R257" t="e">
        <f t="array" ref="R257">IF(--INDEX('Raw Data'!$A$4:H$993,$F257,14)= 1, 1, 0)</f>
        <v>#NUM!</v>
      </c>
      <c r="S257" t="e">
        <f t="array" ref="S257">IF(--INDEX('Raw Data'!$A$4:I$993,$F257,15)= 1, 1, 0)</f>
        <v>#NUM!</v>
      </c>
      <c r="T257" t="e">
        <f t="array" ref="T257">IF(--INDEX('Raw Data'!$A$4:I$993,$F257,15)= 1, 1, 0)</f>
        <v>#NUM!</v>
      </c>
      <c r="U257" t="e">
        <f t="array" ref="U257">IF(--INDEX('Raw Data'!$A$4:J$993,$F257,16)= 1, 1, 0)</f>
        <v>#NUM!</v>
      </c>
      <c r="V257" t="e">
        <f t="array" ref="V257">IF(--INDEX('Raw Data'!$A$4:K$993,$F257,17)= 1, 1, 0)</f>
        <v>#NUM!</v>
      </c>
      <c r="W257" t="e">
        <f t="array" ref="W257">INDEX('Raw Data'!$A:$O,$F257,19)</f>
        <v>#NUM!</v>
      </c>
      <c r="X257" t="e">
        <f t="array" ref="X257">INDEX('Raw Data'!$A:$O,$F257,20)</f>
        <v>#NUM!</v>
      </c>
      <c r="Y257" t="e">
        <f t="array" ref="Y257">INDEX('Raw Data'!$A:$O,F257,21)</f>
        <v>#NUM!</v>
      </c>
      <c r="Z257" t="e">
        <f t="array" ref="Z257">INDEX('Raw Data'!$A:$O,$F257,3)</f>
        <v>#NUM!</v>
      </c>
      <c r="AA257" t="e">
        <f t="array" ref="AA257">INDEX('Raw Data'!$A:$O,$F257,22)</f>
        <v>#NUM!</v>
      </c>
      <c r="AB257" t="e">
        <f t="array" ref="AB257">INDEX('Raw Data'!$A:$O,$F257,23)</f>
        <v>#NUM!</v>
      </c>
    </row>
    <row r="258" spans="1:44" x14ac:dyDescent="0.25">
      <c r="A258" t="s">
        <v>1</v>
      </c>
      <c r="B258">
        <f>H271</f>
        <v>0</v>
      </c>
      <c r="F258" t="e">
        <f t="array" ref="F258">SMALL(IF('Raw Data'!A:A=C255,ROW('Raw Data'!A:A)),ROW('Raw Data'!$3:$3))</f>
        <v>#NUM!</v>
      </c>
      <c r="G258" t="e">
        <f t="array" ref="G258">INDEX('Raw Data'!A:A,F258,9)</f>
        <v>#NUM!</v>
      </c>
      <c r="H258" t="e">
        <f t="array" ref="H258">INDEX('Raw Data'!A:A,F258,10)</f>
        <v>#NUM!</v>
      </c>
      <c r="I258" t="e">
        <f t="array" ref="I258">INDEX('Raw Data'!$A:A,$F258,11)</f>
        <v>#NUM!</v>
      </c>
      <c r="J258" t="e">
        <f t="array" ref="J258">INDEX('Raw Data'!$A:A,F258,12)</f>
        <v>#NUM!</v>
      </c>
      <c r="K258" t="e">
        <f>(--INDEX('Raw Data'!$A$4:B$993,F258,4))</f>
        <v>#NUM!</v>
      </c>
      <c r="L258" t="e">
        <f t="array" ref="L258">(--INDEX('Raw Data'!$A$4:B$993,F258,5))</f>
        <v>#NUM!</v>
      </c>
      <c r="M258" t="e">
        <f t="array" ref="M258">(--INDEX('Raw Data'!$A$4:D$993,$F258,6))</f>
        <v>#NUM!</v>
      </c>
      <c r="N258" t="e">
        <f t="array" ref="N258">(--INDEX('Raw Data'!$A$4:D$993,$F258,7))</f>
        <v>#NUM!</v>
      </c>
      <c r="O258" t="e">
        <f t="array" ref="O258">IF(--INDEX('Raw Data'!$A$4:E$993,$F258,8)= 0, 1, 0)</f>
        <v>#NUM!</v>
      </c>
      <c r="P258" t="e">
        <f t="array" ref="P258">IF(--INDEX('Raw Data'!$A$4:F$993,$F258,8)= 1, 1, 0)</f>
        <v>#NUM!</v>
      </c>
      <c r="Q258" t="e">
        <f t="array" ref="Q258">IF(--INDEX('Raw Data'!$A$4:G$993,$F258,13)= 1, 1, 0)</f>
        <v>#NUM!</v>
      </c>
      <c r="R258" t="e">
        <f t="array" ref="R258">IF(--INDEX('Raw Data'!$A$4:H$993,$F258,14)= 1, 1, 0)</f>
        <v>#NUM!</v>
      </c>
      <c r="S258" t="e">
        <f t="array" ref="S258">IF(--INDEX('Raw Data'!$A$4:I$993,$F258,15)= 1, 1, 0)</f>
        <v>#NUM!</v>
      </c>
      <c r="T258" t="e">
        <f t="array" ref="T258">IF(--INDEX('Raw Data'!$A$4:I$993,$F258,15)= 1, 1, 0)</f>
        <v>#NUM!</v>
      </c>
      <c r="U258" t="e">
        <f t="array" ref="U258">IF(--INDEX('Raw Data'!$A$4:J$993,$F258,16)= 1, 1, 0)</f>
        <v>#NUM!</v>
      </c>
      <c r="V258" t="e">
        <f t="array" ref="V258">IF(--INDEX('Raw Data'!$A$4:K$993,$F258,17)= 1, 1, 0)</f>
        <v>#NUM!</v>
      </c>
      <c r="W258" t="e">
        <f t="array" ref="W258">INDEX('Raw Data'!$A:$O,$F258,19)</f>
        <v>#NUM!</v>
      </c>
      <c r="X258" t="e">
        <f t="array" ref="X258">INDEX('Raw Data'!$A:$O,$F258,20)</f>
        <v>#NUM!</v>
      </c>
      <c r="Y258" t="e">
        <f t="array" ref="Y258">INDEX('Raw Data'!$A:$O,F258,21)</f>
        <v>#NUM!</v>
      </c>
      <c r="Z258" t="e">
        <f t="array" ref="Z258">INDEX('Raw Data'!$A:$O,$F258,3)</f>
        <v>#NUM!</v>
      </c>
      <c r="AA258" t="e">
        <f t="array" ref="AA258">INDEX('Raw Data'!$A:$O,$F258,22)</f>
        <v>#NUM!</v>
      </c>
      <c r="AB258" t="e">
        <f t="array" ref="AB258">INDEX('Raw Data'!$A:$O,$F258,23)</f>
        <v>#NUM!</v>
      </c>
    </row>
    <row r="259" spans="1:44" x14ac:dyDescent="0.25">
      <c r="A259" t="s">
        <v>2</v>
      </c>
      <c r="C259" s="3" t="e">
        <f>B258/B257</f>
        <v>#DIV/0!</v>
      </c>
      <c r="F259" t="e">
        <f t="array" ref="F259">SMALL(IF('Raw Data'!A:A=C255,ROW('Raw Data'!A:A)),ROW('Raw Data'!$4:$4))</f>
        <v>#NUM!</v>
      </c>
      <c r="G259" t="e">
        <f t="array" ref="G259">INDEX('Raw Data'!A:A,F259,9)</f>
        <v>#NUM!</v>
      </c>
      <c r="H259" t="e">
        <f t="array" ref="H259">INDEX('Raw Data'!A:A,F259,10)</f>
        <v>#NUM!</v>
      </c>
      <c r="I259" t="e">
        <f t="array" ref="I259">INDEX('Raw Data'!$A:A,$F259,11)</f>
        <v>#NUM!</v>
      </c>
      <c r="J259" t="e">
        <f t="array" ref="J259">INDEX('Raw Data'!$A:A,F259,12)</f>
        <v>#NUM!</v>
      </c>
      <c r="K259" t="e">
        <f>(--INDEX('Raw Data'!$A$4:B$993,F259,4))</f>
        <v>#NUM!</v>
      </c>
      <c r="L259" t="e">
        <f t="array" ref="L259">(--INDEX('Raw Data'!$A$4:B$993,F259,5))</f>
        <v>#NUM!</v>
      </c>
      <c r="M259" t="e">
        <f t="array" ref="M259">(--INDEX('Raw Data'!$A$4:D$993,$F259,6))</f>
        <v>#NUM!</v>
      </c>
      <c r="N259" t="e">
        <f t="array" ref="N259">(--INDEX('Raw Data'!$A$4:D$993,$F259,7))</f>
        <v>#NUM!</v>
      </c>
      <c r="O259" t="e">
        <f t="array" ref="O259">IF(--INDEX('Raw Data'!$A$4:E$993,$F259,8)= 0, 1, 0)</f>
        <v>#NUM!</v>
      </c>
      <c r="P259" t="e">
        <f t="array" ref="P259">IF(--INDEX('Raw Data'!$A$4:F$993,$F259,8)= 1, 1, 0)</f>
        <v>#NUM!</v>
      </c>
      <c r="Q259" t="e">
        <f t="array" ref="Q259">IF(--INDEX('Raw Data'!$A$4:G$993,$F259,13)= 1, 1, 0)</f>
        <v>#NUM!</v>
      </c>
      <c r="R259" t="e">
        <f t="array" ref="R259">IF(--INDEX('Raw Data'!$A$4:H$993,$F259,14)= 1, 1, 0)</f>
        <v>#NUM!</v>
      </c>
      <c r="S259" t="e">
        <f t="array" ref="S259">IF(--INDEX('Raw Data'!$A$4:I$993,$F259,15)= 1, 1, 0)</f>
        <v>#NUM!</v>
      </c>
      <c r="T259" t="e">
        <f t="array" ref="T259">IF(--INDEX('Raw Data'!$A$4:I$993,$F259,15)= 1, 1, 0)</f>
        <v>#NUM!</v>
      </c>
      <c r="U259" t="e">
        <f t="array" ref="U259">IF(--INDEX('Raw Data'!$A$4:J$993,$F259,16)= 1, 1, 0)</f>
        <v>#NUM!</v>
      </c>
      <c r="V259" t="e">
        <f t="array" ref="V259">IF(--INDEX('Raw Data'!$A$4:K$993,$F259,17)= 1, 1, 0)</f>
        <v>#NUM!</v>
      </c>
      <c r="W259" t="e">
        <f t="array" ref="W259">INDEX('Raw Data'!$A:$O,$F259,19)</f>
        <v>#NUM!</v>
      </c>
      <c r="X259" t="e">
        <f t="array" ref="X259">INDEX('Raw Data'!$A:$O,$F259,20)</f>
        <v>#NUM!</v>
      </c>
      <c r="Y259" t="e">
        <f t="array" ref="Y259">INDEX('Raw Data'!$A:$O,F259,21)</f>
        <v>#NUM!</v>
      </c>
      <c r="Z259" t="e">
        <f t="array" ref="Z259">INDEX('Raw Data'!$A:$O,$F259,3)</f>
        <v>#NUM!</v>
      </c>
      <c r="AA259" t="e">
        <f t="array" ref="AA259">INDEX('Raw Data'!$A:$O,$F259,22)</f>
        <v>#NUM!</v>
      </c>
      <c r="AB259" t="e">
        <f t="array" ref="AB259">INDEX('Raw Data'!$A:$O,$F259,23)</f>
        <v>#NUM!</v>
      </c>
    </row>
    <row r="260" spans="1:44" x14ac:dyDescent="0.25">
      <c r="A260" t="s">
        <v>54</v>
      </c>
      <c r="B260">
        <f>I271</f>
        <v>0</v>
      </c>
      <c r="F260" t="e">
        <f t="array" ref="F260">SMALL(IF('Raw Data'!A:A=C255,ROW('Raw Data'!A:A)),ROW('Raw Data'!$5:$5))</f>
        <v>#NUM!</v>
      </c>
      <c r="G260" t="e">
        <f t="array" ref="G260">INDEX('Raw Data'!A:A,F260,9)</f>
        <v>#NUM!</v>
      </c>
      <c r="H260" t="e">
        <f t="array" ref="H260">INDEX('Raw Data'!A:A,F260,10)</f>
        <v>#NUM!</v>
      </c>
      <c r="I260" t="e">
        <f t="array" ref="I260">INDEX('Raw Data'!$A:A,$F260,11)</f>
        <v>#NUM!</v>
      </c>
      <c r="J260" t="e">
        <f t="array" ref="J260">INDEX('Raw Data'!$A:A,F260,12)</f>
        <v>#NUM!</v>
      </c>
      <c r="K260" t="e">
        <f>(--INDEX('Raw Data'!$A$4:B$993,F260,4))</f>
        <v>#NUM!</v>
      </c>
      <c r="L260" t="e">
        <f t="array" ref="L260">(--INDEX('Raw Data'!$A$4:B$993,F260,5))</f>
        <v>#NUM!</v>
      </c>
      <c r="M260" t="e">
        <f t="array" ref="M260">(--INDEX('Raw Data'!$A$4:D$993,$F260,6))</f>
        <v>#NUM!</v>
      </c>
      <c r="N260" t="e">
        <f t="array" ref="N260">(--INDEX('Raw Data'!$A$4:D$993,$F260,7))</f>
        <v>#NUM!</v>
      </c>
      <c r="O260" t="e">
        <f t="array" ref="O260">IF(--INDEX('Raw Data'!$A$4:E$993,$F260,8)= 0, 1, 0)</f>
        <v>#NUM!</v>
      </c>
      <c r="P260" t="e">
        <f t="array" ref="P260">IF(--INDEX('Raw Data'!$A$4:F$993,$F260,8)= 1, 1, 0)</f>
        <v>#NUM!</v>
      </c>
      <c r="Q260" t="e">
        <f t="array" ref="Q260">IF(--INDEX('Raw Data'!$A$4:G$993,$F260,13)= 1, 1, 0)</f>
        <v>#NUM!</v>
      </c>
      <c r="R260" t="e">
        <f t="array" ref="R260">IF(--INDEX('Raw Data'!$A$4:H$993,$F260,14)= 1, 1, 0)</f>
        <v>#NUM!</v>
      </c>
      <c r="S260" t="e">
        <f t="array" ref="S260">IF(--INDEX('Raw Data'!$A$4:I$993,$F260,15)= 1, 1, 0)</f>
        <v>#NUM!</v>
      </c>
      <c r="T260" t="e">
        <f t="array" ref="T260">IF(--INDEX('Raw Data'!$A$4:I$993,$F260,15)= 1, 1, 0)</f>
        <v>#NUM!</v>
      </c>
      <c r="U260" t="e">
        <f t="array" ref="U260">IF(--INDEX('Raw Data'!$A$4:J$993,$F260,16)= 1, 1, 0)</f>
        <v>#NUM!</v>
      </c>
      <c r="V260" t="e">
        <f t="array" ref="V260">IF(--INDEX('Raw Data'!$A$4:K$993,$F260,17)= 1, 1, 0)</f>
        <v>#NUM!</v>
      </c>
      <c r="W260" t="e">
        <f t="array" ref="W260">INDEX('Raw Data'!$A:$O,$F260,19)</f>
        <v>#NUM!</v>
      </c>
      <c r="X260" t="e">
        <f t="array" ref="X260">INDEX('Raw Data'!$A:$O,$F260,20)</f>
        <v>#NUM!</v>
      </c>
      <c r="Y260" t="e">
        <f t="array" ref="Y260">INDEX('Raw Data'!$A:$O,F260,21)</f>
        <v>#NUM!</v>
      </c>
      <c r="Z260" t="e">
        <f t="array" ref="Z260">INDEX('Raw Data'!$A:$O,$F260,3)</f>
        <v>#NUM!</v>
      </c>
      <c r="AA260" t="e">
        <f t="array" ref="AA260">INDEX('Raw Data'!$A:$O,$F260,22)</f>
        <v>#NUM!</v>
      </c>
      <c r="AB260" t="e">
        <f t="array" ref="AB260">INDEX('Raw Data'!$A:$O,$F260,23)</f>
        <v>#NUM!</v>
      </c>
      <c r="AR260" s="25"/>
    </row>
    <row r="261" spans="1:44" x14ac:dyDescent="0.25">
      <c r="A261" t="s">
        <v>35</v>
      </c>
      <c r="B261">
        <f>J271</f>
        <v>0</v>
      </c>
      <c r="F261" t="e">
        <f t="array" ref="F261">SMALL(IF('Raw Data'!A:A=C255,ROW('Raw Data'!A:A)),ROW('Raw Data'!$6:$6))</f>
        <v>#NUM!</v>
      </c>
      <c r="G261" t="e">
        <f t="array" ref="G261">INDEX('Raw Data'!A:A,F261,9)</f>
        <v>#NUM!</v>
      </c>
      <c r="H261" t="e">
        <f t="array" ref="H261">INDEX('Raw Data'!A:A,F261,10)</f>
        <v>#NUM!</v>
      </c>
      <c r="I261" t="e">
        <f t="array" ref="I261">INDEX('Raw Data'!$A:A,$F261,11)</f>
        <v>#NUM!</v>
      </c>
      <c r="J261" t="e">
        <f t="array" ref="J261">INDEX('Raw Data'!$A:A,F261,12)</f>
        <v>#NUM!</v>
      </c>
      <c r="K261" t="e">
        <f>(--INDEX('Raw Data'!$A$4:B$993,F261,4))</f>
        <v>#NUM!</v>
      </c>
      <c r="L261" t="e">
        <f t="array" ref="L261">(--INDEX('Raw Data'!$A$4:B$998,F261,5))</f>
        <v>#NUM!</v>
      </c>
      <c r="M261" t="e">
        <f t="array" ref="M261">(--INDEX('Raw Data'!$A$4:D$998,$F261,6))</f>
        <v>#NUM!</v>
      </c>
      <c r="N261" t="e">
        <f t="array" ref="N261">(--INDEX('Raw Data'!$A$4:D$993,$F261,7))</f>
        <v>#NUM!</v>
      </c>
      <c r="O261" t="e">
        <f t="array" ref="O261">IF(--INDEX('Raw Data'!$A$4:E$993,$F261,8)= 0, 1, 0)</f>
        <v>#NUM!</v>
      </c>
      <c r="P261" t="e">
        <f t="array" ref="P261">IF(--INDEX('Raw Data'!$A$4:F$998,$F261,8)= 1, 1, 0)</f>
        <v>#NUM!</v>
      </c>
      <c r="Q261" t="e">
        <f t="array" ref="Q261">IF(--INDEX('Raw Data'!$A$4:G$998,$F261,13)= 1, 1, 0)</f>
        <v>#NUM!</v>
      </c>
      <c r="R261" t="e">
        <f t="array" ref="R261">IF(--INDEX('Raw Data'!$A$4:H$998,$F261,14)= 1, 1, 0)</f>
        <v>#NUM!</v>
      </c>
      <c r="S261" t="e">
        <f t="array" ref="S261">IF(--INDEX('Raw Data'!$A$4:I$993,$F261,15)= 1, 1, 0)</f>
        <v>#NUM!</v>
      </c>
      <c r="T261" t="e">
        <f t="array" ref="T261">IF(--INDEX('Raw Data'!$A$4:I$998,$F261,15)= 1, 1, 0)</f>
        <v>#NUM!</v>
      </c>
      <c r="U261" t="e">
        <f t="array" ref="U261">IF(--INDEX('Raw Data'!$A$4:J$998,$F261,16)= 1, 1, 0)</f>
        <v>#NUM!</v>
      </c>
      <c r="V261" t="e">
        <f t="array" ref="V261">IF(--INDEX('Raw Data'!$A$4:K$993,$F261,17)= 1, 1, 0)</f>
        <v>#NUM!</v>
      </c>
      <c r="W261" t="e">
        <f t="array" ref="W261">INDEX('Raw Data'!$A:$O,$F261,19)</f>
        <v>#NUM!</v>
      </c>
      <c r="X261" t="e">
        <f t="array" ref="X261">INDEX('Raw Data'!$A:$O,$F261,20)</f>
        <v>#NUM!</v>
      </c>
      <c r="Y261" t="e">
        <f t="array" ref="Y261">INDEX('Raw Data'!$A:$O,F261,21)</f>
        <v>#NUM!</v>
      </c>
      <c r="Z261" t="e">
        <f t="array" ref="Z261">INDEX('Raw Data'!$A:$O,$F261,3)</f>
        <v>#NUM!</v>
      </c>
      <c r="AA261" t="e">
        <f t="array" ref="AA261">INDEX('Raw Data'!$A:$O,$F261,22)</f>
        <v>#NUM!</v>
      </c>
      <c r="AB261" t="e">
        <f t="array" ref="AB261">INDEX('Raw Data'!$A:$O,$F261,23)</f>
        <v>#NUM!</v>
      </c>
      <c r="AR261" s="25"/>
    </row>
    <row r="262" spans="1:44" ht="28.5" x14ac:dyDescent="0.45">
      <c r="F262" t="e">
        <f t="array" ref="F262">SMALL(IF('Raw Data'!A:A=C255,ROW('Raw Data'!A:A)),ROW('Raw Data'!$7:$7))</f>
        <v>#NUM!</v>
      </c>
      <c r="G262" t="e">
        <f t="array" ref="G262">INDEX('Raw Data'!A:A,F262,9)</f>
        <v>#NUM!</v>
      </c>
      <c r="H262" t="e">
        <f t="array" ref="H262">INDEX('Raw Data'!A:A,F262,10)</f>
        <v>#NUM!</v>
      </c>
      <c r="I262" t="e">
        <f t="array" ref="I262">INDEX('Raw Data'!$A:A,$F262,11)</f>
        <v>#NUM!</v>
      </c>
      <c r="J262" t="e">
        <f t="array" ref="J262">INDEX('Raw Data'!$A:A,F262,12)</f>
        <v>#NUM!</v>
      </c>
      <c r="K262" t="e">
        <f t="array" ref="K262">(--INDEX('Raw Data'!$A$4:B$998,F262,4))</f>
        <v>#NUM!</v>
      </c>
      <c r="L262" t="e">
        <f t="array" ref="L262">(--INDEX('Raw Data'!$A$4:B$998,F262,5))</f>
        <v>#NUM!</v>
      </c>
      <c r="M262" t="e">
        <f t="array" ref="M262">(--INDEX('Raw Data'!$A$4:D$998,$F262,6))</f>
        <v>#NUM!</v>
      </c>
      <c r="N262" t="e">
        <f t="array" ref="N262">(--INDEX('Raw Data'!$A$4:D$998,$F262,7))</f>
        <v>#NUM!</v>
      </c>
      <c r="O262" t="e">
        <f t="array" ref="O262">IF(--INDEX('Raw Data'!$A$4:E$998,$F262,8)= 0, 1, 0)</f>
        <v>#NUM!</v>
      </c>
      <c r="P262" t="e">
        <f t="array" ref="P262">IF(--INDEX('Raw Data'!$A$4:F$998,$F262,8)= 1, 1, 0)</f>
        <v>#NUM!</v>
      </c>
      <c r="Q262" t="e">
        <f t="array" ref="Q262">IF(--INDEX('Raw Data'!$A$4:G$998,$F262,13)= 1, 1, 0)</f>
        <v>#NUM!</v>
      </c>
      <c r="R262" t="e">
        <f t="array" ref="R262">IF(--INDEX('Raw Data'!$A$4:H$998,$F262,14)= 1, 1, 0)</f>
        <v>#NUM!</v>
      </c>
      <c r="S262" t="e">
        <f t="array" ref="S262">IF(--INDEX('Raw Data'!$A$4:I$998,$F262,15)= 1, 1, 0)</f>
        <v>#NUM!</v>
      </c>
      <c r="T262" t="e">
        <f t="array" ref="T262">IF(--INDEX('Raw Data'!$A$4:I$998,$F262,15)= 1, 1, 0)</f>
        <v>#NUM!</v>
      </c>
      <c r="U262" t="e">
        <f t="array" ref="U262">IF(--INDEX('Raw Data'!$A$4:J$998,$F262,16)= 1, 1, 0)</f>
        <v>#NUM!</v>
      </c>
      <c r="V262" t="e">
        <f t="array" ref="V262">IF(--INDEX('Raw Data'!$A$4:K$998,$F262,17)= 1, 1, 0)</f>
        <v>#NUM!</v>
      </c>
      <c r="W262" t="e">
        <f t="array" ref="W262">INDEX('Raw Data'!$A:$O,$F262,19)</f>
        <v>#NUM!</v>
      </c>
      <c r="X262" t="e">
        <f t="array" ref="X262">INDEX('Raw Data'!$A:$O,$F262,20)</f>
        <v>#NUM!</v>
      </c>
      <c r="Y262" t="e">
        <f t="array" ref="Y262">INDEX('Raw Data'!$A:$O,F262,21)</f>
        <v>#NUM!</v>
      </c>
      <c r="Z262" t="e">
        <f t="array" ref="Z262">INDEX('Raw Data'!$A:$O,$F262,3)</f>
        <v>#NUM!</v>
      </c>
      <c r="AA262" t="e">
        <f t="array" ref="AA262">INDEX('Raw Data'!$A:$O,$F262,22)</f>
        <v>#NUM!</v>
      </c>
      <c r="AB262" t="e">
        <f t="array" ref="AB262">INDEX('Raw Data'!$A:$O,$F262,23)</f>
        <v>#NUM!</v>
      </c>
      <c r="AM262" s="21"/>
    </row>
    <row r="263" spans="1:44" x14ac:dyDescent="0.25">
      <c r="F263" t="e">
        <f t="array" ref="F263">SMALL(IF('Raw Data'!A:A=C255,ROW('Raw Data'!A:A)),ROW('Raw Data'!$8:$8))</f>
        <v>#NUM!</v>
      </c>
      <c r="G263" t="e">
        <f t="array" ref="G263">INDEX('Raw Data'!A:A,F263,9)</f>
        <v>#NUM!</v>
      </c>
      <c r="H263" t="e">
        <f t="array" ref="H263">INDEX('Raw Data'!A:A,F263,10)</f>
        <v>#NUM!</v>
      </c>
      <c r="I263" t="e">
        <f t="array" ref="I263">INDEX('Raw Data'!$A:A,$F263,11)</f>
        <v>#NUM!</v>
      </c>
      <c r="J263" t="e">
        <f t="array" ref="J263">INDEX('Raw Data'!$A:A,F263,12)</f>
        <v>#NUM!</v>
      </c>
      <c r="K263" t="e">
        <f t="array" ref="K263">(--INDEX('Raw Data'!$A$4:B$998,F263,4))</f>
        <v>#NUM!</v>
      </c>
      <c r="L263" t="e">
        <f t="array" ref="L263">(--INDEX('Raw Data'!$A$4:B$998,F263,5))</f>
        <v>#NUM!</v>
      </c>
      <c r="M263" t="e">
        <f t="array" ref="M263">(--INDEX('Raw Data'!$A$4:D$998,$F263,6))</f>
        <v>#NUM!</v>
      </c>
      <c r="N263" t="e">
        <f t="array" ref="N263">(--INDEX('Raw Data'!$A$4:D$998,$F263,7))</f>
        <v>#NUM!</v>
      </c>
      <c r="O263" t="e">
        <f t="array" ref="O263">IF(--INDEX('Raw Data'!$A$4:E$998,$F263,8)= 0, 1, 0)</f>
        <v>#NUM!</v>
      </c>
      <c r="P263" t="e">
        <f t="array" ref="P263">IF(--INDEX('Raw Data'!$A$4:F$998,$F263,8)= 1, 1, 0)</f>
        <v>#NUM!</v>
      </c>
      <c r="Q263" t="e">
        <f t="array" ref="Q263">IF(--INDEX('Raw Data'!$A$4:G$998,$F263,13)= 1, 1, 0)</f>
        <v>#NUM!</v>
      </c>
      <c r="R263" t="e">
        <f t="array" ref="R263">IF(--INDEX('Raw Data'!$A$4:H$998,$F263,14)= 1, 1, 0)</f>
        <v>#NUM!</v>
      </c>
      <c r="S263" t="e">
        <f t="array" ref="S263">IF(--INDEX('Raw Data'!$A$4:I$998,$F263,15)= 1, 1, 0)</f>
        <v>#NUM!</v>
      </c>
      <c r="T263" t="e">
        <f t="array" ref="T263">IF(--INDEX('Raw Data'!$A$4:I$998,$F263,15)= 1, 1, 0)</f>
        <v>#NUM!</v>
      </c>
      <c r="U263" t="e">
        <f t="array" ref="U263">IF(--INDEX('Raw Data'!$A$4:J$998,$F263,16)= 1, 1, 0)</f>
        <v>#NUM!</v>
      </c>
      <c r="V263" t="e">
        <f t="array" ref="V263">IF(--INDEX('Raw Data'!$A$4:K$998,$F263,17)= 1, 1, 0)</f>
        <v>#NUM!</v>
      </c>
      <c r="W263" t="e">
        <f t="array" ref="W263">INDEX('Raw Data'!$A:$O,$F263,19)</f>
        <v>#NUM!</v>
      </c>
      <c r="X263" t="e">
        <f t="array" ref="X263">INDEX('Raw Data'!$A:$O,$F263,20)</f>
        <v>#NUM!</v>
      </c>
      <c r="Y263" t="e">
        <f t="array" ref="Y263">INDEX('Raw Data'!$A:$O,F263,21)</f>
        <v>#NUM!</v>
      </c>
      <c r="Z263" t="e">
        <f t="array" ref="Z263">INDEX('Raw Data'!$A:$O,$F263,3)</f>
        <v>#NUM!</v>
      </c>
      <c r="AA263" t="e">
        <f t="array" ref="AA263">INDEX('Raw Data'!$A:$O,$F263,22)</f>
        <v>#NUM!</v>
      </c>
      <c r="AB263" t="e">
        <f t="array" ref="AB263">INDEX('Raw Data'!$A:$O,$F263,23)</f>
        <v>#NUM!</v>
      </c>
    </row>
    <row r="264" spans="1:44" x14ac:dyDescent="0.25">
      <c r="F264" t="e">
        <f t="array" ref="F264">SMALL(IF('Raw Data'!A:A=C255,ROW('Raw Data'!A:A)),ROW('Raw Data'!$9:$9))</f>
        <v>#NUM!</v>
      </c>
      <c r="G264" t="e">
        <f t="array" ref="G264">INDEX('Raw Data'!A:A,F264,9)</f>
        <v>#NUM!</v>
      </c>
      <c r="H264" t="e">
        <f t="array" ref="H264">INDEX('Raw Data'!A:A,F264,10)</f>
        <v>#NUM!</v>
      </c>
      <c r="I264" t="e">
        <f t="array" ref="I264">INDEX('Raw Data'!$A:A,$F264,11)</f>
        <v>#NUM!</v>
      </c>
      <c r="J264" t="e">
        <f t="array" ref="J264">INDEX('Raw Data'!$A:A,F264,12)</f>
        <v>#NUM!</v>
      </c>
      <c r="K264" t="e">
        <f t="array" ref="K264">(--INDEX('Raw Data'!$A$4:B$998,F264,4))</f>
        <v>#NUM!</v>
      </c>
      <c r="L264" t="e">
        <f t="array" ref="L264">(--INDEX('Raw Data'!$A$4:B$998,F264,5))</f>
        <v>#NUM!</v>
      </c>
      <c r="M264" t="e">
        <f t="array" ref="M264">(--INDEX('Raw Data'!$A$4:D$998,$F264,6))</f>
        <v>#NUM!</v>
      </c>
      <c r="N264" t="e">
        <f t="array" ref="N264">(--INDEX('Raw Data'!$A$4:D$998,$F264,7))</f>
        <v>#NUM!</v>
      </c>
      <c r="O264" t="e">
        <f t="array" ref="O264">IF(--INDEX('Raw Data'!$A$4:E$998,$F264,8)= 0, 1, 0)</f>
        <v>#NUM!</v>
      </c>
      <c r="P264" t="e">
        <f t="array" ref="P264">IF(--INDEX('Raw Data'!$A$4:F$998,$F264,8)= 1, 1, 0)</f>
        <v>#NUM!</v>
      </c>
      <c r="Q264" t="e">
        <f t="array" ref="Q264">IF(--INDEX('Raw Data'!$A$4:G$998,$F264,13)= 1, 1, 0)</f>
        <v>#NUM!</v>
      </c>
      <c r="R264" t="e">
        <f t="array" ref="R264">IF(--INDEX('Raw Data'!$A$4:H$998,$F264,14)= 1, 1, 0)</f>
        <v>#NUM!</v>
      </c>
      <c r="S264" t="e">
        <f t="array" ref="S264">IF(--INDEX('Raw Data'!$A$4:I$998,$F264,15)= 1, 1, 0)</f>
        <v>#NUM!</v>
      </c>
      <c r="T264" t="e">
        <f t="array" ref="T264">IF(--INDEX('Raw Data'!$A$4:I$998,$F264,15)= 1, 1, 0)</f>
        <v>#NUM!</v>
      </c>
      <c r="U264" t="e">
        <f t="array" ref="U264">IF(--INDEX('Raw Data'!$A$4:J$998,$F264,16)= 1, 1, 0)</f>
        <v>#NUM!</v>
      </c>
      <c r="V264" t="e">
        <f t="array" ref="V264">IF(--INDEX('Raw Data'!$A$4:K$998,$F264,17)= 1, 1, 0)</f>
        <v>#NUM!</v>
      </c>
      <c r="W264" t="e">
        <f t="array" ref="W264">INDEX('Raw Data'!$A:$O,$F264,19)</f>
        <v>#NUM!</v>
      </c>
      <c r="X264" t="e">
        <f t="array" ref="X264">INDEX('Raw Data'!$A:$O,$F264,20)</f>
        <v>#NUM!</v>
      </c>
      <c r="Y264" t="e">
        <f t="array" ref="Y264">INDEX('Raw Data'!$A:$O,F264,21)</f>
        <v>#NUM!</v>
      </c>
      <c r="Z264" t="e">
        <f t="array" ref="Z264">INDEX('Raw Data'!$A:$O,$F264,3)</f>
        <v>#NUM!</v>
      </c>
      <c r="AA264" t="e">
        <f t="array" ref="AA264">INDEX('Raw Data'!$A:$O,$F264,22)</f>
        <v>#NUM!</v>
      </c>
      <c r="AB264" t="e">
        <f t="array" ref="AB264">INDEX('Raw Data'!$A:$O,$F264,23)</f>
        <v>#NUM!</v>
      </c>
    </row>
    <row r="265" spans="1:44" x14ac:dyDescent="0.25">
      <c r="F265" t="e">
        <f t="array" ref="F265">SMALL(IF('Raw Data'!A:A=C255,ROW('Raw Data'!A:A)),ROW('Raw Data'!$10:$10))</f>
        <v>#NUM!</v>
      </c>
      <c r="G265" t="e">
        <f t="array" ref="G265">INDEX('Raw Data'!A:A,F265,9)</f>
        <v>#NUM!</v>
      </c>
      <c r="H265" t="e">
        <f t="array" ref="H265">INDEX('Raw Data'!A:A,F265,10)</f>
        <v>#NUM!</v>
      </c>
      <c r="I265" t="e">
        <f t="array" ref="I265">INDEX('Raw Data'!$A:A,$F265,11)</f>
        <v>#NUM!</v>
      </c>
      <c r="J265" t="e">
        <f t="array" ref="J265">INDEX('Raw Data'!$A:A,F265,12)</f>
        <v>#NUM!</v>
      </c>
      <c r="K265" t="e">
        <f t="array" ref="K265">(--INDEX('Raw Data'!$A$4:B$998,F265,4))</f>
        <v>#NUM!</v>
      </c>
      <c r="L265" t="e">
        <f t="array" ref="L265">(--INDEX('Raw Data'!$A$4:B$998,F265,5))</f>
        <v>#NUM!</v>
      </c>
      <c r="M265" t="e">
        <f t="array" ref="M265">(--INDEX('Raw Data'!$A$4:D$998,$F265,6))</f>
        <v>#NUM!</v>
      </c>
      <c r="N265" t="e">
        <f t="array" ref="N265">(--INDEX('Raw Data'!$A$4:D$998,$F265,7))</f>
        <v>#NUM!</v>
      </c>
      <c r="O265" t="e">
        <f t="array" ref="O265">IF(--INDEX('Raw Data'!$A$4:E$998,$F265,8)= 0, 1, 0)</f>
        <v>#NUM!</v>
      </c>
      <c r="P265" t="e">
        <f t="array" ref="P265">IF(--INDEX('Raw Data'!$A$4:F$998,$F265,8)= 1, 1, 0)</f>
        <v>#NUM!</v>
      </c>
      <c r="Q265" t="e">
        <f t="array" ref="Q265">IF(--INDEX('Raw Data'!$A$4:G$998,$F265,13)= 1, 1, 0)</f>
        <v>#NUM!</v>
      </c>
      <c r="R265" t="e">
        <f t="array" ref="R265">IF(--INDEX('Raw Data'!$A$4:H$998,$F265,14)= 1, 1, 0)</f>
        <v>#NUM!</v>
      </c>
      <c r="S265" t="e">
        <f t="array" ref="S265">IF(--INDEX('Raw Data'!$A$4:I$998,$F265,15)= 1, 1, 0)</f>
        <v>#NUM!</v>
      </c>
      <c r="T265" t="e">
        <f t="array" ref="T265">IF(--INDEX('Raw Data'!$A$4:I$998,$F265,15)= 1, 1, 0)</f>
        <v>#NUM!</v>
      </c>
      <c r="U265" t="e">
        <f t="array" ref="U265">IF(--INDEX('Raw Data'!$A$4:J$998,$F265,16)= 1, 1, 0)</f>
        <v>#NUM!</v>
      </c>
      <c r="V265" t="e">
        <f t="array" ref="V265">IF(--INDEX('Raw Data'!$A$4:K$998,$F265,17)= 1, 1, 0)</f>
        <v>#NUM!</v>
      </c>
      <c r="W265" t="e">
        <f t="array" ref="W265">INDEX('Raw Data'!$A:$O,$F265,19)</f>
        <v>#NUM!</v>
      </c>
      <c r="X265" t="e">
        <f t="array" ref="X265">INDEX('Raw Data'!$A:$O,$F265,20)</f>
        <v>#NUM!</v>
      </c>
      <c r="Y265" t="e">
        <f t="array" ref="Y265">INDEX('Raw Data'!$A:$O,F265,21)</f>
        <v>#NUM!</v>
      </c>
      <c r="Z265" t="e">
        <f t="array" ref="Z265">INDEX('Raw Data'!$A:$O,$F265,3)</f>
        <v>#NUM!</v>
      </c>
      <c r="AA265" t="e">
        <f t="array" ref="AA265">INDEX('Raw Data'!$A:$O,$F265,22)</f>
        <v>#NUM!</v>
      </c>
      <c r="AB265" t="e">
        <f t="array" ref="AB265">INDEX('Raw Data'!$A:$O,$F265,23)</f>
        <v>#NUM!</v>
      </c>
    </row>
    <row r="266" spans="1:44" x14ac:dyDescent="0.25">
      <c r="F266" t="e">
        <f t="array" ref="F266">SMALL(IF('Raw Data'!A:A=C255,ROW('Raw Data'!A:A)),ROW('Raw Data'!$11:$11))</f>
        <v>#NUM!</v>
      </c>
      <c r="G266" t="e">
        <f t="array" ref="G266">INDEX('Raw Data'!A:A,F266,9)</f>
        <v>#NUM!</v>
      </c>
      <c r="H266" t="e">
        <f t="array" ref="H266">INDEX('Raw Data'!A:A,F266,10)</f>
        <v>#NUM!</v>
      </c>
      <c r="I266" t="e">
        <f t="array" ref="I266">INDEX('Raw Data'!$A:A,$F266,11)</f>
        <v>#NUM!</v>
      </c>
      <c r="J266" t="e">
        <f t="array" ref="J266">INDEX('Raw Data'!$A:A,F266,12)</f>
        <v>#NUM!</v>
      </c>
      <c r="K266" t="e">
        <f t="array" ref="K266">(--INDEX('Raw Data'!$A$4:B$998,F266,4))</f>
        <v>#NUM!</v>
      </c>
      <c r="L266" t="e">
        <f t="array" ref="L266">(--INDEX('Raw Data'!$A$4:B$998,F266,5))</f>
        <v>#NUM!</v>
      </c>
      <c r="M266" t="e">
        <f t="array" ref="M266">(--INDEX('Raw Data'!$A$4:D$998,$F266,6))</f>
        <v>#NUM!</v>
      </c>
      <c r="N266" t="e">
        <f t="array" ref="N266">(--INDEX('Raw Data'!$A$4:D$998,$F266,7))</f>
        <v>#NUM!</v>
      </c>
      <c r="O266" t="e">
        <f t="array" ref="O266">IF(--INDEX('Raw Data'!$A$4:E$998,$F266,8)= 0, 1, 0)</f>
        <v>#NUM!</v>
      </c>
      <c r="P266" t="e">
        <f t="array" ref="P266">IF(--INDEX('Raw Data'!$A$4:F$998,$F266,8)= 1, 1, 0)</f>
        <v>#NUM!</v>
      </c>
      <c r="Q266" t="e">
        <f t="array" ref="Q266">IF(--INDEX('Raw Data'!$A$4:G$998,$F266,13)= 1, 1, 0)</f>
        <v>#NUM!</v>
      </c>
      <c r="R266" t="e">
        <f t="array" ref="R266">IF(--INDEX('Raw Data'!$A$4:H$998,$F266,14)= 1, 1, 0)</f>
        <v>#NUM!</v>
      </c>
      <c r="S266" t="e">
        <f t="array" ref="S266">IF(--INDEX('Raw Data'!$A$4:I$998,$F266,15)= 1, 1, 0)</f>
        <v>#NUM!</v>
      </c>
      <c r="T266" t="e">
        <f t="array" ref="T266">IF(--INDEX('Raw Data'!$A$4:I$998,$F266,15)= 1, 1, 0)</f>
        <v>#NUM!</v>
      </c>
      <c r="U266" t="e">
        <f t="array" ref="U266">IF(--INDEX('Raw Data'!$A$4:J$998,$F266,16)= 1, 1, 0)</f>
        <v>#NUM!</v>
      </c>
      <c r="V266" t="e">
        <f t="array" ref="V266">IF(--INDEX('Raw Data'!$A$4:K$998,$F266,17)= 1, 1, 0)</f>
        <v>#NUM!</v>
      </c>
      <c r="W266" t="e">
        <f t="array" ref="W266">INDEX('Raw Data'!$A:$O,$F266,19)</f>
        <v>#NUM!</v>
      </c>
      <c r="X266" t="e">
        <f t="array" ref="X266">INDEX('Raw Data'!$A:$O,$F266,20)</f>
        <v>#NUM!</v>
      </c>
      <c r="Y266" t="e">
        <f t="array" ref="Y266">INDEX('Raw Data'!$A:$O,F266,21)</f>
        <v>#NUM!</v>
      </c>
      <c r="Z266" t="e">
        <f t="array" ref="Z266">INDEX('Raw Data'!$A:$O,$F266,3)</f>
        <v>#NUM!</v>
      </c>
      <c r="AA266" t="e">
        <f t="array" ref="AA266">INDEX('Raw Data'!$A:$O,$F266,22)</f>
        <v>#NUM!</v>
      </c>
      <c r="AB266" t="e">
        <f t="array" ref="AB266">INDEX('Raw Data'!$A:$O,$F266,23)</f>
        <v>#NUM!</v>
      </c>
    </row>
    <row r="267" spans="1:44" x14ac:dyDescent="0.25">
      <c r="F267" t="e">
        <f t="array" ref="F267">SMALL(IF('Raw Data'!A:A=C255,ROW('Raw Data'!A:A)),ROW('Raw Data'!$12:$12))</f>
        <v>#NUM!</v>
      </c>
      <c r="G267" t="e">
        <f t="array" ref="G267">INDEX('Raw Data'!A:A,F267,9)</f>
        <v>#NUM!</v>
      </c>
      <c r="H267" t="e">
        <f t="array" ref="H267">INDEX('Raw Data'!A:A,F267,10)</f>
        <v>#NUM!</v>
      </c>
      <c r="I267" t="e">
        <f t="array" ref="I267">INDEX('Raw Data'!$A:A,$F267,11)</f>
        <v>#NUM!</v>
      </c>
      <c r="J267" t="e">
        <f t="array" ref="J267">INDEX('Raw Data'!$A:A,F267,12)</f>
        <v>#NUM!</v>
      </c>
      <c r="K267" t="e">
        <f t="array" ref="K267">(--INDEX('Raw Data'!$A$4:B$998,F267,4))</f>
        <v>#NUM!</v>
      </c>
      <c r="L267" t="e">
        <f t="array" ref="L267">(--INDEX('Raw Data'!$A$4:B$998,F267,5))</f>
        <v>#NUM!</v>
      </c>
      <c r="M267" t="e">
        <f t="array" ref="M267">(--INDEX('Raw Data'!$A$4:D$998,$F267,6))</f>
        <v>#NUM!</v>
      </c>
      <c r="N267" t="e">
        <f t="array" ref="N267">(--INDEX('Raw Data'!$A$4:D$998,$F267,7))</f>
        <v>#NUM!</v>
      </c>
      <c r="O267" t="e">
        <f t="array" ref="O267">IF(--INDEX('Raw Data'!$A$4:E$998,$F267,8)= 0, 1, 0)</f>
        <v>#NUM!</v>
      </c>
      <c r="P267" t="e">
        <f t="array" ref="P267">IF(--INDEX('Raw Data'!$A$4:F$998,$F267,8)= 1, 1, 0)</f>
        <v>#NUM!</v>
      </c>
      <c r="Q267" t="e">
        <f t="array" ref="Q267">IF(--INDEX('Raw Data'!$A$4:G$998,$F267,13)= 1, 1, 0)</f>
        <v>#NUM!</v>
      </c>
      <c r="R267" t="e">
        <f t="array" ref="R267">IF(--INDEX('Raw Data'!$A$4:H$998,$F267,14)= 1, 1, 0)</f>
        <v>#NUM!</v>
      </c>
      <c r="S267" t="e">
        <f t="array" ref="S267">IF(--INDEX('Raw Data'!$A$4:I$998,$F267,15)= 1, 1, 0)</f>
        <v>#NUM!</v>
      </c>
      <c r="T267" t="e">
        <f t="array" ref="T267">IF(--INDEX('Raw Data'!$A$4:I$998,$F267,15)= 1, 1, 0)</f>
        <v>#NUM!</v>
      </c>
      <c r="U267" t="e">
        <f t="array" ref="U267">IF(--INDEX('Raw Data'!$A$4:J$998,$F267,16)= 1, 1, 0)</f>
        <v>#NUM!</v>
      </c>
      <c r="V267" t="e">
        <f t="array" ref="V267">IF(--INDEX('Raw Data'!$A$4:K$998,$F267,17)= 1, 1, 0)</f>
        <v>#NUM!</v>
      </c>
      <c r="W267" t="e">
        <f t="array" ref="W267">INDEX('Raw Data'!$A:$O,$F267,19)</f>
        <v>#NUM!</v>
      </c>
      <c r="X267" t="e">
        <f t="array" ref="X267">INDEX('Raw Data'!$A:$O,$F267,20)</f>
        <v>#NUM!</v>
      </c>
      <c r="Y267" t="e">
        <f t="array" ref="Y267">INDEX('Raw Data'!$A:$O,F267,21)</f>
        <v>#NUM!</v>
      </c>
      <c r="Z267" t="e">
        <f t="array" ref="Z267">INDEX('Raw Data'!$A:$O,$F267,3)</f>
        <v>#NUM!</v>
      </c>
      <c r="AA267" t="e">
        <f t="array" ref="AA267">INDEX('Raw Data'!$A:$O,$F267,22)</f>
        <v>#NUM!</v>
      </c>
      <c r="AB267" t="e">
        <f t="array" ref="AB267">INDEX('Raw Data'!$A:$O,$F267,23)</f>
        <v>#NUM!</v>
      </c>
    </row>
    <row r="268" spans="1:44" x14ac:dyDescent="0.25">
      <c r="F268" t="e">
        <f t="array" ref="F268">SMALL(IF('Raw Data'!A:A=C255,ROW('Raw Data'!A:A)),ROW('Raw Data'!$13:$13))</f>
        <v>#NUM!</v>
      </c>
      <c r="G268" t="e">
        <f t="array" ref="G268">INDEX('Raw Data'!A:A,F268,9)</f>
        <v>#NUM!</v>
      </c>
      <c r="H268" t="e">
        <f t="array" ref="H268">INDEX('Raw Data'!A:A,F268,10)</f>
        <v>#NUM!</v>
      </c>
      <c r="I268" t="e">
        <f t="array" ref="I268">INDEX('Raw Data'!$A:A,$F268,11)</f>
        <v>#NUM!</v>
      </c>
      <c r="J268" t="e">
        <f t="array" ref="J268">INDEX('Raw Data'!$A:A,F268,12)</f>
        <v>#NUM!</v>
      </c>
      <c r="K268" t="e">
        <f t="array" ref="K268">(--INDEX('Raw Data'!$A$4:B$998,F268,4))</f>
        <v>#NUM!</v>
      </c>
      <c r="L268" t="e">
        <f t="array" ref="L268">(--INDEX('Raw Data'!$A$4:B$998,F268,5))</f>
        <v>#NUM!</v>
      </c>
      <c r="M268" t="e">
        <f t="array" ref="M268">(--INDEX('Raw Data'!$A$4:D$998,$F268,6))</f>
        <v>#NUM!</v>
      </c>
      <c r="N268" t="e">
        <f t="array" ref="N268">(--INDEX('Raw Data'!$A$4:D$998,$F268,7))</f>
        <v>#NUM!</v>
      </c>
      <c r="O268" t="e">
        <f t="array" ref="O268">IF(--INDEX('Raw Data'!$A$4:E$998,$F268,8)= 0, 1, 0)</f>
        <v>#NUM!</v>
      </c>
      <c r="P268" t="e">
        <f t="array" ref="P268">IF(--INDEX('Raw Data'!$A$4:F$998,$F268,8)= 1, 1, 0)</f>
        <v>#NUM!</v>
      </c>
      <c r="Q268" t="e">
        <f t="array" ref="Q268">IF(--INDEX('Raw Data'!$A$4:G$998,$F268,13)= 1, 1, 0)</f>
        <v>#NUM!</v>
      </c>
      <c r="R268" t="e">
        <f t="array" ref="R268">IF(--INDEX('Raw Data'!$A$4:H$998,$F268,14)= 1, 1, 0)</f>
        <v>#NUM!</v>
      </c>
      <c r="S268" t="e">
        <f t="array" ref="S268">IF(--INDEX('Raw Data'!$A$4:I$998,$F268,15)= 1, 1, 0)</f>
        <v>#NUM!</v>
      </c>
      <c r="T268" t="e">
        <f t="array" ref="T268">IF(--INDEX('Raw Data'!$A$4:I$998,$F268,15)= 1, 1, 0)</f>
        <v>#NUM!</v>
      </c>
      <c r="U268" t="e">
        <f t="array" ref="U268">IF(--INDEX('Raw Data'!$A$4:J$998,$F268,16)= 1, 1, 0)</f>
        <v>#NUM!</v>
      </c>
      <c r="V268" t="e">
        <f t="array" ref="V268">IF(--INDEX('Raw Data'!$A$4:K$998,$F268,17)= 1, 1, 0)</f>
        <v>#NUM!</v>
      </c>
      <c r="W268" t="e">
        <f t="array" ref="W268">INDEX('Raw Data'!$A:$O,$F268,19)</f>
        <v>#NUM!</v>
      </c>
      <c r="X268" t="e">
        <f t="array" ref="X268">INDEX('Raw Data'!$A:$O,$F268,20)</f>
        <v>#NUM!</v>
      </c>
      <c r="Y268" t="e">
        <f t="array" ref="Y268">INDEX('Raw Data'!$A:$O,F268,21)</f>
        <v>#NUM!</v>
      </c>
      <c r="Z268" t="e">
        <f t="array" ref="Z268">INDEX('Raw Data'!$A:$O,$F268,3)</f>
        <v>#NUM!</v>
      </c>
      <c r="AA268" t="e">
        <f t="array" ref="AA268">INDEX('Raw Data'!$A:$O,$F268,22)</f>
        <v>#NUM!</v>
      </c>
      <c r="AB268" t="e">
        <f t="array" ref="AB268">INDEX('Raw Data'!$A:$O,$F268,23)</f>
        <v>#NUM!</v>
      </c>
    </row>
    <row r="269" spans="1:44" x14ac:dyDescent="0.25">
      <c r="F269" t="e">
        <f t="array" ref="F269">SMALL(IF('Raw Data'!A:A=C255,ROW('Raw Data'!A:A)),ROW('Raw Data'!$14:$14))</f>
        <v>#NUM!</v>
      </c>
      <c r="G269" t="e">
        <f t="array" ref="G269">INDEX('Raw Data'!A:A,F269,9)</f>
        <v>#NUM!</v>
      </c>
      <c r="H269" t="e">
        <f t="array" ref="H269">INDEX('Raw Data'!A:A,F269,10)</f>
        <v>#NUM!</v>
      </c>
      <c r="I269" t="e">
        <f t="array" ref="I269">INDEX('Raw Data'!$A:A,$F269,11)</f>
        <v>#NUM!</v>
      </c>
      <c r="J269" t="e">
        <f t="array" ref="J269">INDEX('Raw Data'!$A:A,F269,12)</f>
        <v>#NUM!</v>
      </c>
      <c r="K269" t="e">
        <f t="array" ref="K269">(--INDEX('Raw Data'!$A$4:B$998,F269,4))</f>
        <v>#NUM!</v>
      </c>
      <c r="L269" t="e">
        <f t="array" ref="L269">(--INDEX('Raw Data'!$A$4:B$998,F269,5))</f>
        <v>#NUM!</v>
      </c>
      <c r="M269" t="e">
        <f t="array" ref="M269">(--INDEX('Raw Data'!$A$4:D$998,$F269,6))</f>
        <v>#NUM!</v>
      </c>
      <c r="N269" t="e">
        <f t="array" ref="N269">(--INDEX('Raw Data'!$A$4:D$998,$F269,7))</f>
        <v>#NUM!</v>
      </c>
      <c r="O269" t="e">
        <f t="array" ref="O269">IF(--INDEX('Raw Data'!$A$4:E$998,$F269,8)= 0, 1, 0)</f>
        <v>#NUM!</v>
      </c>
      <c r="P269" t="e">
        <f t="array" ref="P269">IF(--INDEX('Raw Data'!$A$4:F$998,$F269,8)= 1, 1, 0)</f>
        <v>#NUM!</v>
      </c>
      <c r="Q269" t="e">
        <f t="array" ref="Q269">IF(--INDEX('Raw Data'!$A$4:G$998,$F269,13)= 1, 1, 0)</f>
        <v>#NUM!</v>
      </c>
      <c r="R269" t="e">
        <f t="array" ref="R269">IF(--INDEX('Raw Data'!$A$4:H$998,$F269,14)= 1, 1, 0)</f>
        <v>#NUM!</v>
      </c>
      <c r="S269" t="e">
        <f t="array" ref="S269">IF(--INDEX('Raw Data'!$A$4:I$998,$F269,15)= 1, 1, 0)</f>
        <v>#NUM!</v>
      </c>
      <c r="T269" t="e">
        <f t="array" ref="T269">IF(--INDEX('Raw Data'!$A$4:I$998,$F269,15)= 1, 1, 0)</f>
        <v>#NUM!</v>
      </c>
      <c r="U269" t="e">
        <f t="array" ref="U269">IF(--INDEX('Raw Data'!$A$4:J$998,$F269,16)= 1, 1, 0)</f>
        <v>#NUM!</v>
      </c>
      <c r="V269" t="e">
        <f t="array" ref="V269">IF(--INDEX('Raw Data'!$A$4:K$998,$F269,17)= 1, 1, 0)</f>
        <v>#NUM!</v>
      </c>
      <c r="W269" t="e">
        <f t="array" ref="W269">INDEX('Raw Data'!$A:$O,$F269,19)</f>
        <v>#NUM!</v>
      </c>
      <c r="X269" t="e">
        <f t="array" ref="X269">INDEX('Raw Data'!$A:$O,$F269,20)</f>
        <v>#NUM!</v>
      </c>
      <c r="Y269" t="e">
        <f t="array" ref="Y269">INDEX('Raw Data'!$A:$O,F269,21)</f>
        <v>#NUM!</v>
      </c>
      <c r="Z269" t="e">
        <f t="array" ref="Z269">INDEX('Raw Data'!$A:$O,$F269,3)</f>
        <v>#NUM!</v>
      </c>
      <c r="AA269" t="e">
        <f t="array" ref="AA269">INDEX('Raw Data'!$A:$O,$F269,22)</f>
        <v>#NUM!</v>
      </c>
      <c r="AB269" t="e">
        <f t="array" ref="AB269">INDEX('Raw Data'!$A:$O,$F269,23)</f>
        <v>#NUM!</v>
      </c>
    </row>
    <row r="270" spans="1:44" x14ac:dyDescent="0.25">
      <c r="F270" t="e">
        <f t="array" ref="F270">SMALL(IF('Raw Data'!A:A=C255,ROW('Raw Data'!A:A)),ROW('Raw Data'!$15:$15))</f>
        <v>#NUM!</v>
      </c>
      <c r="G270" t="e">
        <f t="array" ref="G270">INDEX('Raw Data'!A:A,F270,9)</f>
        <v>#NUM!</v>
      </c>
      <c r="H270" t="e">
        <f t="array" ref="H270">INDEX('Raw Data'!A:A,F270,10)</f>
        <v>#NUM!</v>
      </c>
      <c r="I270" t="e">
        <f t="array" ref="I270">INDEX('Raw Data'!$A:A,$F270,11)</f>
        <v>#NUM!</v>
      </c>
      <c r="J270" t="e">
        <f t="array" ref="J270">INDEX('Raw Data'!$A:A,F270,12)</f>
        <v>#NUM!</v>
      </c>
      <c r="K270" t="e">
        <f t="array" ref="K270">(--INDEX('Raw Data'!$A$4:B$998,F270,4))</f>
        <v>#NUM!</v>
      </c>
      <c r="L270" t="e">
        <f t="array" ref="L270">(--INDEX('Raw Data'!$A$4:B$998,F270,5))</f>
        <v>#NUM!</v>
      </c>
      <c r="M270" t="e">
        <f t="array" ref="M270">(--INDEX('Raw Data'!$A$4:D$998,$F270,6))</f>
        <v>#NUM!</v>
      </c>
      <c r="N270" t="e">
        <f t="array" ref="N270">(--INDEX('Raw Data'!$A$4:D$998,$F270,7))</f>
        <v>#NUM!</v>
      </c>
      <c r="O270" t="e">
        <f t="array" ref="O270">IF(--INDEX('Raw Data'!$A$4:E$998,$F270,8)= 0, 1, 0)</f>
        <v>#NUM!</v>
      </c>
      <c r="P270" t="e">
        <f t="array" ref="P270">IF(--INDEX('Raw Data'!$A$4:F$998,$F270,8)= 1, 1, 0)</f>
        <v>#NUM!</v>
      </c>
      <c r="Q270" t="e">
        <f t="array" ref="Q270">IF(--INDEX('Raw Data'!$A$4:G$998,$F270,13)= 1, 1, 0)</f>
        <v>#NUM!</v>
      </c>
      <c r="R270" t="e">
        <f t="array" ref="R270">IF(--INDEX('Raw Data'!$A$4:H$998,$F270,14)= 1, 1, 0)</f>
        <v>#NUM!</v>
      </c>
      <c r="S270" t="e">
        <f t="array" ref="S270">IF(--INDEX('Raw Data'!$A$4:I$998,$F270,15)= 1, 1, 0)</f>
        <v>#NUM!</v>
      </c>
      <c r="T270" t="e">
        <f t="array" ref="T270">IF(--INDEX('Raw Data'!$A$4:I$998,$F270,15)= 1, 1, 0)</f>
        <v>#NUM!</v>
      </c>
      <c r="U270" t="e">
        <f t="array" ref="U270">IF(--INDEX('Raw Data'!$A$4:J$998,$F270,16)= 1, 1, 0)</f>
        <v>#NUM!</v>
      </c>
      <c r="V270" t="e">
        <f t="array" ref="V270">IF(--INDEX('Raw Data'!$A$4:K$998,$F270,17)= 1, 1, 0)</f>
        <v>#NUM!</v>
      </c>
      <c r="W270" t="e">
        <f t="array" ref="W270">INDEX('Raw Data'!$A:$O,$F270,19)</f>
        <v>#NUM!</v>
      </c>
      <c r="X270" t="e">
        <f t="array" ref="X270">INDEX('Raw Data'!$A:$O,$F270,20)</f>
        <v>#NUM!</v>
      </c>
      <c r="Y270" t="e">
        <f t="array" ref="Y270">INDEX('Raw Data'!$A:$O,F270,21)</f>
        <v>#NUM!</v>
      </c>
      <c r="Z270" t="e">
        <f t="array" ref="Z270">INDEX('Raw Data'!$A:$O,$F270,3)</f>
        <v>#NUM!</v>
      </c>
      <c r="AA270" t="e">
        <f t="array" ref="AA270">INDEX('Raw Data'!$A:$O,$F270,22)</f>
        <v>#NUM!</v>
      </c>
      <c r="AB270" t="e">
        <f t="array" ref="AB270">INDEX('Raw Data'!$A:$O,$F270,23)</f>
        <v>#NUM!</v>
      </c>
    </row>
    <row r="271" spans="1:44" x14ac:dyDescent="0.25">
      <c r="A271" t="s">
        <v>55</v>
      </c>
      <c r="C271" s="2" t="e">
        <f>B261/B260</f>
        <v>#DIV/0!</v>
      </c>
      <c r="F271">
        <f t="array" ref="F271">COUNTIF(F256:F270,"&gt;0")</f>
        <v>0</v>
      </c>
      <c r="G271">
        <f t="array" ref="G271">SUMIF(G256:G270,"&gt;0")</f>
        <v>0</v>
      </c>
      <c r="H271">
        <f t="array" ref="H271">SUMIF(H256:H270,"&gt;0")</f>
        <v>0</v>
      </c>
      <c r="I271">
        <f t="array" ref="I271">SUMIF(I256:I270,"&gt;0")</f>
        <v>0</v>
      </c>
      <c r="J271">
        <f t="array" ref="J271">SUMIF(J256:J270,"&gt;0")</f>
        <v>0</v>
      </c>
      <c r="K271">
        <f t="array" ref="K271">SUMIF(K256:K270,"&gt;0")</f>
        <v>0</v>
      </c>
      <c r="L271">
        <f t="array" ref="L271">SUMIF(L256:L270,"&gt;0")</f>
        <v>0</v>
      </c>
      <c r="M271">
        <f t="array" ref="M271">SUMIF(M256:M270,"&gt;0")</f>
        <v>0</v>
      </c>
      <c r="N271">
        <f t="array" ref="N271">SUMIF(N256:N270,"&gt;0")</f>
        <v>0</v>
      </c>
      <c r="O271">
        <f t="array" ref="O271">SUMIF(O256:O270,"&gt;0")</f>
        <v>0</v>
      </c>
      <c r="P271">
        <f t="array" ref="P271">SUMIF(P256:P270,"&gt;0")</f>
        <v>0</v>
      </c>
      <c r="Q271">
        <f t="array" ref="Q271">SUMIF(Q256:Q270,"&gt;0")</f>
        <v>0</v>
      </c>
      <c r="R271">
        <f t="array" ref="R271">SUMIF(R256:R270,"&gt;0")</f>
        <v>0</v>
      </c>
      <c r="S271">
        <f t="array" ref="S271">SUMIF(S256:S270,"&gt;0")</f>
        <v>0</v>
      </c>
      <c r="T271">
        <f t="array" ref="T271">SUMIF(T256:T270,"&gt;0")</f>
        <v>0</v>
      </c>
      <c r="U271">
        <f t="array" ref="U271">SUMIF(U256:U270,"&gt;0")</f>
        <v>0</v>
      </c>
      <c r="V271">
        <f t="array" ref="V271">SUMIF(V256:V270,"&gt;0")</f>
        <v>0</v>
      </c>
      <c r="W271">
        <f t="array" ref="W271">SUMIF(W256:W270,"&gt;0")</f>
        <v>0</v>
      </c>
      <c r="X271">
        <f t="array" ref="X271">SUMIF(X256:X270,"&gt;0")</f>
        <v>0</v>
      </c>
      <c r="Y271">
        <f t="array" ref="Y271">SUMIF(Y256:Y270,"&gt;0")</f>
        <v>0</v>
      </c>
      <c r="Z271">
        <f t="array" ref="Z271">SUMIF(Z256:Z270,"&gt;0")</f>
        <v>0</v>
      </c>
      <c r="AA271">
        <f t="array" ref="AA271">SUMIF(AA256:AA270,"&gt;0")</f>
        <v>0</v>
      </c>
      <c r="AB271">
        <f t="array" ref="AB271">SUMIF(AB256:AB270,"&gt;0")</f>
        <v>0</v>
      </c>
    </row>
    <row r="272" spans="1:44" x14ac:dyDescent="0.25">
      <c r="A272" t="s">
        <v>58</v>
      </c>
      <c r="C272" s="2">
        <f t="array" ref="C272">IF((K271+L271)&lt;&gt;0, (L271/(K271+L271)),0)</f>
        <v>0</v>
      </c>
      <c r="J272" s="6">
        <f t="array" ref="J272">J271*10</f>
        <v>0</v>
      </c>
      <c r="K272" s="6"/>
      <c r="P272" t="s">
        <v>95</v>
      </c>
      <c r="Q272" s="2" t="e">
        <f t="array" ref="Q272">Q271/$F271</f>
        <v>#DIV/0!</v>
      </c>
      <c r="R272" s="2" t="e">
        <f t="array" ref="R272">R271/$F271</f>
        <v>#DIV/0!</v>
      </c>
      <c r="S272" s="2" t="e">
        <f t="array" ref="S272">S271/$F271</f>
        <v>#DIV/0!</v>
      </c>
      <c r="T272" s="2" t="e">
        <f t="array" ref="T272">T271/$F271</f>
        <v>#DIV/0!</v>
      </c>
      <c r="U272" s="2" t="e">
        <f t="array" ref="U272">U271/$F271</f>
        <v>#DIV/0!</v>
      </c>
      <c r="V272" s="2" t="e">
        <f t="array" ref="V272">V271/$F271</f>
        <v>#DIV/0!</v>
      </c>
      <c r="W272" s="2" t="e">
        <f t="array" ref="W272">W271/$F271</f>
        <v>#DIV/0!</v>
      </c>
      <c r="X272" s="2" t="e">
        <f t="array" ref="X272">X271/$F271</f>
        <v>#DIV/0!</v>
      </c>
      <c r="Z272" s="2" t="e">
        <f t="array" ref="Z272">Z271/F271</f>
        <v>#DIV/0!</v>
      </c>
    </row>
    <row r="273" spans="1:44" x14ac:dyDescent="0.25">
      <c r="A273" t="s">
        <v>60</v>
      </c>
      <c r="C273" s="2">
        <f t="array" ref="C273">IF((M271+N271)&lt;&gt;0, (N271/(M271+N271)),0)</f>
        <v>0</v>
      </c>
      <c r="J273" s="6"/>
      <c r="K273" s="6"/>
      <c r="AR273" s="25"/>
    </row>
    <row r="274" spans="1:44" ht="28.5" x14ac:dyDescent="0.45">
      <c r="A274" t="s">
        <v>61</v>
      </c>
      <c r="C274" s="2">
        <f t="array" ref="C274">IF(((K271+N271+L271+M271)&lt;&gt;0), ((L271+N271)/(K271+N271+L271+M271)),0)</f>
        <v>0</v>
      </c>
      <c r="F274" s="17" t="s">
        <v>106</v>
      </c>
      <c r="G274" s="17" t="e">
        <f t="array" ref="G274">'Weighting &amp; Ranking Sheet'!$B$3*Math!$C272+'Weighting &amp; Ranking Sheet'!$B$4*Math!$C273+'Weighting &amp; Ranking Sheet'!$B$5*Math!$C274+'Weighting &amp; Ranking Sheet'!$B$6*Math!$C275+'Weighting &amp; Ranking Sheet'!$B$7*Math!$C259+'Weighting &amp; Ranking Sheet'!$B$8*Math!$C271+'Weighting &amp; Ranking Sheet'!$B$9*Math!$C278+'Weighting &amp; Ranking Sheet'!$B$10*Math!$C276+'Weighting &amp; Ranking Sheet'!$B$11*Math!$C277+'Weighting &amp; Ranking Sheet'!$B$12*Math!$C279*0.01+'Weighting &amp; Ranking Sheet'!$B$13*Math!$Q272+'Weighting &amp; Ranking Sheet'!$B$14*Math!$R272+'Weighting &amp; Ranking Sheet'!$B$15*Math!$S272+'Weighting &amp; Ranking Sheet'!$B$16*Math!$T272+'Weighting &amp; Ranking Sheet'!$B$17*Math!$U272+'Weighting &amp; Ranking Sheet'!$B$18*Math!$V272+'Weighting &amp; Ranking Sheet'!$B$2*Math!$Z272</f>
        <v>#DIV/0!</v>
      </c>
      <c r="J274"/>
      <c r="K274"/>
      <c r="AR274" s="25"/>
    </row>
    <row r="275" spans="1:44" x14ac:dyDescent="0.25">
      <c r="A275" t="s">
        <v>62</v>
      </c>
      <c r="C275" s="2">
        <f t="array" ref="C275">IF((O271+P271&lt;&gt;0),(P271/(O271+P271)), 0)</f>
        <v>0</v>
      </c>
      <c r="J275"/>
      <c r="K275"/>
      <c r="AR275" s="25"/>
    </row>
    <row r="276" spans="1:44" x14ac:dyDescent="0.25">
      <c r="A276" t="s">
        <v>77</v>
      </c>
      <c r="C276" s="8" t="e">
        <f t="array" ref="C276">W271/F271</f>
        <v>#DIV/0!</v>
      </c>
      <c r="J276"/>
      <c r="K276"/>
      <c r="AR276" s="23"/>
    </row>
    <row r="277" spans="1:44" x14ac:dyDescent="0.25">
      <c r="A277" t="s">
        <v>78</v>
      </c>
      <c r="C277" s="8" t="e">
        <f t="array" ref="C277">X271/F271</f>
        <v>#DIV/0!</v>
      </c>
      <c r="J277"/>
      <c r="K277"/>
    </row>
    <row r="278" spans="1:44" x14ac:dyDescent="0.25">
      <c r="A278" t="s">
        <v>91</v>
      </c>
      <c r="C278" s="2" t="e">
        <f t="array" ref="C278">(C259+C271)/2</f>
        <v>#DIV/0!</v>
      </c>
      <c r="J278"/>
      <c r="K278"/>
    </row>
    <row r="279" spans="1:44" x14ac:dyDescent="0.25">
      <c r="A279" t="s">
        <v>92</v>
      </c>
      <c r="C279" s="8" t="e">
        <f t="array" ref="C279">Y271/F271</f>
        <v>#DIV/0!</v>
      </c>
      <c r="J279"/>
      <c r="K279"/>
    </row>
    <row r="280" spans="1:44" x14ac:dyDescent="0.25">
      <c r="C280" s="8"/>
      <c r="J280" s="6"/>
      <c r="K280" s="6"/>
    </row>
    <row r="281" spans="1:44" x14ac:dyDescent="0.25">
      <c r="C281" s="8"/>
      <c r="J281" s="6"/>
      <c r="K281" s="6"/>
    </row>
    <row r="282" spans="1:44" x14ac:dyDescent="0.25">
      <c r="J282" s="6"/>
      <c r="K282" s="6"/>
    </row>
    <row r="283" spans="1:44" x14ac:dyDescent="0.25">
      <c r="A283" t="s">
        <v>3</v>
      </c>
      <c r="C283" s="5">
        <v>316</v>
      </c>
      <c r="F283" t="s">
        <v>14</v>
      </c>
    </row>
    <row r="284" spans="1:44" x14ac:dyDescent="0.25">
      <c r="F284" t="e">
        <f t="array" ref="F284">SMALL(IF('Raw Data'!A:A=C283,ROW('Raw Data'!A:A)),ROW('Raw Data'!$1:$1))</f>
        <v>#NUM!</v>
      </c>
      <c r="G284" t="e">
        <f t="array" ref="G284">INDEX('Raw Data'!A:A,F284,9)</f>
        <v>#NUM!</v>
      </c>
      <c r="H284" t="e">
        <f t="array" ref="H284">INDEX('Raw Data'!A:A,F284,10)</f>
        <v>#NUM!</v>
      </c>
      <c r="I284" t="e">
        <f t="array" ref="I284">INDEX('Raw Data'!$A:A,$F284,11)</f>
        <v>#NUM!</v>
      </c>
      <c r="J284" t="e">
        <f t="array" ref="J284">INDEX('Raw Data'!$A:A,F284,12)</f>
        <v>#NUM!</v>
      </c>
      <c r="K284" t="e">
        <f>(--INDEX('Raw Data'!$A$4:B$993,F284,4))</f>
        <v>#NUM!</v>
      </c>
      <c r="L284" t="e">
        <f t="array" ref="L284">(--INDEX('Raw Data'!$A$4:B$993,F284,5))</f>
        <v>#NUM!</v>
      </c>
      <c r="M284" t="e">
        <f t="array" ref="M284">(--INDEX('Raw Data'!$A$4:D$993,$F284,6))</f>
        <v>#NUM!</v>
      </c>
      <c r="N284" t="e">
        <f t="array" ref="N284">(--INDEX('Raw Data'!$A$4:D$993,$F284,7))</f>
        <v>#NUM!</v>
      </c>
      <c r="O284" t="e">
        <f t="array" ref="O284">IF(--INDEX('Raw Data'!$A$4:E$993,$F284,8)= 0, 1, 0)</f>
        <v>#NUM!</v>
      </c>
      <c r="P284" t="e">
        <f t="array" ref="P284">IF(--INDEX('Raw Data'!$A$4:F$993,$F284,8)= 1, 1, 0)</f>
        <v>#NUM!</v>
      </c>
      <c r="Q284" t="e">
        <f t="array" ref="Q284">IF(--INDEX('Raw Data'!$A$4:G$993,$F284,13)= 1, 1, 0)</f>
        <v>#NUM!</v>
      </c>
      <c r="R284" t="e">
        <f t="array" ref="R284">IF(--INDEX('Raw Data'!$A$4:H$993,$F284,14)= 1, 1, 0)</f>
        <v>#NUM!</v>
      </c>
      <c r="S284" t="e">
        <f t="array" ref="S284">IF(--INDEX('Raw Data'!$A$4:I$993,$F284,15)= 1, 1, 0)</f>
        <v>#NUM!</v>
      </c>
      <c r="T284" t="e">
        <f t="array" ref="T284">IF(--INDEX('Raw Data'!$A$4:I$993,$F284,15)= 1, 1, 0)</f>
        <v>#NUM!</v>
      </c>
      <c r="U284" t="e">
        <f t="array" ref="U284">IF(--INDEX('Raw Data'!$A$4:J$993,$F284,16)= 1, 1, 0)</f>
        <v>#NUM!</v>
      </c>
      <c r="V284" t="e">
        <f t="array" ref="V284">IF(--INDEX('Raw Data'!$A$4:K$993,$F284,17)= 1, 1, 0)</f>
        <v>#NUM!</v>
      </c>
      <c r="W284" t="e">
        <f t="array" ref="W284">INDEX('Raw Data'!$A:$O,$F284,19)</f>
        <v>#NUM!</v>
      </c>
      <c r="X284" t="e">
        <f t="array" ref="X284">INDEX('Raw Data'!$A:$O,$F284,20)</f>
        <v>#NUM!</v>
      </c>
      <c r="Y284" t="e">
        <f t="array" ref="Y284">INDEX('Raw Data'!$A:$O,F284,21)</f>
        <v>#NUM!</v>
      </c>
      <c r="Z284" t="e">
        <f t="array" ref="Z284">INDEX('Raw Data'!$A:$O,$F284,3)</f>
        <v>#NUM!</v>
      </c>
      <c r="AA284" t="e">
        <f t="array" ref="AA284">INDEX('Raw Data'!$A:$O,$F284,22)</f>
        <v>#NUM!</v>
      </c>
      <c r="AB284" t="e">
        <f t="array" ref="AB284">INDEX('Raw Data'!$A:$O,$F284,23)</f>
        <v>#NUM!</v>
      </c>
    </row>
    <row r="285" spans="1:44" x14ac:dyDescent="0.25">
      <c r="A285" t="s">
        <v>0</v>
      </c>
      <c r="B285">
        <f>G299</f>
        <v>0</v>
      </c>
      <c r="F285" t="e">
        <f t="array" ref="F285">SMALL(IF('Raw Data'!A:A=C283,ROW('Raw Data'!A:A)),ROW('Raw Data'!$2:$2))</f>
        <v>#NUM!</v>
      </c>
      <c r="G285" t="e">
        <f t="array" ref="G285">INDEX('Raw Data'!A:A,F285,9)</f>
        <v>#NUM!</v>
      </c>
      <c r="H285" t="e">
        <f t="array" ref="H285">INDEX('Raw Data'!A:A,F285,10)</f>
        <v>#NUM!</v>
      </c>
      <c r="I285" t="e">
        <f t="array" ref="I285">INDEX('Raw Data'!$A:A,$F285,11)</f>
        <v>#NUM!</v>
      </c>
      <c r="J285" t="e">
        <f t="array" ref="J285">INDEX('Raw Data'!$A:A,F285,12)</f>
        <v>#NUM!</v>
      </c>
      <c r="K285" t="e">
        <f>(--INDEX('Raw Data'!$A$4:B$993,F285,4))</f>
        <v>#NUM!</v>
      </c>
      <c r="L285" t="e">
        <f t="array" ref="L285">(--INDEX('Raw Data'!$A$4:B$993,F285,5))</f>
        <v>#NUM!</v>
      </c>
      <c r="M285" t="e">
        <f t="array" ref="M285">(--INDEX('Raw Data'!$A$4:D$993,$F285,6))</f>
        <v>#NUM!</v>
      </c>
      <c r="N285" t="e">
        <f t="array" ref="N285">(--INDEX('Raw Data'!$A$4:D$993,$F285,7))</f>
        <v>#NUM!</v>
      </c>
      <c r="O285" t="e">
        <f t="array" ref="O285">IF(--INDEX('Raw Data'!$A$4:E$993,$F285,8)= 0, 1, 0)</f>
        <v>#NUM!</v>
      </c>
      <c r="P285" t="e">
        <f t="array" ref="P285">IF(--INDEX('Raw Data'!$A$4:F$993,$F285,8)= 1, 1, 0)</f>
        <v>#NUM!</v>
      </c>
      <c r="Q285" t="e">
        <f t="array" ref="Q285">IF(--INDEX('Raw Data'!$A$4:G$993,$F285,13)= 1, 1, 0)</f>
        <v>#NUM!</v>
      </c>
      <c r="R285" t="e">
        <f t="array" ref="R285">IF(--INDEX('Raw Data'!$A$4:H$993,$F285,14)= 1, 1, 0)</f>
        <v>#NUM!</v>
      </c>
      <c r="S285" t="e">
        <f t="array" ref="S285">IF(--INDEX('Raw Data'!$A$4:I$993,$F285,15)= 1, 1, 0)</f>
        <v>#NUM!</v>
      </c>
      <c r="T285" t="e">
        <f t="array" ref="T285">IF(--INDEX('Raw Data'!$A$4:I$993,$F285,15)= 1, 1, 0)</f>
        <v>#NUM!</v>
      </c>
      <c r="U285" t="e">
        <f t="array" ref="U285">IF(--INDEX('Raw Data'!$A$4:J$993,$F285,16)= 1, 1, 0)</f>
        <v>#NUM!</v>
      </c>
      <c r="V285" t="e">
        <f t="array" ref="V285">IF(--INDEX('Raw Data'!$A$4:K$993,$F285,17)= 1, 1, 0)</f>
        <v>#NUM!</v>
      </c>
      <c r="W285" t="e">
        <f t="array" ref="W285">INDEX('Raw Data'!$A:$O,$F285,19)</f>
        <v>#NUM!</v>
      </c>
      <c r="X285" t="e">
        <f t="array" ref="X285">INDEX('Raw Data'!$A:$O,$F285,20)</f>
        <v>#NUM!</v>
      </c>
      <c r="Y285" t="e">
        <f t="array" ref="Y285">INDEX('Raw Data'!$A:$O,F285,21)</f>
        <v>#NUM!</v>
      </c>
      <c r="Z285" t="e">
        <f t="array" ref="Z285">INDEX('Raw Data'!$A:$O,$F285,3)</f>
        <v>#NUM!</v>
      </c>
      <c r="AA285" t="e">
        <f t="array" ref="AA285">INDEX('Raw Data'!$A:$O,$F285,22)</f>
        <v>#NUM!</v>
      </c>
      <c r="AB285" t="e">
        <f t="array" ref="AB285">INDEX('Raw Data'!$A:$O,$F285,23)</f>
        <v>#NUM!</v>
      </c>
    </row>
    <row r="286" spans="1:44" x14ac:dyDescent="0.25">
      <c r="A286" t="s">
        <v>1</v>
      </c>
      <c r="B286">
        <f>H299</f>
        <v>0</v>
      </c>
      <c r="F286" t="e">
        <f t="array" ref="F286">SMALL(IF('Raw Data'!A:A=C283,ROW('Raw Data'!A:A)),ROW('Raw Data'!$3:$3))</f>
        <v>#NUM!</v>
      </c>
      <c r="G286" t="e">
        <f t="array" ref="G286">INDEX('Raw Data'!A:A,F286,9)</f>
        <v>#NUM!</v>
      </c>
      <c r="H286" t="e">
        <f t="array" ref="H286">INDEX('Raw Data'!A:A,F286,10)</f>
        <v>#NUM!</v>
      </c>
      <c r="I286" t="e">
        <f t="array" ref="I286">INDEX('Raw Data'!$A:A,$F286,11)</f>
        <v>#NUM!</v>
      </c>
      <c r="J286" t="e">
        <f t="array" ref="J286">INDEX('Raw Data'!$A:A,F286,12)</f>
        <v>#NUM!</v>
      </c>
      <c r="K286" t="e">
        <f>(--INDEX('Raw Data'!$A$4:B$993,F286,4))</f>
        <v>#NUM!</v>
      </c>
      <c r="L286" t="e">
        <f t="array" ref="L286">(--INDEX('Raw Data'!$A$4:B$993,F286,5))</f>
        <v>#NUM!</v>
      </c>
      <c r="M286" t="e">
        <f t="array" ref="M286">(--INDEX('Raw Data'!$A$4:D$993,$F286,6))</f>
        <v>#NUM!</v>
      </c>
      <c r="N286" t="e">
        <f t="array" ref="N286">(--INDEX('Raw Data'!$A$4:D$993,$F286,7))</f>
        <v>#NUM!</v>
      </c>
      <c r="O286" t="e">
        <f t="array" ref="O286">IF(--INDEX('Raw Data'!$A$4:E$993,$F286,8)= 0, 1, 0)</f>
        <v>#NUM!</v>
      </c>
      <c r="P286" t="e">
        <f t="array" ref="P286">IF(--INDEX('Raw Data'!$A$4:F$993,$F286,8)= 1, 1, 0)</f>
        <v>#NUM!</v>
      </c>
      <c r="Q286" t="e">
        <f t="array" ref="Q286">IF(--INDEX('Raw Data'!$A$4:G$993,$F286,13)= 1, 1, 0)</f>
        <v>#NUM!</v>
      </c>
      <c r="R286" t="e">
        <f t="array" ref="R286">IF(--INDEX('Raw Data'!$A$4:H$993,$F286,14)= 1, 1, 0)</f>
        <v>#NUM!</v>
      </c>
      <c r="S286" t="e">
        <f t="array" ref="S286">IF(--INDEX('Raw Data'!$A$4:I$993,$F286,15)= 1, 1, 0)</f>
        <v>#NUM!</v>
      </c>
      <c r="T286" t="e">
        <f t="array" ref="T286">IF(--INDEX('Raw Data'!$A$4:I$993,$F286,15)= 1, 1, 0)</f>
        <v>#NUM!</v>
      </c>
      <c r="U286" t="e">
        <f t="array" ref="U286">IF(--INDEX('Raw Data'!$A$4:J$993,$F286,16)= 1, 1, 0)</f>
        <v>#NUM!</v>
      </c>
      <c r="V286" t="e">
        <f t="array" ref="V286">IF(--INDEX('Raw Data'!$A$4:K$993,$F286,17)= 1, 1, 0)</f>
        <v>#NUM!</v>
      </c>
      <c r="W286" t="e">
        <f t="array" ref="W286">INDEX('Raw Data'!$A:$O,$F286,19)</f>
        <v>#NUM!</v>
      </c>
      <c r="X286" t="e">
        <f t="array" ref="X286">INDEX('Raw Data'!$A:$O,$F286,20)</f>
        <v>#NUM!</v>
      </c>
      <c r="Y286" t="e">
        <f t="array" ref="Y286">INDEX('Raw Data'!$A:$O,F286,21)</f>
        <v>#NUM!</v>
      </c>
      <c r="Z286" t="e">
        <f t="array" ref="Z286">INDEX('Raw Data'!$A:$O,$F286,3)</f>
        <v>#NUM!</v>
      </c>
      <c r="AA286" t="e">
        <f t="array" ref="AA286">INDEX('Raw Data'!$A:$O,$F286,22)</f>
        <v>#NUM!</v>
      </c>
      <c r="AB286" t="e">
        <f t="array" ref="AB286">INDEX('Raw Data'!$A:$O,$F286,23)</f>
        <v>#NUM!</v>
      </c>
    </row>
    <row r="287" spans="1:44" x14ac:dyDescent="0.25">
      <c r="A287" t="s">
        <v>2</v>
      </c>
      <c r="C287" s="3" t="e">
        <f>B286/B285</f>
        <v>#DIV/0!</v>
      </c>
      <c r="F287" t="e">
        <f t="array" ref="F287">SMALL(IF('Raw Data'!A:A=C283,ROW('Raw Data'!A:A)),ROW('Raw Data'!$4:$4))</f>
        <v>#NUM!</v>
      </c>
      <c r="G287" t="e">
        <f t="array" ref="G287">INDEX('Raw Data'!A:A,F287,9)</f>
        <v>#NUM!</v>
      </c>
      <c r="H287" t="e">
        <f t="array" ref="H287">INDEX('Raw Data'!A:A,F287,10)</f>
        <v>#NUM!</v>
      </c>
      <c r="I287" t="e">
        <f t="array" ref="I287">INDEX('Raw Data'!$A:A,$F287,11)</f>
        <v>#NUM!</v>
      </c>
      <c r="J287" t="e">
        <f t="array" ref="J287">INDEX('Raw Data'!$A:A,F287,12)</f>
        <v>#NUM!</v>
      </c>
      <c r="K287" t="e">
        <f>(--INDEX('Raw Data'!$A$4:B$993,F287,4))</f>
        <v>#NUM!</v>
      </c>
      <c r="L287" t="e">
        <f t="array" ref="L287">(--INDEX('Raw Data'!$A$4:B$993,F287,5))</f>
        <v>#NUM!</v>
      </c>
      <c r="M287" t="e">
        <f t="array" ref="M287">(--INDEX('Raw Data'!$A$4:D$993,$F287,6))</f>
        <v>#NUM!</v>
      </c>
      <c r="N287" t="e">
        <f t="array" ref="N287">(--INDEX('Raw Data'!$A$4:D$993,$F287,7))</f>
        <v>#NUM!</v>
      </c>
      <c r="O287" t="e">
        <f t="array" ref="O287">IF(--INDEX('Raw Data'!$A$4:E$993,$F287,8)= 0, 1, 0)</f>
        <v>#NUM!</v>
      </c>
      <c r="P287" t="e">
        <f t="array" ref="P287">IF(--INDEX('Raw Data'!$A$4:F$993,$F287,8)= 1, 1, 0)</f>
        <v>#NUM!</v>
      </c>
      <c r="Q287" t="e">
        <f t="array" ref="Q287">IF(--INDEX('Raw Data'!$A$4:G$993,$F287,13)= 1, 1, 0)</f>
        <v>#NUM!</v>
      </c>
      <c r="R287" t="e">
        <f t="array" ref="R287">IF(--INDEX('Raw Data'!$A$4:H$993,$F287,14)= 1, 1, 0)</f>
        <v>#NUM!</v>
      </c>
      <c r="S287" t="e">
        <f t="array" ref="S287">IF(--INDEX('Raw Data'!$A$4:I$993,$F287,15)= 1, 1, 0)</f>
        <v>#NUM!</v>
      </c>
      <c r="T287" t="e">
        <f t="array" ref="T287">IF(--INDEX('Raw Data'!$A$4:I$993,$F287,15)= 1, 1, 0)</f>
        <v>#NUM!</v>
      </c>
      <c r="U287" t="e">
        <f t="array" ref="U287">IF(--INDEX('Raw Data'!$A$4:J$993,$F287,16)= 1, 1, 0)</f>
        <v>#NUM!</v>
      </c>
      <c r="V287" t="e">
        <f t="array" ref="V287">IF(--INDEX('Raw Data'!$A$4:K$993,$F287,17)= 1, 1, 0)</f>
        <v>#NUM!</v>
      </c>
      <c r="W287" t="e">
        <f t="array" ref="W287">INDEX('Raw Data'!$A:$O,$F287,19)</f>
        <v>#NUM!</v>
      </c>
      <c r="X287" t="e">
        <f t="array" ref="X287">INDEX('Raw Data'!$A:$O,$F287,20)</f>
        <v>#NUM!</v>
      </c>
      <c r="Y287" t="e">
        <f t="array" ref="Y287">INDEX('Raw Data'!$A:$O,F287,21)</f>
        <v>#NUM!</v>
      </c>
      <c r="Z287" t="e">
        <f t="array" ref="Z287">INDEX('Raw Data'!$A:$O,$F287,3)</f>
        <v>#NUM!</v>
      </c>
      <c r="AA287" t="e">
        <f t="array" ref="AA287">INDEX('Raw Data'!$A:$O,$F287,22)</f>
        <v>#NUM!</v>
      </c>
      <c r="AB287" t="e">
        <f t="array" ref="AB287">INDEX('Raw Data'!$A:$O,$F287,23)</f>
        <v>#NUM!</v>
      </c>
    </row>
    <row r="288" spans="1:44" x14ac:dyDescent="0.25">
      <c r="A288" t="s">
        <v>54</v>
      </c>
      <c r="B288">
        <f>I299</f>
        <v>0</v>
      </c>
      <c r="F288" t="e">
        <f t="array" ref="F288">SMALL(IF('Raw Data'!A:A=C283,ROW('Raw Data'!A:A)),ROW('Raw Data'!$5:$5))</f>
        <v>#NUM!</v>
      </c>
      <c r="G288" t="e">
        <f t="array" ref="G288">INDEX('Raw Data'!A:A,F288,9)</f>
        <v>#NUM!</v>
      </c>
      <c r="H288" t="e">
        <f t="array" ref="H288">INDEX('Raw Data'!A:A,F288,10)</f>
        <v>#NUM!</v>
      </c>
      <c r="I288" t="e">
        <f t="array" ref="I288">INDEX('Raw Data'!$A:A,$F288,11)</f>
        <v>#NUM!</v>
      </c>
      <c r="J288" t="e">
        <f t="array" ref="J288">INDEX('Raw Data'!$A:A,F288,12)</f>
        <v>#NUM!</v>
      </c>
      <c r="K288" t="e">
        <f>(--INDEX('Raw Data'!$A$4:B$993,F288,4))</f>
        <v>#NUM!</v>
      </c>
      <c r="L288" t="e">
        <f t="array" ref="L288">(--INDEX('Raw Data'!$A$4:B$993,F288,5))</f>
        <v>#NUM!</v>
      </c>
      <c r="M288" t="e">
        <f t="array" ref="M288">(--INDEX('Raw Data'!$A$4:D$993,$F288,6))</f>
        <v>#NUM!</v>
      </c>
      <c r="N288" t="e">
        <f t="array" ref="N288">(--INDEX('Raw Data'!$A$4:D$993,$F288,7))</f>
        <v>#NUM!</v>
      </c>
      <c r="O288" t="e">
        <f t="array" ref="O288">IF(--INDEX('Raw Data'!$A$4:E$993,$F288,8)= 0, 1, 0)</f>
        <v>#NUM!</v>
      </c>
      <c r="P288" t="e">
        <f t="array" ref="P288">IF(--INDEX('Raw Data'!$A$4:F$993,$F288,8)= 1, 1, 0)</f>
        <v>#NUM!</v>
      </c>
      <c r="Q288" t="e">
        <f t="array" ref="Q288">IF(--INDEX('Raw Data'!$A$4:G$993,$F288,13)= 1, 1, 0)</f>
        <v>#NUM!</v>
      </c>
      <c r="R288" t="e">
        <f t="array" ref="R288">IF(--INDEX('Raw Data'!$A$4:H$993,$F288,14)= 1, 1, 0)</f>
        <v>#NUM!</v>
      </c>
      <c r="S288" t="e">
        <f t="array" ref="S288">IF(--INDEX('Raw Data'!$A$4:I$993,$F288,15)= 1, 1, 0)</f>
        <v>#NUM!</v>
      </c>
      <c r="T288" t="e">
        <f t="array" ref="T288">IF(--INDEX('Raw Data'!$A$4:I$993,$F288,15)= 1, 1, 0)</f>
        <v>#NUM!</v>
      </c>
      <c r="U288" t="e">
        <f t="array" ref="U288">IF(--INDEX('Raw Data'!$A$4:J$993,$F288,16)= 1, 1, 0)</f>
        <v>#NUM!</v>
      </c>
      <c r="V288" t="e">
        <f t="array" ref="V288">IF(--INDEX('Raw Data'!$A$4:K$993,$F288,17)= 1, 1, 0)</f>
        <v>#NUM!</v>
      </c>
      <c r="W288" t="e">
        <f t="array" ref="W288">INDEX('Raw Data'!$A:$O,$F288,19)</f>
        <v>#NUM!</v>
      </c>
      <c r="X288" t="e">
        <f t="array" ref="X288">INDEX('Raw Data'!$A:$O,$F288,20)</f>
        <v>#NUM!</v>
      </c>
      <c r="Y288" t="e">
        <f t="array" ref="Y288">INDEX('Raw Data'!$A:$O,F288,21)</f>
        <v>#NUM!</v>
      </c>
      <c r="Z288" t="e">
        <f t="array" ref="Z288">INDEX('Raw Data'!$A:$O,$F288,3)</f>
        <v>#NUM!</v>
      </c>
      <c r="AA288" t="e">
        <f t="array" ref="AA288">INDEX('Raw Data'!$A:$O,$F288,22)</f>
        <v>#NUM!</v>
      </c>
      <c r="AB288" t="e">
        <f t="array" ref="AB288">INDEX('Raw Data'!$A:$O,$F288,23)</f>
        <v>#NUM!</v>
      </c>
      <c r="AR288" s="25"/>
    </row>
    <row r="289" spans="1:44" x14ac:dyDescent="0.25">
      <c r="A289" t="s">
        <v>35</v>
      </c>
      <c r="B289">
        <f>J299</f>
        <v>0</v>
      </c>
      <c r="F289" t="e">
        <f t="array" ref="F289">SMALL(IF('Raw Data'!A:A=C283,ROW('Raw Data'!A:A)),ROW('Raw Data'!$6:$6))</f>
        <v>#NUM!</v>
      </c>
      <c r="G289" t="e">
        <f t="array" ref="G289">INDEX('Raw Data'!A:A,F289,9)</f>
        <v>#NUM!</v>
      </c>
      <c r="H289" t="e">
        <f t="array" ref="H289">INDEX('Raw Data'!A:A,F289,10)</f>
        <v>#NUM!</v>
      </c>
      <c r="I289" t="e">
        <f t="array" ref="I289">INDEX('Raw Data'!$A:A,$F289,11)</f>
        <v>#NUM!</v>
      </c>
      <c r="J289" t="e">
        <f t="array" ref="J289">INDEX('Raw Data'!$A:A,F289,12)</f>
        <v>#NUM!</v>
      </c>
      <c r="K289" t="e">
        <f>(--INDEX('Raw Data'!$A$4:B$993,F289,4))</f>
        <v>#NUM!</v>
      </c>
      <c r="L289" t="e">
        <f t="array" ref="L289">(--INDEX('Raw Data'!$A$4:B$998,F289,5))</f>
        <v>#NUM!</v>
      </c>
      <c r="M289" t="e">
        <f t="array" ref="M289">(--INDEX('Raw Data'!$A$4:D$998,$F289,6))</f>
        <v>#NUM!</v>
      </c>
      <c r="N289" t="e">
        <f t="array" ref="N289">(--INDEX('Raw Data'!$A$4:D$993,$F289,7))</f>
        <v>#NUM!</v>
      </c>
      <c r="O289" t="e">
        <f t="array" ref="O289">IF(--INDEX('Raw Data'!$A$4:E$993,$F289,8)= 0, 1, 0)</f>
        <v>#NUM!</v>
      </c>
      <c r="P289" t="e">
        <f t="array" ref="P289">IF(--INDEX('Raw Data'!$A$4:F$998,$F289,8)= 1, 1, 0)</f>
        <v>#NUM!</v>
      </c>
      <c r="Q289" t="e">
        <f t="array" ref="Q289">IF(--INDEX('Raw Data'!$A$4:G$998,$F289,13)= 1, 1, 0)</f>
        <v>#NUM!</v>
      </c>
      <c r="R289" t="e">
        <f t="array" ref="R289">IF(--INDEX('Raw Data'!$A$4:H$998,$F289,14)= 1, 1, 0)</f>
        <v>#NUM!</v>
      </c>
      <c r="S289" t="e">
        <f t="array" ref="S289">IF(--INDEX('Raw Data'!$A$4:I$993,$F289,15)= 1, 1, 0)</f>
        <v>#NUM!</v>
      </c>
      <c r="T289" t="e">
        <f t="array" ref="T289">IF(--INDEX('Raw Data'!$A$4:I$998,$F289,15)= 1, 1, 0)</f>
        <v>#NUM!</v>
      </c>
      <c r="U289" t="e">
        <f t="array" ref="U289">IF(--INDEX('Raw Data'!$A$4:J$998,$F289,16)= 1, 1, 0)</f>
        <v>#NUM!</v>
      </c>
      <c r="V289" t="e">
        <f t="array" ref="V289">IF(--INDEX('Raw Data'!$A$4:K$993,$F289,17)= 1, 1, 0)</f>
        <v>#NUM!</v>
      </c>
      <c r="W289" t="e">
        <f t="array" ref="W289">INDEX('Raw Data'!$A:$O,$F289,19)</f>
        <v>#NUM!</v>
      </c>
      <c r="X289" t="e">
        <f t="array" ref="X289">INDEX('Raw Data'!$A:$O,$F289,20)</f>
        <v>#NUM!</v>
      </c>
      <c r="Y289" t="e">
        <f t="array" ref="Y289">INDEX('Raw Data'!$A:$O,F289,21)</f>
        <v>#NUM!</v>
      </c>
      <c r="Z289" t="e">
        <f t="array" ref="Z289">INDEX('Raw Data'!$A:$O,$F289,3)</f>
        <v>#NUM!</v>
      </c>
      <c r="AA289" t="e">
        <f t="array" ref="AA289">INDEX('Raw Data'!$A:$O,$F289,22)</f>
        <v>#NUM!</v>
      </c>
      <c r="AB289" t="e">
        <f t="array" ref="AB289">INDEX('Raw Data'!$A:$O,$F289,23)</f>
        <v>#NUM!</v>
      </c>
      <c r="AR289" s="25"/>
    </row>
    <row r="290" spans="1:44" ht="28.5" x14ac:dyDescent="0.45">
      <c r="F290" t="e">
        <f t="array" ref="F290">SMALL(IF('Raw Data'!A:A=C283,ROW('Raw Data'!A:A)),ROW('Raw Data'!$7:$7))</f>
        <v>#NUM!</v>
      </c>
      <c r="G290" t="e">
        <f t="array" ref="G290">INDEX('Raw Data'!A:A,F290,9)</f>
        <v>#NUM!</v>
      </c>
      <c r="H290" t="e">
        <f t="array" ref="H290">INDEX('Raw Data'!A:A,F290,10)</f>
        <v>#NUM!</v>
      </c>
      <c r="I290" t="e">
        <f t="array" ref="I290">INDEX('Raw Data'!$A:A,$F290,11)</f>
        <v>#NUM!</v>
      </c>
      <c r="J290" t="e">
        <f t="array" ref="J290">INDEX('Raw Data'!$A:A,F290,12)</f>
        <v>#NUM!</v>
      </c>
      <c r="K290" t="e">
        <f t="array" ref="K290">(--INDEX('Raw Data'!$A$4:B$998,F290,4))</f>
        <v>#NUM!</v>
      </c>
      <c r="L290" t="e">
        <f t="array" ref="L290">(--INDEX('Raw Data'!$A$4:B$998,F290,5))</f>
        <v>#NUM!</v>
      </c>
      <c r="M290" t="e">
        <f t="array" ref="M290">(--INDEX('Raw Data'!$A$4:D$998,$F290,6))</f>
        <v>#NUM!</v>
      </c>
      <c r="N290" t="e">
        <f t="array" ref="N290">(--INDEX('Raw Data'!$A$4:D$998,$F290,7))</f>
        <v>#NUM!</v>
      </c>
      <c r="O290" t="e">
        <f t="array" ref="O290">IF(--INDEX('Raw Data'!$A$4:E$998,$F290,8)= 0, 1, 0)</f>
        <v>#NUM!</v>
      </c>
      <c r="P290" t="e">
        <f t="array" ref="P290">IF(--INDEX('Raw Data'!$A$4:F$998,$F290,8)= 1, 1, 0)</f>
        <v>#NUM!</v>
      </c>
      <c r="Q290" t="e">
        <f t="array" ref="Q290">IF(--INDEX('Raw Data'!$A$4:G$998,$F290,13)= 1, 1, 0)</f>
        <v>#NUM!</v>
      </c>
      <c r="R290" t="e">
        <f t="array" ref="R290">IF(--INDEX('Raw Data'!$A$4:H$998,$F290,14)= 1, 1, 0)</f>
        <v>#NUM!</v>
      </c>
      <c r="S290" t="e">
        <f t="array" ref="S290">IF(--INDEX('Raw Data'!$A$4:I$998,$F290,15)= 1, 1, 0)</f>
        <v>#NUM!</v>
      </c>
      <c r="T290" t="e">
        <f t="array" ref="T290">IF(--INDEX('Raw Data'!$A$4:I$998,$F290,15)= 1, 1, 0)</f>
        <v>#NUM!</v>
      </c>
      <c r="U290" t="e">
        <f t="array" ref="U290">IF(--INDEX('Raw Data'!$A$4:J$998,$F290,16)= 1, 1, 0)</f>
        <v>#NUM!</v>
      </c>
      <c r="V290" t="e">
        <f t="array" ref="V290">IF(--INDEX('Raw Data'!$A$4:K$998,$F290,17)= 1, 1, 0)</f>
        <v>#NUM!</v>
      </c>
      <c r="W290" t="e">
        <f t="array" ref="W290">INDEX('Raw Data'!$A:$O,$F290,19)</f>
        <v>#NUM!</v>
      </c>
      <c r="X290" t="e">
        <f t="array" ref="X290">INDEX('Raw Data'!$A:$O,$F290,20)</f>
        <v>#NUM!</v>
      </c>
      <c r="Y290" t="e">
        <f t="array" ref="Y290">INDEX('Raw Data'!$A:$O,F290,21)</f>
        <v>#NUM!</v>
      </c>
      <c r="Z290" t="e">
        <f t="array" ref="Z290">INDEX('Raw Data'!$A:$O,$F290,3)</f>
        <v>#NUM!</v>
      </c>
      <c r="AA290" t="e">
        <f t="array" ref="AA290">INDEX('Raw Data'!$A:$O,$F290,22)</f>
        <v>#NUM!</v>
      </c>
      <c r="AB290" t="e">
        <f t="array" ref="AB290">INDEX('Raw Data'!$A:$O,$F290,23)</f>
        <v>#NUM!</v>
      </c>
      <c r="AM290" s="21"/>
    </row>
    <row r="291" spans="1:44" x14ac:dyDescent="0.25">
      <c r="F291" t="e">
        <f t="array" ref="F291">SMALL(IF('Raw Data'!A:A=C283,ROW('Raw Data'!A:A)),ROW('Raw Data'!$8:$8))</f>
        <v>#NUM!</v>
      </c>
      <c r="G291" t="e">
        <f t="array" ref="G291">INDEX('Raw Data'!A:A,F291,9)</f>
        <v>#NUM!</v>
      </c>
      <c r="H291" t="e">
        <f t="array" ref="H291">INDEX('Raw Data'!A:A,F291,10)</f>
        <v>#NUM!</v>
      </c>
      <c r="I291" t="e">
        <f t="array" ref="I291">INDEX('Raw Data'!$A:A,$F291,11)</f>
        <v>#NUM!</v>
      </c>
      <c r="J291" t="e">
        <f t="array" ref="J291">INDEX('Raw Data'!$A:A,F291,12)</f>
        <v>#NUM!</v>
      </c>
      <c r="K291" t="e">
        <f t="array" ref="K291">(--INDEX('Raw Data'!$A$4:B$998,F291,4))</f>
        <v>#NUM!</v>
      </c>
      <c r="L291" t="e">
        <f t="array" ref="L291">(--INDEX('Raw Data'!$A$4:B$998,F291,5))</f>
        <v>#NUM!</v>
      </c>
      <c r="M291" t="e">
        <f t="array" ref="M291">(--INDEX('Raw Data'!$A$4:D$998,$F291,6))</f>
        <v>#NUM!</v>
      </c>
      <c r="N291" t="e">
        <f t="array" ref="N291">(--INDEX('Raw Data'!$A$4:D$998,$F291,7))</f>
        <v>#NUM!</v>
      </c>
      <c r="O291" t="e">
        <f t="array" ref="O291">IF(--INDEX('Raw Data'!$A$4:E$998,$F291,8)= 0, 1, 0)</f>
        <v>#NUM!</v>
      </c>
      <c r="P291" t="e">
        <f t="array" ref="P291">IF(--INDEX('Raw Data'!$A$4:F$998,$F291,8)= 1, 1, 0)</f>
        <v>#NUM!</v>
      </c>
      <c r="Q291" t="e">
        <f t="array" ref="Q291">IF(--INDEX('Raw Data'!$A$4:G$998,$F291,13)= 1, 1, 0)</f>
        <v>#NUM!</v>
      </c>
      <c r="R291" t="e">
        <f t="array" ref="R291">IF(--INDEX('Raw Data'!$A$4:H$998,$F291,14)= 1, 1, 0)</f>
        <v>#NUM!</v>
      </c>
      <c r="S291" t="e">
        <f t="array" ref="S291">IF(--INDEX('Raw Data'!$A$4:I$998,$F291,15)= 1, 1, 0)</f>
        <v>#NUM!</v>
      </c>
      <c r="T291" t="e">
        <f t="array" ref="T291">IF(--INDEX('Raw Data'!$A$4:I$998,$F291,15)= 1, 1, 0)</f>
        <v>#NUM!</v>
      </c>
      <c r="U291" t="e">
        <f t="array" ref="U291">IF(--INDEX('Raw Data'!$A$4:J$998,$F291,16)= 1, 1, 0)</f>
        <v>#NUM!</v>
      </c>
      <c r="V291" t="e">
        <f t="array" ref="V291">IF(--INDEX('Raw Data'!$A$4:K$998,$F291,17)= 1, 1, 0)</f>
        <v>#NUM!</v>
      </c>
      <c r="W291" t="e">
        <f t="array" ref="W291">INDEX('Raw Data'!$A:$O,$F291,19)</f>
        <v>#NUM!</v>
      </c>
      <c r="X291" t="e">
        <f t="array" ref="X291">INDEX('Raw Data'!$A:$O,$F291,20)</f>
        <v>#NUM!</v>
      </c>
      <c r="Y291" t="e">
        <f t="array" ref="Y291">INDEX('Raw Data'!$A:$O,F291,21)</f>
        <v>#NUM!</v>
      </c>
      <c r="Z291" t="e">
        <f t="array" ref="Z291">INDEX('Raw Data'!$A:$O,$F291,3)</f>
        <v>#NUM!</v>
      </c>
      <c r="AA291" t="e">
        <f t="array" ref="AA291">INDEX('Raw Data'!$A:$O,$F291,22)</f>
        <v>#NUM!</v>
      </c>
      <c r="AB291" t="e">
        <f t="array" ref="AB291">INDEX('Raw Data'!$A:$O,$F291,23)</f>
        <v>#NUM!</v>
      </c>
    </row>
    <row r="292" spans="1:44" x14ac:dyDescent="0.25">
      <c r="F292" t="e">
        <f t="array" ref="F292">SMALL(IF('Raw Data'!A:A=C283,ROW('Raw Data'!A:A)),ROW('Raw Data'!$9:$9))</f>
        <v>#NUM!</v>
      </c>
      <c r="G292" t="e">
        <f t="array" ref="G292">INDEX('Raw Data'!A:A,F292,9)</f>
        <v>#NUM!</v>
      </c>
      <c r="H292" t="e">
        <f t="array" ref="H292">INDEX('Raw Data'!A:A,F292,10)</f>
        <v>#NUM!</v>
      </c>
      <c r="I292" t="e">
        <f t="array" ref="I292">INDEX('Raw Data'!$A:A,$F292,11)</f>
        <v>#NUM!</v>
      </c>
      <c r="J292" t="e">
        <f t="array" ref="J292">INDEX('Raw Data'!$A:A,F292,12)</f>
        <v>#NUM!</v>
      </c>
      <c r="K292" t="e">
        <f t="array" ref="K292">(--INDEX('Raw Data'!$A$4:B$998,F292,4))</f>
        <v>#NUM!</v>
      </c>
      <c r="L292" t="e">
        <f t="array" ref="L292">(--INDEX('Raw Data'!$A$4:B$998,F292,5))</f>
        <v>#NUM!</v>
      </c>
      <c r="M292" t="e">
        <f t="array" ref="M292">(--INDEX('Raw Data'!$A$4:D$998,$F292,6))</f>
        <v>#NUM!</v>
      </c>
      <c r="N292" t="e">
        <f t="array" ref="N292">(--INDEX('Raw Data'!$A$4:D$998,$F292,7))</f>
        <v>#NUM!</v>
      </c>
      <c r="O292" t="e">
        <f t="array" ref="O292">IF(--INDEX('Raw Data'!$A$4:E$998,$F292,8)= 0, 1, 0)</f>
        <v>#NUM!</v>
      </c>
      <c r="P292" t="e">
        <f t="array" ref="P292">IF(--INDEX('Raw Data'!$A$4:F$998,$F292,8)= 1, 1, 0)</f>
        <v>#NUM!</v>
      </c>
      <c r="Q292" t="e">
        <f t="array" ref="Q292">IF(--INDEX('Raw Data'!$A$4:G$998,$F292,13)= 1, 1, 0)</f>
        <v>#NUM!</v>
      </c>
      <c r="R292" t="e">
        <f t="array" ref="R292">IF(--INDEX('Raw Data'!$A$4:H$998,$F292,14)= 1, 1, 0)</f>
        <v>#NUM!</v>
      </c>
      <c r="S292" t="e">
        <f t="array" ref="S292">IF(--INDEX('Raw Data'!$A$4:I$998,$F292,15)= 1, 1, 0)</f>
        <v>#NUM!</v>
      </c>
      <c r="T292" t="e">
        <f t="array" ref="T292">IF(--INDEX('Raw Data'!$A$4:I$998,$F292,15)= 1, 1, 0)</f>
        <v>#NUM!</v>
      </c>
      <c r="U292" t="e">
        <f t="array" ref="U292">IF(--INDEX('Raw Data'!$A$4:J$998,$F292,16)= 1, 1, 0)</f>
        <v>#NUM!</v>
      </c>
      <c r="V292" t="e">
        <f t="array" ref="V292">IF(--INDEX('Raw Data'!$A$4:K$998,$F292,17)= 1, 1, 0)</f>
        <v>#NUM!</v>
      </c>
      <c r="W292" t="e">
        <f t="array" ref="W292">INDEX('Raw Data'!$A:$O,$F292,19)</f>
        <v>#NUM!</v>
      </c>
      <c r="X292" t="e">
        <f t="array" ref="X292">INDEX('Raw Data'!$A:$O,$F292,20)</f>
        <v>#NUM!</v>
      </c>
      <c r="Y292" t="e">
        <f t="array" ref="Y292">INDEX('Raw Data'!$A:$O,F292,21)</f>
        <v>#NUM!</v>
      </c>
      <c r="Z292" t="e">
        <f t="array" ref="Z292">INDEX('Raw Data'!$A:$O,$F292,3)</f>
        <v>#NUM!</v>
      </c>
      <c r="AA292" t="e">
        <f t="array" ref="AA292">INDEX('Raw Data'!$A:$O,$F292,22)</f>
        <v>#NUM!</v>
      </c>
      <c r="AB292" t="e">
        <f t="array" ref="AB292">INDEX('Raw Data'!$A:$O,$F292,23)</f>
        <v>#NUM!</v>
      </c>
    </row>
    <row r="293" spans="1:44" x14ac:dyDescent="0.25">
      <c r="F293" t="e">
        <f t="array" ref="F293">SMALL(IF('Raw Data'!A:A=C283,ROW('Raw Data'!A:A)),ROW('Raw Data'!$10:$10))</f>
        <v>#NUM!</v>
      </c>
      <c r="G293" t="e">
        <f t="array" ref="G293">INDEX('Raw Data'!A:A,F293,9)</f>
        <v>#NUM!</v>
      </c>
      <c r="H293" t="e">
        <f t="array" ref="H293">INDEX('Raw Data'!A:A,F293,10)</f>
        <v>#NUM!</v>
      </c>
      <c r="I293" t="e">
        <f t="array" ref="I293">INDEX('Raw Data'!$A:A,$F293,11)</f>
        <v>#NUM!</v>
      </c>
      <c r="J293" t="e">
        <f t="array" ref="J293">INDEX('Raw Data'!$A:A,F293,12)</f>
        <v>#NUM!</v>
      </c>
      <c r="K293" t="e">
        <f t="array" ref="K293">(--INDEX('Raw Data'!$A$4:B$998,F293,4))</f>
        <v>#NUM!</v>
      </c>
      <c r="L293" t="e">
        <f t="array" ref="L293">(--INDEX('Raw Data'!$A$4:B$998,F293,5))</f>
        <v>#NUM!</v>
      </c>
      <c r="M293" t="e">
        <f t="array" ref="M293">(--INDEX('Raw Data'!$A$4:D$998,$F293,6))</f>
        <v>#NUM!</v>
      </c>
      <c r="N293" t="e">
        <f t="array" ref="N293">(--INDEX('Raw Data'!$A$4:D$998,$F293,7))</f>
        <v>#NUM!</v>
      </c>
      <c r="O293" t="e">
        <f t="array" ref="O293">IF(--INDEX('Raw Data'!$A$4:E$998,$F293,8)= 0, 1, 0)</f>
        <v>#NUM!</v>
      </c>
      <c r="P293" t="e">
        <f t="array" ref="P293">IF(--INDEX('Raw Data'!$A$4:F$998,$F293,8)= 1, 1, 0)</f>
        <v>#NUM!</v>
      </c>
      <c r="Q293" t="e">
        <f t="array" ref="Q293">IF(--INDEX('Raw Data'!$A$4:G$998,$F293,13)= 1, 1, 0)</f>
        <v>#NUM!</v>
      </c>
      <c r="R293" t="e">
        <f t="array" ref="R293">IF(--INDEX('Raw Data'!$A$4:H$998,$F293,14)= 1, 1, 0)</f>
        <v>#NUM!</v>
      </c>
      <c r="S293" t="e">
        <f t="array" ref="S293">IF(--INDEX('Raw Data'!$A$4:I$998,$F293,15)= 1, 1, 0)</f>
        <v>#NUM!</v>
      </c>
      <c r="T293" t="e">
        <f t="array" ref="T293">IF(--INDEX('Raw Data'!$A$4:I$998,$F293,15)= 1, 1, 0)</f>
        <v>#NUM!</v>
      </c>
      <c r="U293" t="e">
        <f t="array" ref="U293">IF(--INDEX('Raw Data'!$A$4:J$998,$F293,16)= 1, 1, 0)</f>
        <v>#NUM!</v>
      </c>
      <c r="V293" t="e">
        <f t="array" ref="V293">IF(--INDEX('Raw Data'!$A$4:K$998,$F293,17)= 1, 1, 0)</f>
        <v>#NUM!</v>
      </c>
      <c r="W293" t="e">
        <f t="array" ref="W293">INDEX('Raw Data'!$A:$O,$F293,19)</f>
        <v>#NUM!</v>
      </c>
      <c r="X293" t="e">
        <f t="array" ref="X293">INDEX('Raw Data'!$A:$O,$F293,20)</f>
        <v>#NUM!</v>
      </c>
      <c r="Y293" t="e">
        <f t="array" ref="Y293">INDEX('Raw Data'!$A:$O,F293,21)</f>
        <v>#NUM!</v>
      </c>
      <c r="Z293" t="e">
        <f t="array" ref="Z293">INDEX('Raw Data'!$A:$O,$F293,3)</f>
        <v>#NUM!</v>
      </c>
      <c r="AA293" t="e">
        <f t="array" ref="AA293">INDEX('Raw Data'!$A:$O,$F293,22)</f>
        <v>#NUM!</v>
      </c>
      <c r="AB293" t="e">
        <f t="array" ref="AB293">INDEX('Raw Data'!$A:$O,$F293,23)</f>
        <v>#NUM!</v>
      </c>
    </row>
    <row r="294" spans="1:44" x14ac:dyDescent="0.25">
      <c r="F294" t="e">
        <f t="array" ref="F294">SMALL(IF('Raw Data'!A:A=C283,ROW('Raw Data'!A:A)),ROW('Raw Data'!$11:$11))</f>
        <v>#NUM!</v>
      </c>
      <c r="G294" t="e">
        <f t="array" ref="G294">INDEX('Raw Data'!A:A,F294,9)</f>
        <v>#NUM!</v>
      </c>
      <c r="H294" t="e">
        <f t="array" ref="H294">INDEX('Raw Data'!A:A,F294,10)</f>
        <v>#NUM!</v>
      </c>
      <c r="I294" t="e">
        <f t="array" ref="I294">INDEX('Raw Data'!$A:A,$F294,11)</f>
        <v>#NUM!</v>
      </c>
      <c r="J294" t="e">
        <f t="array" ref="J294">INDEX('Raw Data'!$A:A,F294,12)</f>
        <v>#NUM!</v>
      </c>
      <c r="K294" t="e">
        <f t="array" ref="K294">(--INDEX('Raw Data'!$A$4:B$998,F294,4))</f>
        <v>#NUM!</v>
      </c>
      <c r="L294" t="e">
        <f t="array" ref="L294">(--INDEX('Raw Data'!$A$4:B$998,F294,5))</f>
        <v>#NUM!</v>
      </c>
      <c r="M294" t="e">
        <f t="array" ref="M294">(--INDEX('Raw Data'!$A$4:D$998,$F294,6))</f>
        <v>#NUM!</v>
      </c>
      <c r="N294" t="e">
        <f t="array" ref="N294">(--INDEX('Raw Data'!$A$4:D$998,$F294,7))</f>
        <v>#NUM!</v>
      </c>
      <c r="O294" t="e">
        <f t="array" ref="O294">IF(--INDEX('Raw Data'!$A$4:E$998,$F294,8)= 0, 1, 0)</f>
        <v>#NUM!</v>
      </c>
      <c r="P294" t="e">
        <f t="array" ref="P294">IF(--INDEX('Raw Data'!$A$4:F$998,$F294,8)= 1, 1, 0)</f>
        <v>#NUM!</v>
      </c>
      <c r="Q294" t="e">
        <f t="array" ref="Q294">IF(--INDEX('Raw Data'!$A$4:G$998,$F294,13)= 1, 1, 0)</f>
        <v>#NUM!</v>
      </c>
      <c r="R294" t="e">
        <f t="array" ref="R294">IF(--INDEX('Raw Data'!$A$4:H$998,$F294,14)= 1, 1, 0)</f>
        <v>#NUM!</v>
      </c>
      <c r="S294" t="e">
        <f t="array" ref="S294">IF(--INDEX('Raw Data'!$A$4:I$998,$F294,15)= 1, 1, 0)</f>
        <v>#NUM!</v>
      </c>
      <c r="T294" t="e">
        <f t="array" ref="T294">IF(--INDEX('Raw Data'!$A$4:I$998,$F294,15)= 1, 1, 0)</f>
        <v>#NUM!</v>
      </c>
      <c r="U294" t="e">
        <f t="array" ref="U294">IF(--INDEX('Raw Data'!$A$4:J$998,$F294,16)= 1, 1, 0)</f>
        <v>#NUM!</v>
      </c>
      <c r="V294" t="e">
        <f t="array" ref="V294">IF(--INDEX('Raw Data'!$A$4:K$998,$F294,17)= 1, 1, 0)</f>
        <v>#NUM!</v>
      </c>
      <c r="W294" t="e">
        <f t="array" ref="W294">INDEX('Raw Data'!$A:$O,$F294,19)</f>
        <v>#NUM!</v>
      </c>
      <c r="X294" t="e">
        <f t="array" ref="X294">INDEX('Raw Data'!$A:$O,$F294,20)</f>
        <v>#NUM!</v>
      </c>
      <c r="Y294" t="e">
        <f t="array" ref="Y294">INDEX('Raw Data'!$A:$O,F294,21)</f>
        <v>#NUM!</v>
      </c>
      <c r="Z294" t="e">
        <f t="array" ref="Z294">INDEX('Raw Data'!$A:$O,$F294,3)</f>
        <v>#NUM!</v>
      </c>
      <c r="AA294" t="e">
        <f t="array" ref="AA294">INDEX('Raw Data'!$A:$O,$F294,22)</f>
        <v>#NUM!</v>
      </c>
      <c r="AB294" t="e">
        <f t="array" ref="AB294">INDEX('Raw Data'!$A:$O,$F294,23)</f>
        <v>#NUM!</v>
      </c>
    </row>
    <row r="295" spans="1:44" x14ac:dyDescent="0.25">
      <c r="F295" t="e">
        <f t="array" ref="F295">SMALL(IF('Raw Data'!A:A=C283,ROW('Raw Data'!A:A)),ROW('Raw Data'!$12:$12))</f>
        <v>#NUM!</v>
      </c>
      <c r="G295" t="e">
        <f t="array" ref="G295">INDEX('Raw Data'!A:A,F295,9)</f>
        <v>#NUM!</v>
      </c>
      <c r="H295" t="e">
        <f t="array" ref="H295">INDEX('Raw Data'!A:A,F295,10)</f>
        <v>#NUM!</v>
      </c>
      <c r="I295" t="e">
        <f t="array" ref="I295">INDEX('Raw Data'!$A:A,$F295,11)</f>
        <v>#NUM!</v>
      </c>
      <c r="J295" t="e">
        <f t="array" ref="J295">INDEX('Raw Data'!$A:A,F295,12)</f>
        <v>#NUM!</v>
      </c>
      <c r="K295" t="e">
        <f t="array" ref="K295">(--INDEX('Raw Data'!$A$4:B$998,F295,4))</f>
        <v>#NUM!</v>
      </c>
      <c r="L295" t="e">
        <f t="array" ref="L295">(--INDEX('Raw Data'!$A$4:B$998,F295,5))</f>
        <v>#NUM!</v>
      </c>
      <c r="M295" t="e">
        <f t="array" ref="M295">(--INDEX('Raw Data'!$A$4:D$998,$F295,6))</f>
        <v>#NUM!</v>
      </c>
      <c r="N295" t="e">
        <f t="array" ref="N295">(--INDEX('Raw Data'!$A$4:D$998,$F295,7))</f>
        <v>#NUM!</v>
      </c>
      <c r="O295" t="e">
        <f t="array" ref="O295">IF(--INDEX('Raw Data'!$A$4:E$998,$F295,8)= 0, 1, 0)</f>
        <v>#NUM!</v>
      </c>
      <c r="P295" t="e">
        <f t="array" ref="P295">IF(--INDEX('Raw Data'!$A$4:F$998,$F295,8)= 1, 1, 0)</f>
        <v>#NUM!</v>
      </c>
      <c r="Q295" t="e">
        <f t="array" ref="Q295">IF(--INDEX('Raw Data'!$A$4:G$998,$F295,13)= 1, 1, 0)</f>
        <v>#NUM!</v>
      </c>
      <c r="R295" t="e">
        <f t="array" ref="R295">IF(--INDEX('Raw Data'!$A$4:H$998,$F295,14)= 1, 1, 0)</f>
        <v>#NUM!</v>
      </c>
      <c r="S295" t="e">
        <f t="array" ref="S295">IF(--INDEX('Raw Data'!$A$4:I$998,$F295,15)= 1, 1, 0)</f>
        <v>#NUM!</v>
      </c>
      <c r="T295" t="e">
        <f t="array" ref="T295">IF(--INDEX('Raw Data'!$A$4:I$998,$F295,15)= 1, 1, 0)</f>
        <v>#NUM!</v>
      </c>
      <c r="U295" t="e">
        <f t="array" ref="U295">IF(--INDEX('Raw Data'!$A$4:J$998,$F295,16)= 1, 1, 0)</f>
        <v>#NUM!</v>
      </c>
      <c r="V295" t="e">
        <f t="array" ref="V295">IF(--INDEX('Raw Data'!$A$4:K$998,$F295,17)= 1, 1, 0)</f>
        <v>#NUM!</v>
      </c>
      <c r="W295" t="e">
        <f t="array" ref="W295">INDEX('Raw Data'!$A:$O,$F295,19)</f>
        <v>#NUM!</v>
      </c>
      <c r="X295" t="e">
        <f t="array" ref="X295">INDEX('Raw Data'!$A:$O,$F295,20)</f>
        <v>#NUM!</v>
      </c>
      <c r="Y295" t="e">
        <f t="array" ref="Y295">INDEX('Raw Data'!$A:$O,F295,21)</f>
        <v>#NUM!</v>
      </c>
      <c r="Z295" t="e">
        <f t="array" ref="Z295">INDEX('Raw Data'!$A:$O,$F295,3)</f>
        <v>#NUM!</v>
      </c>
      <c r="AA295" t="e">
        <f t="array" ref="AA295">INDEX('Raw Data'!$A:$O,$F295,22)</f>
        <v>#NUM!</v>
      </c>
      <c r="AB295" t="e">
        <f t="array" ref="AB295">INDEX('Raw Data'!$A:$O,$F295,23)</f>
        <v>#NUM!</v>
      </c>
    </row>
    <row r="296" spans="1:44" x14ac:dyDescent="0.25">
      <c r="F296" t="e">
        <f t="array" ref="F296">SMALL(IF('Raw Data'!A:A=C283,ROW('Raw Data'!A:A)),ROW('Raw Data'!$13:$13))</f>
        <v>#NUM!</v>
      </c>
      <c r="G296" t="e">
        <f t="array" ref="G296">INDEX('Raw Data'!A:A,F296,9)</f>
        <v>#NUM!</v>
      </c>
      <c r="H296" t="e">
        <f t="array" ref="H296">INDEX('Raw Data'!A:A,F296,10)</f>
        <v>#NUM!</v>
      </c>
      <c r="I296" t="e">
        <f t="array" ref="I296">INDEX('Raw Data'!$A:A,$F296,11)</f>
        <v>#NUM!</v>
      </c>
      <c r="J296" t="e">
        <f t="array" ref="J296">INDEX('Raw Data'!$A:A,F296,12)</f>
        <v>#NUM!</v>
      </c>
      <c r="K296" t="e">
        <f t="array" ref="K296">(--INDEX('Raw Data'!$A$4:B$998,F296,4))</f>
        <v>#NUM!</v>
      </c>
      <c r="L296" t="e">
        <f t="array" ref="L296">(--INDEX('Raw Data'!$A$4:B$998,F296,5))</f>
        <v>#NUM!</v>
      </c>
      <c r="M296" t="e">
        <f t="array" ref="M296">(--INDEX('Raw Data'!$A$4:D$998,$F296,6))</f>
        <v>#NUM!</v>
      </c>
      <c r="N296" t="e">
        <f t="array" ref="N296">(--INDEX('Raw Data'!$A$4:D$998,$F296,7))</f>
        <v>#NUM!</v>
      </c>
      <c r="O296" t="e">
        <f t="array" ref="O296">IF(--INDEX('Raw Data'!$A$4:E$998,$F296,8)= 0, 1, 0)</f>
        <v>#NUM!</v>
      </c>
      <c r="P296" t="e">
        <f t="array" ref="P296">IF(--INDEX('Raw Data'!$A$4:F$998,$F296,8)= 1, 1, 0)</f>
        <v>#NUM!</v>
      </c>
      <c r="Q296" t="e">
        <f t="array" ref="Q296">IF(--INDEX('Raw Data'!$A$4:G$998,$F296,13)= 1, 1, 0)</f>
        <v>#NUM!</v>
      </c>
      <c r="R296" t="e">
        <f t="array" ref="R296">IF(--INDEX('Raw Data'!$A$4:H$998,$F296,14)= 1, 1, 0)</f>
        <v>#NUM!</v>
      </c>
      <c r="S296" t="e">
        <f t="array" ref="S296">IF(--INDEX('Raw Data'!$A$4:I$998,$F296,15)= 1, 1, 0)</f>
        <v>#NUM!</v>
      </c>
      <c r="T296" t="e">
        <f t="array" ref="T296">IF(--INDEX('Raw Data'!$A$4:I$998,$F296,15)= 1, 1, 0)</f>
        <v>#NUM!</v>
      </c>
      <c r="U296" t="e">
        <f t="array" ref="U296">IF(--INDEX('Raw Data'!$A$4:J$998,$F296,16)= 1, 1, 0)</f>
        <v>#NUM!</v>
      </c>
      <c r="V296" t="e">
        <f t="array" ref="V296">IF(--INDEX('Raw Data'!$A$4:K$998,$F296,17)= 1, 1, 0)</f>
        <v>#NUM!</v>
      </c>
      <c r="W296" t="e">
        <f t="array" ref="W296">INDEX('Raw Data'!$A:$O,$F296,19)</f>
        <v>#NUM!</v>
      </c>
      <c r="X296" t="e">
        <f t="array" ref="X296">INDEX('Raw Data'!$A:$O,$F296,20)</f>
        <v>#NUM!</v>
      </c>
      <c r="Y296" t="e">
        <f t="array" ref="Y296">INDEX('Raw Data'!$A:$O,F296,21)</f>
        <v>#NUM!</v>
      </c>
      <c r="Z296" t="e">
        <f t="array" ref="Z296">INDEX('Raw Data'!$A:$O,$F296,3)</f>
        <v>#NUM!</v>
      </c>
      <c r="AA296" t="e">
        <f t="array" ref="AA296">INDEX('Raw Data'!$A:$O,$F296,22)</f>
        <v>#NUM!</v>
      </c>
      <c r="AB296" t="e">
        <f t="array" ref="AB296">INDEX('Raw Data'!$A:$O,$F296,23)</f>
        <v>#NUM!</v>
      </c>
    </row>
    <row r="297" spans="1:44" x14ac:dyDescent="0.25">
      <c r="F297" t="e">
        <f t="array" ref="F297">SMALL(IF('Raw Data'!A:A=C283,ROW('Raw Data'!A:A)),ROW('Raw Data'!$14:$14))</f>
        <v>#NUM!</v>
      </c>
      <c r="G297" t="e">
        <f t="array" ref="G297">INDEX('Raw Data'!A:A,F297,9)</f>
        <v>#NUM!</v>
      </c>
      <c r="H297" t="e">
        <f t="array" ref="H297">INDEX('Raw Data'!A:A,F297,10)</f>
        <v>#NUM!</v>
      </c>
      <c r="I297" t="e">
        <f t="array" ref="I297">INDEX('Raw Data'!$A:A,$F297,11)</f>
        <v>#NUM!</v>
      </c>
      <c r="J297" t="e">
        <f t="array" ref="J297">INDEX('Raw Data'!$A:A,F297,12)</f>
        <v>#NUM!</v>
      </c>
      <c r="K297" t="e">
        <f t="array" ref="K297">(--INDEX('Raw Data'!$A$4:B$998,F297,4))</f>
        <v>#NUM!</v>
      </c>
      <c r="L297" t="e">
        <f t="array" ref="L297">(--INDEX('Raw Data'!$A$4:B$998,F297,5))</f>
        <v>#NUM!</v>
      </c>
      <c r="M297" t="e">
        <f t="array" ref="M297">(--INDEX('Raw Data'!$A$4:D$998,$F297,6))</f>
        <v>#NUM!</v>
      </c>
      <c r="N297" t="e">
        <f t="array" ref="N297">(--INDEX('Raw Data'!$A$4:D$998,$F297,7))</f>
        <v>#NUM!</v>
      </c>
      <c r="O297" t="e">
        <f t="array" ref="O297">IF(--INDEX('Raw Data'!$A$4:E$998,$F297,8)= 0, 1, 0)</f>
        <v>#NUM!</v>
      </c>
      <c r="P297" t="e">
        <f t="array" ref="P297">IF(--INDEX('Raw Data'!$A$4:F$998,$F297,8)= 1, 1, 0)</f>
        <v>#NUM!</v>
      </c>
      <c r="Q297" t="e">
        <f t="array" ref="Q297">IF(--INDEX('Raw Data'!$A$4:G$998,$F297,13)= 1, 1, 0)</f>
        <v>#NUM!</v>
      </c>
      <c r="R297" t="e">
        <f t="array" ref="R297">IF(--INDEX('Raw Data'!$A$4:H$998,$F297,14)= 1, 1, 0)</f>
        <v>#NUM!</v>
      </c>
      <c r="S297" t="e">
        <f t="array" ref="S297">IF(--INDEX('Raw Data'!$A$4:I$998,$F297,15)= 1, 1, 0)</f>
        <v>#NUM!</v>
      </c>
      <c r="T297" t="e">
        <f t="array" ref="T297">IF(--INDEX('Raw Data'!$A$4:I$998,$F297,15)= 1, 1, 0)</f>
        <v>#NUM!</v>
      </c>
      <c r="U297" t="e">
        <f t="array" ref="U297">IF(--INDEX('Raw Data'!$A$4:J$998,$F297,16)= 1, 1, 0)</f>
        <v>#NUM!</v>
      </c>
      <c r="V297" t="e">
        <f t="array" ref="V297">IF(--INDEX('Raw Data'!$A$4:K$998,$F297,17)= 1, 1, 0)</f>
        <v>#NUM!</v>
      </c>
      <c r="W297" t="e">
        <f t="array" ref="W297">INDEX('Raw Data'!$A:$O,$F297,19)</f>
        <v>#NUM!</v>
      </c>
      <c r="X297" t="e">
        <f t="array" ref="X297">INDEX('Raw Data'!$A:$O,$F297,20)</f>
        <v>#NUM!</v>
      </c>
      <c r="Y297" t="e">
        <f t="array" ref="Y297">INDEX('Raw Data'!$A:$O,F297,21)</f>
        <v>#NUM!</v>
      </c>
      <c r="Z297" t="e">
        <f t="array" ref="Z297">INDEX('Raw Data'!$A:$O,$F297,3)</f>
        <v>#NUM!</v>
      </c>
      <c r="AA297" t="e">
        <f t="array" ref="AA297">INDEX('Raw Data'!$A:$O,$F297,22)</f>
        <v>#NUM!</v>
      </c>
      <c r="AB297" t="e">
        <f t="array" ref="AB297">INDEX('Raw Data'!$A:$O,$F297,23)</f>
        <v>#NUM!</v>
      </c>
    </row>
    <row r="298" spans="1:44" x14ac:dyDescent="0.25">
      <c r="F298" t="e">
        <f t="array" ref="F298">SMALL(IF('Raw Data'!A:A=C283,ROW('Raw Data'!A:A)),ROW('Raw Data'!$15:$15))</f>
        <v>#NUM!</v>
      </c>
      <c r="G298" t="e">
        <f t="array" ref="G298">INDEX('Raw Data'!A:A,F298,9)</f>
        <v>#NUM!</v>
      </c>
      <c r="H298" t="e">
        <f t="array" ref="H298">INDEX('Raw Data'!A:A,F298,10)</f>
        <v>#NUM!</v>
      </c>
      <c r="I298" t="e">
        <f t="array" ref="I298">INDEX('Raw Data'!$A:A,$F298,11)</f>
        <v>#NUM!</v>
      </c>
      <c r="J298" t="e">
        <f t="array" ref="J298">INDEX('Raw Data'!$A:A,F298,12)</f>
        <v>#NUM!</v>
      </c>
      <c r="K298" t="e">
        <f t="array" ref="K298">(--INDEX('Raw Data'!$A$4:B$998,F298,4))</f>
        <v>#NUM!</v>
      </c>
      <c r="L298" t="e">
        <f t="array" ref="L298">(--INDEX('Raw Data'!$A$4:B$998,F298,5))</f>
        <v>#NUM!</v>
      </c>
      <c r="M298" t="e">
        <f t="array" ref="M298">(--INDEX('Raw Data'!$A$4:D$998,$F298,6))</f>
        <v>#NUM!</v>
      </c>
      <c r="N298" t="e">
        <f t="array" ref="N298">(--INDEX('Raw Data'!$A$4:D$998,$F298,7))</f>
        <v>#NUM!</v>
      </c>
      <c r="O298" t="e">
        <f t="array" ref="O298">IF(--INDEX('Raw Data'!$A$4:E$998,$F298,8)= 0, 1, 0)</f>
        <v>#NUM!</v>
      </c>
      <c r="P298" t="e">
        <f t="array" ref="P298">IF(--INDEX('Raw Data'!$A$4:F$998,$F298,8)= 1, 1, 0)</f>
        <v>#NUM!</v>
      </c>
      <c r="Q298" t="e">
        <f t="array" ref="Q298">IF(--INDEX('Raw Data'!$A$4:G$998,$F298,13)= 1, 1, 0)</f>
        <v>#NUM!</v>
      </c>
      <c r="R298" t="e">
        <f t="array" ref="R298">IF(--INDEX('Raw Data'!$A$4:H$998,$F298,14)= 1, 1, 0)</f>
        <v>#NUM!</v>
      </c>
      <c r="S298" t="e">
        <f t="array" ref="S298">IF(--INDEX('Raw Data'!$A$4:I$998,$F298,15)= 1, 1, 0)</f>
        <v>#NUM!</v>
      </c>
      <c r="T298" t="e">
        <f t="array" ref="T298">IF(--INDEX('Raw Data'!$A$4:I$998,$F298,15)= 1, 1, 0)</f>
        <v>#NUM!</v>
      </c>
      <c r="U298" t="e">
        <f t="array" ref="U298">IF(--INDEX('Raw Data'!$A$4:J$998,$F298,16)= 1, 1, 0)</f>
        <v>#NUM!</v>
      </c>
      <c r="V298" t="e">
        <f t="array" ref="V298">IF(--INDEX('Raw Data'!$A$4:K$998,$F298,17)= 1, 1, 0)</f>
        <v>#NUM!</v>
      </c>
      <c r="W298" t="e">
        <f t="array" ref="W298">INDEX('Raw Data'!$A:$O,$F298,19)</f>
        <v>#NUM!</v>
      </c>
      <c r="X298" t="e">
        <f t="array" ref="X298">INDEX('Raw Data'!$A:$O,$F298,20)</f>
        <v>#NUM!</v>
      </c>
      <c r="Y298" t="e">
        <f t="array" ref="Y298">INDEX('Raw Data'!$A:$O,F298,21)</f>
        <v>#NUM!</v>
      </c>
      <c r="Z298" t="e">
        <f t="array" ref="Z298">INDEX('Raw Data'!$A:$O,$F298,3)</f>
        <v>#NUM!</v>
      </c>
      <c r="AA298" t="e">
        <f t="array" ref="AA298">INDEX('Raw Data'!$A:$O,$F298,22)</f>
        <v>#NUM!</v>
      </c>
      <c r="AB298" t="e">
        <f t="array" ref="AB298">INDEX('Raw Data'!$A:$O,$F298,23)</f>
        <v>#NUM!</v>
      </c>
    </row>
    <row r="299" spans="1:44" x14ac:dyDescent="0.25">
      <c r="A299" t="s">
        <v>55</v>
      </c>
      <c r="C299" s="2" t="e">
        <f>B289/B288</f>
        <v>#DIV/0!</v>
      </c>
      <c r="F299">
        <f t="array" ref="F299">COUNTIF(F284:F298,"&gt;0")</f>
        <v>0</v>
      </c>
      <c r="G299">
        <f t="array" ref="G299">SUMIF(G284:G298,"&gt;0")</f>
        <v>0</v>
      </c>
      <c r="H299">
        <f t="array" ref="H299">SUMIF(H284:H298,"&gt;0")</f>
        <v>0</v>
      </c>
      <c r="I299">
        <f t="array" ref="I299">SUMIF(I284:I298,"&gt;0")</f>
        <v>0</v>
      </c>
      <c r="J299">
        <f t="array" ref="J299">SUMIF(J284:J298,"&gt;0")</f>
        <v>0</v>
      </c>
      <c r="K299">
        <f t="array" ref="K299">SUMIF(K284:K298,"&gt;0")</f>
        <v>0</v>
      </c>
      <c r="L299">
        <f t="array" ref="L299">SUMIF(L284:L298,"&gt;0")</f>
        <v>0</v>
      </c>
      <c r="M299">
        <f t="array" ref="M299">SUMIF(M284:M298,"&gt;0")</f>
        <v>0</v>
      </c>
      <c r="N299">
        <f t="array" ref="N299">SUMIF(N284:N298,"&gt;0")</f>
        <v>0</v>
      </c>
      <c r="O299">
        <f t="array" ref="O299">SUMIF(O284:O298,"&gt;0")</f>
        <v>0</v>
      </c>
      <c r="P299">
        <f t="array" ref="P299">SUMIF(P284:P298,"&gt;0")</f>
        <v>0</v>
      </c>
      <c r="Q299">
        <f t="array" ref="Q299">SUMIF(Q284:Q298,"&gt;0")</f>
        <v>0</v>
      </c>
      <c r="R299">
        <f t="array" ref="R299">SUMIF(R284:R298,"&gt;0")</f>
        <v>0</v>
      </c>
      <c r="S299">
        <f t="array" ref="S299">SUMIF(S284:S298,"&gt;0")</f>
        <v>0</v>
      </c>
      <c r="T299">
        <f t="array" ref="T299">SUMIF(T284:T298,"&gt;0")</f>
        <v>0</v>
      </c>
      <c r="U299">
        <f t="array" ref="U299">SUMIF(U284:U298,"&gt;0")</f>
        <v>0</v>
      </c>
      <c r="V299">
        <f t="array" ref="V299">SUMIF(V284:V298,"&gt;0")</f>
        <v>0</v>
      </c>
      <c r="W299">
        <f t="array" ref="W299">SUMIF(W284:W298,"&gt;0")</f>
        <v>0</v>
      </c>
      <c r="X299">
        <f t="array" ref="X299">SUMIF(X284:X298,"&gt;0")</f>
        <v>0</v>
      </c>
      <c r="Y299">
        <f t="array" ref="Y299">SUMIF(Y284:Y298,"&gt;0")</f>
        <v>0</v>
      </c>
      <c r="Z299">
        <f t="array" ref="Z299">SUMIF(Z284:Z298,"&gt;0")</f>
        <v>0</v>
      </c>
      <c r="AA299">
        <f t="array" ref="AA299">SUMIF(AA284:AA298,"&gt;0")</f>
        <v>0</v>
      </c>
      <c r="AB299">
        <f t="array" ref="AB299">SUMIF(AB284:AB298,"&gt;0")</f>
        <v>0</v>
      </c>
    </row>
    <row r="300" spans="1:44" x14ac:dyDescent="0.25">
      <c r="A300" t="s">
        <v>58</v>
      </c>
      <c r="C300" s="2">
        <f t="array" ref="C300">IF((K299+L299)&lt;&gt;0, (L299/(K299+L299)),0)</f>
        <v>0</v>
      </c>
      <c r="J300" s="6">
        <f t="array" ref="J300">J299*10</f>
        <v>0</v>
      </c>
      <c r="K300" s="6"/>
      <c r="P300" t="s">
        <v>95</v>
      </c>
      <c r="Q300" s="2" t="e">
        <f t="array" ref="Q300">Q299/$F299</f>
        <v>#DIV/0!</v>
      </c>
      <c r="R300" s="2" t="e">
        <f t="array" ref="R300">R299/$F299</f>
        <v>#DIV/0!</v>
      </c>
      <c r="S300" s="2" t="e">
        <f t="array" ref="S300">S299/$F299</f>
        <v>#DIV/0!</v>
      </c>
      <c r="T300" s="2" t="e">
        <f t="array" ref="T300">T299/$F299</f>
        <v>#DIV/0!</v>
      </c>
      <c r="U300" s="2" t="e">
        <f t="array" ref="U300">U299/$F299</f>
        <v>#DIV/0!</v>
      </c>
      <c r="V300" s="2" t="e">
        <f t="array" ref="V300">V299/$F299</f>
        <v>#DIV/0!</v>
      </c>
      <c r="W300" s="2" t="e">
        <f t="array" ref="W300">W299/$F299</f>
        <v>#DIV/0!</v>
      </c>
      <c r="X300" s="2" t="e">
        <f t="array" ref="X300">X299/$F299</f>
        <v>#DIV/0!</v>
      </c>
      <c r="Z300" s="2" t="e">
        <f t="array" ref="Z300">Z299/F299</f>
        <v>#DIV/0!</v>
      </c>
    </row>
    <row r="301" spans="1:44" x14ac:dyDescent="0.25">
      <c r="A301" t="s">
        <v>60</v>
      </c>
      <c r="C301" s="2">
        <f t="array" ref="C301">IF((M299+N299)&lt;&gt;0, (N299/(M299+N299)),0)</f>
        <v>0</v>
      </c>
      <c r="J301" s="6"/>
      <c r="K301" s="6"/>
      <c r="AR301" s="25"/>
    </row>
    <row r="302" spans="1:44" ht="28.5" x14ac:dyDescent="0.45">
      <c r="A302" t="s">
        <v>61</v>
      </c>
      <c r="C302" s="2">
        <f t="array" ref="C302">IF(((K299+N299+L299+M299)&lt;&gt;0), ((L299+N299)/(K299+N299+L299+M299)),0)</f>
        <v>0</v>
      </c>
      <c r="F302" s="17" t="s">
        <v>106</v>
      </c>
      <c r="G302" s="17" t="e">
        <f t="array" ref="G302">'Weighting &amp; Ranking Sheet'!$B$3*Math!$C300+'Weighting &amp; Ranking Sheet'!$B$4*Math!$C301+'Weighting &amp; Ranking Sheet'!$B$5*Math!$C302+'Weighting &amp; Ranking Sheet'!$B$6*Math!$C303+'Weighting &amp; Ranking Sheet'!$B$7*Math!$C287+'Weighting &amp; Ranking Sheet'!$B$8*Math!$C299+'Weighting &amp; Ranking Sheet'!$B$9*Math!$C306+'Weighting &amp; Ranking Sheet'!$B$10*Math!$C304+'Weighting &amp; Ranking Sheet'!$B$11*Math!$C305+'Weighting &amp; Ranking Sheet'!$B$12*Math!$C307*0.01+'Weighting &amp; Ranking Sheet'!$B$13*Math!$Q300+'Weighting &amp; Ranking Sheet'!$B$14*Math!$R300+'Weighting &amp; Ranking Sheet'!$B$15*Math!$S300+'Weighting &amp; Ranking Sheet'!$B$16*Math!$T300+'Weighting &amp; Ranking Sheet'!$B$17*Math!$U300+'Weighting &amp; Ranking Sheet'!$B$18*Math!$V300+'Weighting &amp; Ranking Sheet'!$B$2*Math!$Z300</f>
        <v>#DIV/0!</v>
      </c>
      <c r="J302"/>
      <c r="K302"/>
      <c r="AR302" s="25"/>
    </row>
    <row r="303" spans="1:44" x14ac:dyDescent="0.25">
      <c r="A303" t="s">
        <v>62</v>
      </c>
      <c r="C303" s="2">
        <f t="array" ref="C303">IF((O299+P299&lt;&gt;0),(P299/(O299+P299)), 0)</f>
        <v>0</v>
      </c>
      <c r="J303"/>
      <c r="K303"/>
      <c r="AR303" s="25"/>
    </row>
    <row r="304" spans="1:44" x14ac:dyDescent="0.25">
      <c r="A304" t="s">
        <v>77</v>
      </c>
      <c r="C304" s="8" t="e">
        <f t="array" ref="C304">W299/F299</f>
        <v>#DIV/0!</v>
      </c>
      <c r="J304"/>
      <c r="K304"/>
      <c r="AR304" s="23"/>
    </row>
    <row r="305" spans="1:44" x14ac:dyDescent="0.25">
      <c r="A305" t="s">
        <v>78</v>
      </c>
      <c r="C305" s="8" t="e">
        <f t="array" ref="C305">X299/F299</f>
        <v>#DIV/0!</v>
      </c>
      <c r="J305"/>
      <c r="K305"/>
    </row>
    <row r="306" spans="1:44" x14ac:dyDescent="0.25">
      <c r="A306" t="s">
        <v>91</v>
      </c>
      <c r="C306" s="2" t="e">
        <f t="array" ref="C306">(C287+C299)/2</f>
        <v>#DIV/0!</v>
      </c>
      <c r="J306"/>
      <c r="K306"/>
    </row>
    <row r="307" spans="1:44" x14ac:dyDescent="0.25">
      <c r="A307" t="s">
        <v>92</v>
      </c>
      <c r="C307" s="8" t="e">
        <f t="array" ref="C307">Y299/F299</f>
        <v>#DIV/0!</v>
      </c>
      <c r="J307"/>
      <c r="K307"/>
    </row>
    <row r="308" spans="1:44" x14ac:dyDescent="0.25">
      <c r="C308" s="8"/>
      <c r="J308" s="6"/>
      <c r="K308" s="6"/>
    </row>
    <row r="309" spans="1:44" x14ac:dyDescent="0.25">
      <c r="C309" s="8"/>
      <c r="J309" s="6"/>
      <c r="K309" s="6"/>
    </row>
    <row r="310" spans="1:44" x14ac:dyDescent="0.25">
      <c r="J310" s="6"/>
      <c r="K310" s="6"/>
    </row>
    <row r="311" spans="1:44" x14ac:dyDescent="0.25">
      <c r="A311" t="s">
        <v>3</v>
      </c>
      <c r="C311" s="5">
        <v>321</v>
      </c>
      <c r="F311" t="s">
        <v>15</v>
      </c>
    </row>
    <row r="312" spans="1:44" x14ac:dyDescent="0.25">
      <c r="F312" t="e">
        <f t="array" ref="F312">SMALL(IF('Raw Data'!A:A=C311,ROW('Raw Data'!A:A)),ROW('Raw Data'!$1:$1))</f>
        <v>#NUM!</v>
      </c>
      <c r="G312" t="e">
        <f t="array" ref="G312">INDEX('Raw Data'!A:A,F312,9)</f>
        <v>#NUM!</v>
      </c>
      <c r="H312" t="e">
        <f t="array" ref="H312">INDEX('Raw Data'!A:A,F312,10)</f>
        <v>#NUM!</v>
      </c>
      <c r="I312" t="e">
        <f t="array" ref="I312">INDEX('Raw Data'!$A:A,$F312,11)</f>
        <v>#NUM!</v>
      </c>
      <c r="J312" t="e">
        <f t="array" ref="J312">INDEX('Raw Data'!$A:A,F312,12)</f>
        <v>#NUM!</v>
      </c>
      <c r="K312" t="e">
        <f>(--INDEX('Raw Data'!$A$4:B$993,F312,4))</f>
        <v>#NUM!</v>
      </c>
      <c r="L312" t="e">
        <f t="array" ref="L312">(--INDEX('Raw Data'!$A$4:B$993,F312,5))</f>
        <v>#NUM!</v>
      </c>
      <c r="M312" t="e">
        <f t="array" ref="M312">(--INDEX('Raw Data'!$A$4:D$993,$F312,6))</f>
        <v>#NUM!</v>
      </c>
      <c r="N312" t="e">
        <f t="array" ref="N312">(--INDEX('Raw Data'!$A$4:D$993,$F312,7))</f>
        <v>#NUM!</v>
      </c>
      <c r="O312" t="e">
        <f t="array" ref="O312">IF(--INDEX('Raw Data'!$A$4:E$993,$F312,8)= 0, 1, 0)</f>
        <v>#NUM!</v>
      </c>
      <c r="P312" t="e">
        <f t="array" ref="P312">IF(--INDEX('Raw Data'!$A$4:F$993,$F312,8)= 1, 1, 0)</f>
        <v>#NUM!</v>
      </c>
      <c r="Q312" t="e">
        <f t="array" ref="Q312">IF(--INDEX('Raw Data'!$A$4:G$993,$F312,13)= 1, 1, 0)</f>
        <v>#NUM!</v>
      </c>
      <c r="R312" t="e">
        <f t="array" ref="R312">IF(--INDEX('Raw Data'!$A$4:H$993,$F312,14)= 1, 1, 0)</f>
        <v>#NUM!</v>
      </c>
      <c r="S312" t="e">
        <f t="array" ref="S312">IF(--INDEX('Raw Data'!$A$4:I$993,$F312,15)= 1, 1, 0)</f>
        <v>#NUM!</v>
      </c>
      <c r="T312" t="e">
        <f t="array" ref="T312">IF(--INDEX('Raw Data'!$A$4:I$993,$F312,15)= 1, 1, 0)</f>
        <v>#NUM!</v>
      </c>
      <c r="U312" t="e">
        <f t="array" ref="U312">IF(--INDEX('Raw Data'!$A$4:J$993,$F312,16)= 1, 1, 0)</f>
        <v>#NUM!</v>
      </c>
      <c r="V312" t="e">
        <f t="array" ref="V312">IF(--INDEX('Raw Data'!$A$4:K$993,$F312,17)= 1, 1, 0)</f>
        <v>#NUM!</v>
      </c>
      <c r="W312" t="e">
        <f t="array" ref="W312">INDEX('Raw Data'!$A:$O,$F312,19)</f>
        <v>#NUM!</v>
      </c>
      <c r="X312" t="e">
        <f t="array" ref="X312">INDEX('Raw Data'!$A:$O,$F312,20)</f>
        <v>#NUM!</v>
      </c>
      <c r="Y312" t="e">
        <f t="array" ref="Y312">INDEX('Raw Data'!$A:$O,F312,21)</f>
        <v>#NUM!</v>
      </c>
      <c r="Z312" t="e">
        <f t="array" ref="Z312">INDEX('Raw Data'!$A:$O,$F312,3)</f>
        <v>#NUM!</v>
      </c>
      <c r="AA312" t="e">
        <f t="array" ref="AA312">INDEX('Raw Data'!$A:$O,$F312,22)</f>
        <v>#NUM!</v>
      </c>
      <c r="AB312" t="e">
        <f t="array" ref="AB312">INDEX('Raw Data'!$A:$O,$F312,23)</f>
        <v>#NUM!</v>
      </c>
    </row>
    <row r="313" spans="1:44" x14ac:dyDescent="0.25">
      <c r="A313" t="s">
        <v>0</v>
      </c>
      <c r="B313">
        <f>G327</f>
        <v>0</v>
      </c>
      <c r="F313" t="e">
        <f t="array" ref="F313">SMALL(IF('Raw Data'!A:A=C311,ROW('Raw Data'!A:A)),ROW('Raw Data'!$2:$2))</f>
        <v>#NUM!</v>
      </c>
      <c r="G313" t="e">
        <f t="array" ref="G313">INDEX('Raw Data'!A:A,F313,9)</f>
        <v>#NUM!</v>
      </c>
      <c r="H313" t="e">
        <f t="array" ref="H313">INDEX('Raw Data'!A:A,F313,10)</f>
        <v>#NUM!</v>
      </c>
      <c r="I313" t="e">
        <f t="array" ref="I313">INDEX('Raw Data'!$A:A,$F313,11)</f>
        <v>#NUM!</v>
      </c>
      <c r="J313" t="e">
        <f t="array" ref="J313">INDEX('Raw Data'!$A:A,F313,12)</f>
        <v>#NUM!</v>
      </c>
      <c r="K313" t="e">
        <f>(--INDEX('Raw Data'!$A$4:B$993,F313,4))</f>
        <v>#NUM!</v>
      </c>
      <c r="L313" t="e">
        <f t="array" ref="L313">(--INDEX('Raw Data'!$A$4:B$993,F313,5))</f>
        <v>#NUM!</v>
      </c>
      <c r="M313" t="e">
        <f t="array" ref="M313">(--INDEX('Raw Data'!$A$4:D$993,$F313,6))</f>
        <v>#NUM!</v>
      </c>
      <c r="N313" t="e">
        <f t="array" ref="N313">(--INDEX('Raw Data'!$A$4:D$993,$F313,7))</f>
        <v>#NUM!</v>
      </c>
      <c r="O313" t="e">
        <f t="array" ref="O313">IF(--INDEX('Raw Data'!$A$4:E$993,$F313,8)= 0, 1, 0)</f>
        <v>#NUM!</v>
      </c>
      <c r="P313" t="e">
        <f t="array" ref="P313">IF(--INDEX('Raw Data'!$A$4:F$993,$F313,8)= 1, 1, 0)</f>
        <v>#NUM!</v>
      </c>
      <c r="Q313" t="e">
        <f t="array" ref="Q313">IF(--INDEX('Raw Data'!$A$4:G$993,$F313,13)= 1, 1, 0)</f>
        <v>#NUM!</v>
      </c>
      <c r="R313" t="e">
        <f t="array" ref="R313">IF(--INDEX('Raw Data'!$A$4:H$993,$F313,14)= 1, 1, 0)</f>
        <v>#NUM!</v>
      </c>
      <c r="S313" t="e">
        <f t="array" ref="S313">IF(--INDEX('Raw Data'!$A$4:I$993,$F313,15)= 1, 1, 0)</f>
        <v>#NUM!</v>
      </c>
      <c r="T313" t="e">
        <f t="array" ref="T313">IF(--INDEX('Raw Data'!$A$4:I$993,$F313,15)= 1, 1, 0)</f>
        <v>#NUM!</v>
      </c>
      <c r="U313" t="e">
        <f t="array" ref="U313">IF(--INDEX('Raw Data'!$A$4:J$993,$F313,16)= 1, 1, 0)</f>
        <v>#NUM!</v>
      </c>
      <c r="V313" t="e">
        <f t="array" ref="V313">IF(--INDEX('Raw Data'!$A$4:K$993,$F313,17)= 1, 1, 0)</f>
        <v>#NUM!</v>
      </c>
      <c r="W313" t="e">
        <f t="array" ref="W313">INDEX('Raw Data'!$A:$O,$F313,19)</f>
        <v>#NUM!</v>
      </c>
      <c r="X313" t="e">
        <f t="array" ref="X313">INDEX('Raw Data'!$A:$O,$F313,20)</f>
        <v>#NUM!</v>
      </c>
      <c r="Y313" t="e">
        <f t="array" ref="Y313">INDEX('Raw Data'!$A:$O,F313,21)</f>
        <v>#NUM!</v>
      </c>
      <c r="Z313" t="e">
        <f t="array" ref="Z313">INDEX('Raw Data'!$A:$O,$F313,3)</f>
        <v>#NUM!</v>
      </c>
      <c r="AA313" t="e">
        <f t="array" ref="AA313">INDEX('Raw Data'!$A:$O,$F313,22)</f>
        <v>#NUM!</v>
      </c>
      <c r="AB313" t="e">
        <f t="array" ref="AB313">INDEX('Raw Data'!$A:$O,$F313,23)</f>
        <v>#NUM!</v>
      </c>
    </row>
    <row r="314" spans="1:44" x14ac:dyDescent="0.25">
      <c r="A314" t="s">
        <v>1</v>
      </c>
      <c r="B314">
        <f>H327</f>
        <v>0</v>
      </c>
      <c r="F314" t="e">
        <f t="array" ref="F314">SMALL(IF('Raw Data'!A:A=C311,ROW('Raw Data'!A:A)),ROW('Raw Data'!$3:$3))</f>
        <v>#NUM!</v>
      </c>
      <c r="G314" t="e">
        <f t="array" ref="G314">INDEX('Raw Data'!A:A,F314,9)</f>
        <v>#NUM!</v>
      </c>
      <c r="H314" t="e">
        <f t="array" ref="H314">INDEX('Raw Data'!A:A,F314,10)</f>
        <v>#NUM!</v>
      </c>
      <c r="I314" t="e">
        <f t="array" ref="I314">INDEX('Raw Data'!$A:A,$F314,11)</f>
        <v>#NUM!</v>
      </c>
      <c r="J314" t="e">
        <f t="array" ref="J314">INDEX('Raw Data'!$A:A,F314,12)</f>
        <v>#NUM!</v>
      </c>
      <c r="K314" t="e">
        <f>(--INDEX('Raw Data'!$A$4:B$993,F314,4))</f>
        <v>#NUM!</v>
      </c>
      <c r="L314" t="e">
        <f t="array" ref="L314">(--INDEX('Raw Data'!$A$4:B$993,F314,5))</f>
        <v>#NUM!</v>
      </c>
      <c r="M314" t="e">
        <f t="array" ref="M314">(--INDEX('Raw Data'!$A$4:D$993,$F314,6))</f>
        <v>#NUM!</v>
      </c>
      <c r="N314" t="e">
        <f t="array" ref="N314">(--INDEX('Raw Data'!$A$4:D$993,$F314,7))</f>
        <v>#NUM!</v>
      </c>
      <c r="O314" t="e">
        <f t="array" ref="O314">IF(--INDEX('Raw Data'!$A$4:E$993,$F314,8)= 0, 1, 0)</f>
        <v>#NUM!</v>
      </c>
      <c r="P314" t="e">
        <f t="array" ref="P314">IF(--INDEX('Raw Data'!$A$4:F$993,$F314,8)= 1, 1, 0)</f>
        <v>#NUM!</v>
      </c>
      <c r="Q314" t="e">
        <f t="array" ref="Q314">IF(--INDEX('Raw Data'!$A$4:G$993,$F314,13)= 1, 1, 0)</f>
        <v>#NUM!</v>
      </c>
      <c r="R314" t="e">
        <f t="array" ref="R314">IF(--INDEX('Raw Data'!$A$4:H$993,$F314,14)= 1, 1, 0)</f>
        <v>#NUM!</v>
      </c>
      <c r="S314" t="e">
        <f t="array" ref="S314">IF(--INDEX('Raw Data'!$A$4:I$993,$F314,15)= 1, 1, 0)</f>
        <v>#NUM!</v>
      </c>
      <c r="T314" t="e">
        <f t="array" ref="T314">IF(--INDEX('Raw Data'!$A$4:I$993,$F314,15)= 1, 1, 0)</f>
        <v>#NUM!</v>
      </c>
      <c r="U314" t="e">
        <f t="array" ref="U314">IF(--INDEX('Raw Data'!$A$4:J$993,$F314,16)= 1, 1, 0)</f>
        <v>#NUM!</v>
      </c>
      <c r="V314" t="e">
        <f t="array" ref="V314">IF(--INDEX('Raw Data'!$A$4:K$993,$F314,17)= 1, 1, 0)</f>
        <v>#NUM!</v>
      </c>
      <c r="W314" t="e">
        <f t="array" ref="W314">INDEX('Raw Data'!$A:$O,$F314,19)</f>
        <v>#NUM!</v>
      </c>
      <c r="X314" t="e">
        <f t="array" ref="X314">INDEX('Raw Data'!$A:$O,$F314,20)</f>
        <v>#NUM!</v>
      </c>
      <c r="Y314" t="e">
        <f t="array" ref="Y314">INDEX('Raw Data'!$A:$O,F314,21)</f>
        <v>#NUM!</v>
      </c>
      <c r="Z314" t="e">
        <f t="array" ref="Z314">INDEX('Raw Data'!$A:$O,$F314,3)</f>
        <v>#NUM!</v>
      </c>
      <c r="AA314" t="e">
        <f t="array" ref="AA314">INDEX('Raw Data'!$A:$O,$F314,22)</f>
        <v>#NUM!</v>
      </c>
      <c r="AB314" t="e">
        <f t="array" ref="AB314">INDEX('Raw Data'!$A:$O,$F314,23)</f>
        <v>#NUM!</v>
      </c>
    </row>
    <row r="315" spans="1:44" x14ac:dyDescent="0.25">
      <c r="A315" t="s">
        <v>2</v>
      </c>
      <c r="C315" s="3" t="e">
        <f>B314/B313</f>
        <v>#DIV/0!</v>
      </c>
      <c r="F315" t="e">
        <f t="array" ref="F315">SMALL(IF('Raw Data'!A:A=C311,ROW('Raw Data'!A:A)),ROW('Raw Data'!$4:$4))</f>
        <v>#NUM!</v>
      </c>
      <c r="G315" t="e">
        <f t="array" ref="G315">INDEX('Raw Data'!A:A,F315,9)</f>
        <v>#NUM!</v>
      </c>
      <c r="H315" t="e">
        <f t="array" ref="H315">INDEX('Raw Data'!A:A,F315,10)</f>
        <v>#NUM!</v>
      </c>
      <c r="I315" t="e">
        <f t="array" ref="I315">INDEX('Raw Data'!$A:A,$F315,11)</f>
        <v>#NUM!</v>
      </c>
      <c r="J315" t="e">
        <f t="array" ref="J315">INDEX('Raw Data'!$A:A,F315,12)</f>
        <v>#NUM!</v>
      </c>
      <c r="K315" t="e">
        <f>(--INDEX('Raw Data'!$A$4:B$993,F315,4))</f>
        <v>#NUM!</v>
      </c>
      <c r="L315" t="e">
        <f t="array" ref="L315">(--INDEX('Raw Data'!$A$4:B$993,F315,5))</f>
        <v>#NUM!</v>
      </c>
      <c r="M315" t="e">
        <f t="array" ref="M315">(--INDEX('Raw Data'!$A$4:D$993,$F315,6))</f>
        <v>#NUM!</v>
      </c>
      <c r="N315" t="e">
        <f t="array" ref="N315">(--INDEX('Raw Data'!$A$4:D$993,$F315,7))</f>
        <v>#NUM!</v>
      </c>
      <c r="O315" t="e">
        <f t="array" ref="O315">IF(--INDEX('Raw Data'!$A$4:E$993,$F315,8)= 0, 1, 0)</f>
        <v>#NUM!</v>
      </c>
      <c r="P315" t="e">
        <f t="array" ref="P315">IF(--INDEX('Raw Data'!$A$4:F$993,$F315,8)= 1, 1, 0)</f>
        <v>#NUM!</v>
      </c>
      <c r="Q315" t="e">
        <f t="array" ref="Q315">IF(--INDEX('Raw Data'!$A$4:G$993,$F315,13)= 1, 1, 0)</f>
        <v>#NUM!</v>
      </c>
      <c r="R315" t="e">
        <f t="array" ref="R315">IF(--INDEX('Raw Data'!$A$4:H$993,$F315,14)= 1, 1, 0)</f>
        <v>#NUM!</v>
      </c>
      <c r="S315" t="e">
        <f t="array" ref="S315">IF(--INDEX('Raw Data'!$A$4:I$993,$F315,15)= 1, 1, 0)</f>
        <v>#NUM!</v>
      </c>
      <c r="T315" t="e">
        <f t="array" ref="T315">IF(--INDEX('Raw Data'!$A$4:I$993,$F315,15)= 1, 1, 0)</f>
        <v>#NUM!</v>
      </c>
      <c r="U315" t="e">
        <f t="array" ref="U315">IF(--INDEX('Raw Data'!$A$4:J$993,$F315,16)= 1, 1, 0)</f>
        <v>#NUM!</v>
      </c>
      <c r="V315" t="e">
        <f t="array" ref="V315">IF(--INDEX('Raw Data'!$A$4:K$993,$F315,17)= 1, 1, 0)</f>
        <v>#NUM!</v>
      </c>
      <c r="W315" t="e">
        <f t="array" ref="W315">INDEX('Raw Data'!$A:$O,$F315,19)</f>
        <v>#NUM!</v>
      </c>
      <c r="X315" t="e">
        <f t="array" ref="X315">INDEX('Raw Data'!$A:$O,$F315,20)</f>
        <v>#NUM!</v>
      </c>
      <c r="Y315" t="e">
        <f t="array" ref="Y315">INDEX('Raw Data'!$A:$O,F315,21)</f>
        <v>#NUM!</v>
      </c>
      <c r="Z315" t="e">
        <f t="array" ref="Z315">INDEX('Raw Data'!$A:$O,$F315,3)</f>
        <v>#NUM!</v>
      </c>
      <c r="AA315" t="e">
        <f t="array" ref="AA315">INDEX('Raw Data'!$A:$O,$F315,22)</f>
        <v>#NUM!</v>
      </c>
      <c r="AB315" t="e">
        <f t="array" ref="AB315">INDEX('Raw Data'!$A:$O,$F315,23)</f>
        <v>#NUM!</v>
      </c>
    </row>
    <row r="316" spans="1:44" x14ac:dyDescent="0.25">
      <c r="A316" t="s">
        <v>54</v>
      </c>
      <c r="B316">
        <f>I327</f>
        <v>0</v>
      </c>
      <c r="F316" t="e">
        <f t="array" ref="F316">SMALL(IF('Raw Data'!A:A=C311,ROW('Raw Data'!A:A)),ROW('Raw Data'!$5:$5))</f>
        <v>#NUM!</v>
      </c>
      <c r="G316" t="e">
        <f t="array" ref="G316">INDEX('Raw Data'!A:A,F316,9)</f>
        <v>#NUM!</v>
      </c>
      <c r="H316" t="e">
        <f t="array" ref="H316">INDEX('Raw Data'!A:A,F316,10)</f>
        <v>#NUM!</v>
      </c>
      <c r="I316" t="e">
        <f t="array" ref="I316">INDEX('Raw Data'!$A:A,$F316,11)</f>
        <v>#NUM!</v>
      </c>
      <c r="J316" t="e">
        <f t="array" ref="J316">INDEX('Raw Data'!$A:A,F316,12)</f>
        <v>#NUM!</v>
      </c>
      <c r="K316" t="e">
        <f>(--INDEX('Raw Data'!$A$4:B$993,F316,4))</f>
        <v>#NUM!</v>
      </c>
      <c r="L316" t="e">
        <f t="array" ref="L316">(--INDEX('Raw Data'!$A$4:B$993,F316,5))</f>
        <v>#NUM!</v>
      </c>
      <c r="M316" t="e">
        <f t="array" ref="M316">(--INDEX('Raw Data'!$A$4:D$993,$F316,6))</f>
        <v>#NUM!</v>
      </c>
      <c r="N316" t="e">
        <f t="array" ref="N316">(--INDEX('Raw Data'!$A$4:D$993,$F316,7))</f>
        <v>#NUM!</v>
      </c>
      <c r="O316" t="e">
        <f t="array" ref="O316">IF(--INDEX('Raw Data'!$A$4:E$993,$F316,8)= 0, 1, 0)</f>
        <v>#NUM!</v>
      </c>
      <c r="P316" t="e">
        <f t="array" ref="P316">IF(--INDEX('Raw Data'!$A$4:F$993,$F316,8)= 1, 1, 0)</f>
        <v>#NUM!</v>
      </c>
      <c r="Q316" t="e">
        <f t="array" ref="Q316">IF(--INDEX('Raw Data'!$A$4:G$993,$F316,13)= 1, 1, 0)</f>
        <v>#NUM!</v>
      </c>
      <c r="R316" t="e">
        <f t="array" ref="R316">IF(--INDEX('Raw Data'!$A$4:H$993,$F316,14)= 1, 1, 0)</f>
        <v>#NUM!</v>
      </c>
      <c r="S316" t="e">
        <f t="array" ref="S316">IF(--INDEX('Raw Data'!$A$4:I$993,$F316,15)= 1, 1, 0)</f>
        <v>#NUM!</v>
      </c>
      <c r="T316" t="e">
        <f t="array" ref="T316">IF(--INDEX('Raw Data'!$A$4:I$993,$F316,15)= 1, 1, 0)</f>
        <v>#NUM!</v>
      </c>
      <c r="U316" t="e">
        <f t="array" ref="U316">IF(--INDEX('Raw Data'!$A$4:J$993,$F316,16)= 1, 1, 0)</f>
        <v>#NUM!</v>
      </c>
      <c r="V316" t="e">
        <f t="array" ref="V316">IF(--INDEX('Raw Data'!$A$4:K$993,$F316,17)= 1, 1, 0)</f>
        <v>#NUM!</v>
      </c>
      <c r="W316" t="e">
        <f t="array" ref="W316">INDEX('Raw Data'!$A:$O,$F316,19)</f>
        <v>#NUM!</v>
      </c>
      <c r="X316" t="e">
        <f t="array" ref="X316">INDEX('Raw Data'!$A:$O,$F316,20)</f>
        <v>#NUM!</v>
      </c>
      <c r="Y316" t="e">
        <f t="array" ref="Y316">INDEX('Raw Data'!$A:$O,F316,21)</f>
        <v>#NUM!</v>
      </c>
      <c r="Z316" t="e">
        <f t="array" ref="Z316">INDEX('Raw Data'!$A:$O,$F316,3)</f>
        <v>#NUM!</v>
      </c>
      <c r="AA316" t="e">
        <f t="array" ref="AA316">INDEX('Raw Data'!$A:$O,$F316,22)</f>
        <v>#NUM!</v>
      </c>
      <c r="AB316" t="e">
        <f t="array" ref="AB316">INDEX('Raw Data'!$A:$O,$F316,23)</f>
        <v>#NUM!</v>
      </c>
      <c r="AR316" s="25"/>
    </row>
    <row r="317" spans="1:44" x14ac:dyDescent="0.25">
      <c r="A317" t="s">
        <v>35</v>
      </c>
      <c r="B317">
        <f>J327</f>
        <v>0</v>
      </c>
      <c r="F317" t="e">
        <f t="array" ref="F317">SMALL(IF('Raw Data'!A:A=C311,ROW('Raw Data'!A:A)),ROW('Raw Data'!$6:$6))</f>
        <v>#NUM!</v>
      </c>
      <c r="G317" t="e">
        <f t="array" ref="G317">INDEX('Raw Data'!A:A,F317,9)</f>
        <v>#NUM!</v>
      </c>
      <c r="H317" t="e">
        <f t="array" ref="H317">INDEX('Raw Data'!A:A,F317,10)</f>
        <v>#NUM!</v>
      </c>
      <c r="I317" t="e">
        <f t="array" ref="I317">INDEX('Raw Data'!$A:A,$F317,11)</f>
        <v>#NUM!</v>
      </c>
      <c r="J317" t="e">
        <f t="array" ref="J317">INDEX('Raw Data'!$A:A,F317,12)</f>
        <v>#NUM!</v>
      </c>
      <c r="K317" t="e">
        <f>(--INDEX('Raw Data'!$A$4:B$993,F317,4))</f>
        <v>#NUM!</v>
      </c>
      <c r="L317" t="e">
        <f t="array" ref="L317">(--INDEX('Raw Data'!$A$4:B$998,F317,5))</f>
        <v>#NUM!</v>
      </c>
      <c r="M317" t="e">
        <f t="array" ref="M317">(--INDEX('Raw Data'!$A$4:D$998,$F317,6))</f>
        <v>#NUM!</v>
      </c>
      <c r="N317" t="e">
        <f t="array" ref="N317">(--INDEX('Raw Data'!$A$4:D$993,$F317,7))</f>
        <v>#NUM!</v>
      </c>
      <c r="O317" t="e">
        <f t="array" ref="O317">IF(--INDEX('Raw Data'!$A$4:E$993,$F317,8)= 0, 1, 0)</f>
        <v>#NUM!</v>
      </c>
      <c r="P317" t="e">
        <f t="array" ref="P317">IF(--INDEX('Raw Data'!$A$4:F$998,$F317,8)= 1, 1, 0)</f>
        <v>#NUM!</v>
      </c>
      <c r="Q317" t="e">
        <f t="array" ref="Q317">IF(--INDEX('Raw Data'!$A$4:G$998,$F317,13)= 1, 1, 0)</f>
        <v>#NUM!</v>
      </c>
      <c r="R317" t="e">
        <f t="array" ref="R317">IF(--INDEX('Raw Data'!$A$4:H$998,$F317,14)= 1, 1, 0)</f>
        <v>#NUM!</v>
      </c>
      <c r="S317" t="e">
        <f t="array" ref="S317">IF(--INDEX('Raw Data'!$A$4:I$993,$F317,15)= 1, 1, 0)</f>
        <v>#NUM!</v>
      </c>
      <c r="T317" t="e">
        <f t="array" ref="T317">IF(--INDEX('Raw Data'!$A$4:I$998,$F317,15)= 1, 1, 0)</f>
        <v>#NUM!</v>
      </c>
      <c r="U317" t="e">
        <f t="array" ref="U317">IF(--INDEX('Raw Data'!$A$4:J$998,$F317,16)= 1, 1, 0)</f>
        <v>#NUM!</v>
      </c>
      <c r="V317" t="e">
        <f t="array" ref="V317">IF(--INDEX('Raw Data'!$A$4:K$993,$F317,17)= 1, 1, 0)</f>
        <v>#NUM!</v>
      </c>
      <c r="W317" t="e">
        <f t="array" ref="W317">INDEX('Raw Data'!$A:$O,$F317,19)</f>
        <v>#NUM!</v>
      </c>
      <c r="X317" t="e">
        <f t="array" ref="X317">INDEX('Raw Data'!$A:$O,$F317,20)</f>
        <v>#NUM!</v>
      </c>
      <c r="Y317" t="e">
        <f t="array" ref="Y317">INDEX('Raw Data'!$A:$O,F317,21)</f>
        <v>#NUM!</v>
      </c>
      <c r="Z317" t="e">
        <f t="array" ref="Z317">INDEX('Raw Data'!$A:$O,$F317,3)</f>
        <v>#NUM!</v>
      </c>
      <c r="AA317" t="e">
        <f t="array" ref="AA317">INDEX('Raw Data'!$A:$O,$F317,22)</f>
        <v>#NUM!</v>
      </c>
      <c r="AB317" t="e">
        <f t="array" ref="AB317">INDEX('Raw Data'!$A:$O,$F317,23)</f>
        <v>#NUM!</v>
      </c>
      <c r="AR317" s="25"/>
    </row>
    <row r="318" spans="1:44" ht="28.5" x14ac:dyDescent="0.45">
      <c r="F318" t="e">
        <f t="array" ref="F318">SMALL(IF('Raw Data'!A:A=C311,ROW('Raw Data'!A:A)),ROW('Raw Data'!$7:$7))</f>
        <v>#NUM!</v>
      </c>
      <c r="G318" t="e">
        <f t="array" ref="G318">INDEX('Raw Data'!A:A,F318,9)</f>
        <v>#NUM!</v>
      </c>
      <c r="H318" t="e">
        <f t="array" ref="H318">INDEX('Raw Data'!A:A,F318,10)</f>
        <v>#NUM!</v>
      </c>
      <c r="I318" t="e">
        <f t="array" ref="I318">INDEX('Raw Data'!$A:A,$F318,11)</f>
        <v>#NUM!</v>
      </c>
      <c r="J318" t="e">
        <f t="array" ref="J318">INDEX('Raw Data'!$A:A,F318,12)</f>
        <v>#NUM!</v>
      </c>
      <c r="K318" t="e">
        <f t="array" ref="K318">(--INDEX('Raw Data'!$A$4:B$998,F318,4))</f>
        <v>#NUM!</v>
      </c>
      <c r="L318" t="e">
        <f t="array" ref="L318">(--INDEX('Raw Data'!$A$4:B$998,F318,5))</f>
        <v>#NUM!</v>
      </c>
      <c r="M318" t="e">
        <f t="array" ref="M318">(--INDEX('Raw Data'!$A$4:D$998,$F318,6))</f>
        <v>#NUM!</v>
      </c>
      <c r="N318" t="e">
        <f t="array" ref="N318">(--INDEX('Raw Data'!$A$4:D$998,$F318,7))</f>
        <v>#NUM!</v>
      </c>
      <c r="O318" t="e">
        <f t="array" ref="O318">IF(--INDEX('Raw Data'!$A$4:E$998,$F318,8)= 0, 1, 0)</f>
        <v>#NUM!</v>
      </c>
      <c r="P318" t="e">
        <f t="array" ref="P318">IF(--INDEX('Raw Data'!$A$4:F$998,$F318,8)= 1, 1, 0)</f>
        <v>#NUM!</v>
      </c>
      <c r="Q318" t="e">
        <f t="array" ref="Q318">IF(--INDEX('Raw Data'!$A$4:G$998,$F318,13)= 1, 1, 0)</f>
        <v>#NUM!</v>
      </c>
      <c r="R318" t="e">
        <f t="array" ref="R318">IF(--INDEX('Raw Data'!$A$4:H$998,$F318,14)= 1, 1, 0)</f>
        <v>#NUM!</v>
      </c>
      <c r="S318" t="e">
        <f t="array" ref="S318">IF(--INDEX('Raw Data'!$A$4:I$998,$F318,15)= 1, 1, 0)</f>
        <v>#NUM!</v>
      </c>
      <c r="T318" t="e">
        <f t="array" ref="T318">IF(--INDEX('Raw Data'!$A$4:I$998,$F318,15)= 1, 1, 0)</f>
        <v>#NUM!</v>
      </c>
      <c r="U318" t="e">
        <f t="array" ref="U318">IF(--INDEX('Raw Data'!$A$4:J$998,$F318,16)= 1, 1, 0)</f>
        <v>#NUM!</v>
      </c>
      <c r="V318" t="e">
        <f t="array" ref="V318">IF(--INDEX('Raw Data'!$A$4:K$998,$F318,17)= 1, 1, 0)</f>
        <v>#NUM!</v>
      </c>
      <c r="W318" t="e">
        <f t="array" ref="W318">INDEX('Raw Data'!$A:$O,$F318,19)</f>
        <v>#NUM!</v>
      </c>
      <c r="X318" t="e">
        <f t="array" ref="X318">INDEX('Raw Data'!$A:$O,$F318,20)</f>
        <v>#NUM!</v>
      </c>
      <c r="Y318" t="e">
        <f t="array" ref="Y318">INDEX('Raw Data'!$A:$O,F318,21)</f>
        <v>#NUM!</v>
      </c>
      <c r="Z318" t="e">
        <f t="array" ref="Z318">INDEX('Raw Data'!$A:$O,$F318,3)</f>
        <v>#NUM!</v>
      </c>
      <c r="AA318" t="e">
        <f t="array" ref="AA318">INDEX('Raw Data'!$A:$O,$F318,22)</f>
        <v>#NUM!</v>
      </c>
      <c r="AB318" t="e">
        <f t="array" ref="AB318">INDEX('Raw Data'!$A:$O,$F318,23)</f>
        <v>#NUM!</v>
      </c>
      <c r="AM318" s="21"/>
    </row>
    <row r="319" spans="1:44" x14ac:dyDescent="0.25">
      <c r="F319" t="e">
        <f t="array" ref="F319">SMALL(IF('Raw Data'!A:A=C311,ROW('Raw Data'!A:A)),ROW('Raw Data'!$8:$8))</f>
        <v>#NUM!</v>
      </c>
      <c r="G319" t="e">
        <f t="array" ref="G319">INDEX('Raw Data'!A:A,F319,9)</f>
        <v>#NUM!</v>
      </c>
      <c r="H319" t="e">
        <f t="array" ref="H319">INDEX('Raw Data'!A:A,F319,10)</f>
        <v>#NUM!</v>
      </c>
      <c r="I319" t="e">
        <f t="array" ref="I319">INDEX('Raw Data'!$A:A,$F319,11)</f>
        <v>#NUM!</v>
      </c>
      <c r="J319" t="e">
        <f t="array" ref="J319">INDEX('Raw Data'!$A:A,F319,12)</f>
        <v>#NUM!</v>
      </c>
      <c r="K319" t="e">
        <f t="array" ref="K319">(--INDEX('Raw Data'!$A$4:B$998,F319,4))</f>
        <v>#NUM!</v>
      </c>
      <c r="L319" t="e">
        <f t="array" ref="L319">(--INDEX('Raw Data'!$A$4:B$998,F319,5))</f>
        <v>#NUM!</v>
      </c>
      <c r="M319" t="e">
        <f t="array" ref="M319">(--INDEX('Raw Data'!$A$4:D$998,$F319,6))</f>
        <v>#NUM!</v>
      </c>
      <c r="N319" t="e">
        <f t="array" ref="N319">(--INDEX('Raw Data'!$A$4:D$998,$F319,7))</f>
        <v>#NUM!</v>
      </c>
      <c r="O319" t="e">
        <f t="array" ref="O319">IF(--INDEX('Raw Data'!$A$4:E$998,$F319,8)= 0, 1, 0)</f>
        <v>#NUM!</v>
      </c>
      <c r="P319" t="e">
        <f t="array" ref="P319">IF(--INDEX('Raw Data'!$A$4:F$998,$F319,8)= 1, 1, 0)</f>
        <v>#NUM!</v>
      </c>
      <c r="Q319" t="e">
        <f t="array" ref="Q319">IF(--INDEX('Raw Data'!$A$4:G$998,$F319,13)= 1, 1, 0)</f>
        <v>#NUM!</v>
      </c>
      <c r="R319" t="e">
        <f t="array" ref="R319">IF(--INDEX('Raw Data'!$A$4:H$998,$F319,14)= 1, 1, 0)</f>
        <v>#NUM!</v>
      </c>
      <c r="S319" t="e">
        <f t="array" ref="S319">IF(--INDEX('Raw Data'!$A$4:I$998,$F319,15)= 1, 1, 0)</f>
        <v>#NUM!</v>
      </c>
      <c r="T319" t="e">
        <f t="array" ref="T319">IF(--INDEX('Raw Data'!$A$4:I$998,$F319,15)= 1, 1, 0)</f>
        <v>#NUM!</v>
      </c>
      <c r="U319" t="e">
        <f t="array" ref="U319">IF(--INDEX('Raw Data'!$A$4:J$998,$F319,16)= 1, 1, 0)</f>
        <v>#NUM!</v>
      </c>
      <c r="V319" t="e">
        <f t="array" ref="V319">IF(--INDEX('Raw Data'!$A$4:K$998,$F319,17)= 1, 1, 0)</f>
        <v>#NUM!</v>
      </c>
      <c r="W319" t="e">
        <f t="array" ref="W319">INDEX('Raw Data'!$A:$O,$F319,19)</f>
        <v>#NUM!</v>
      </c>
      <c r="X319" t="e">
        <f t="array" ref="X319">INDEX('Raw Data'!$A:$O,$F319,20)</f>
        <v>#NUM!</v>
      </c>
      <c r="Y319" t="e">
        <f t="array" ref="Y319">INDEX('Raw Data'!$A:$O,F319,21)</f>
        <v>#NUM!</v>
      </c>
      <c r="Z319" t="e">
        <f t="array" ref="Z319">INDEX('Raw Data'!$A:$O,$F319,3)</f>
        <v>#NUM!</v>
      </c>
      <c r="AA319" t="e">
        <f t="array" ref="AA319">INDEX('Raw Data'!$A:$O,$F319,22)</f>
        <v>#NUM!</v>
      </c>
      <c r="AB319" t="e">
        <f t="array" ref="AB319">INDEX('Raw Data'!$A:$O,$F319,23)</f>
        <v>#NUM!</v>
      </c>
    </row>
    <row r="320" spans="1:44" x14ac:dyDescent="0.25">
      <c r="F320" t="e">
        <f t="array" ref="F320">SMALL(IF('Raw Data'!A:A=C311,ROW('Raw Data'!A:A)),ROW('Raw Data'!$9:$9))</f>
        <v>#NUM!</v>
      </c>
      <c r="G320" t="e">
        <f t="array" ref="G320">INDEX('Raw Data'!A:A,F320,9)</f>
        <v>#NUM!</v>
      </c>
      <c r="H320" t="e">
        <f t="array" ref="H320">INDEX('Raw Data'!A:A,F320,10)</f>
        <v>#NUM!</v>
      </c>
      <c r="I320" t="e">
        <f t="array" ref="I320">INDEX('Raw Data'!$A:A,$F320,11)</f>
        <v>#NUM!</v>
      </c>
      <c r="J320" t="e">
        <f t="array" ref="J320">INDEX('Raw Data'!$A:A,F320,12)</f>
        <v>#NUM!</v>
      </c>
      <c r="K320" t="e">
        <f t="array" ref="K320">(--INDEX('Raw Data'!$A$4:B$998,F320,4))</f>
        <v>#NUM!</v>
      </c>
      <c r="L320" t="e">
        <f t="array" ref="L320">(--INDEX('Raw Data'!$A$4:B$998,F320,5))</f>
        <v>#NUM!</v>
      </c>
      <c r="M320" t="e">
        <f t="array" ref="M320">(--INDEX('Raw Data'!$A$4:D$998,$F320,6))</f>
        <v>#NUM!</v>
      </c>
      <c r="N320" t="e">
        <f t="array" ref="N320">(--INDEX('Raw Data'!$A$4:D$998,$F320,7))</f>
        <v>#NUM!</v>
      </c>
      <c r="O320" t="e">
        <f t="array" ref="O320">IF(--INDEX('Raw Data'!$A$4:E$998,$F320,8)= 0, 1, 0)</f>
        <v>#NUM!</v>
      </c>
      <c r="P320" t="e">
        <f t="array" ref="P320">IF(--INDEX('Raw Data'!$A$4:F$998,$F320,8)= 1, 1, 0)</f>
        <v>#NUM!</v>
      </c>
      <c r="Q320" t="e">
        <f t="array" ref="Q320">IF(--INDEX('Raw Data'!$A$4:G$998,$F320,13)= 1, 1, 0)</f>
        <v>#NUM!</v>
      </c>
      <c r="R320" t="e">
        <f t="array" ref="R320">IF(--INDEX('Raw Data'!$A$4:H$998,$F320,14)= 1, 1, 0)</f>
        <v>#NUM!</v>
      </c>
      <c r="S320" t="e">
        <f t="array" ref="S320">IF(--INDEX('Raw Data'!$A$4:I$998,$F320,15)= 1, 1, 0)</f>
        <v>#NUM!</v>
      </c>
      <c r="T320" t="e">
        <f t="array" ref="T320">IF(--INDEX('Raw Data'!$A$4:I$998,$F320,15)= 1, 1, 0)</f>
        <v>#NUM!</v>
      </c>
      <c r="U320" t="e">
        <f t="array" ref="U320">IF(--INDEX('Raw Data'!$A$4:J$998,$F320,16)= 1, 1, 0)</f>
        <v>#NUM!</v>
      </c>
      <c r="V320" t="e">
        <f t="array" ref="V320">IF(--INDEX('Raw Data'!$A$4:K$998,$F320,17)= 1, 1, 0)</f>
        <v>#NUM!</v>
      </c>
      <c r="W320" t="e">
        <f t="array" ref="W320">INDEX('Raw Data'!$A:$O,$F320,19)</f>
        <v>#NUM!</v>
      </c>
      <c r="X320" t="e">
        <f t="array" ref="X320">INDEX('Raw Data'!$A:$O,$F320,20)</f>
        <v>#NUM!</v>
      </c>
      <c r="Y320" t="e">
        <f t="array" ref="Y320">INDEX('Raw Data'!$A:$O,F320,21)</f>
        <v>#NUM!</v>
      </c>
      <c r="Z320" t="e">
        <f t="array" ref="Z320">INDEX('Raw Data'!$A:$O,$F320,3)</f>
        <v>#NUM!</v>
      </c>
      <c r="AA320" t="e">
        <f t="array" ref="AA320">INDEX('Raw Data'!$A:$O,$F320,22)</f>
        <v>#NUM!</v>
      </c>
      <c r="AB320" t="e">
        <f t="array" ref="AB320">INDEX('Raw Data'!$A:$O,$F320,23)</f>
        <v>#NUM!</v>
      </c>
    </row>
    <row r="321" spans="1:44" x14ac:dyDescent="0.25">
      <c r="F321" t="e">
        <f t="array" ref="F321">SMALL(IF('Raw Data'!A:A=C311,ROW('Raw Data'!A:A)),ROW('Raw Data'!$10:$10))</f>
        <v>#NUM!</v>
      </c>
      <c r="G321" t="e">
        <f t="array" ref="G321">INDEX('Raw Data'!A:A,F321,9)</f>
        <v>#NUM!</v>
      </c>
      <c r="H321" t="e">
        <f t="array" ref="H321">INDEX('Raw Data'!A:A,F321,10)</f>
        <v>#NUM!</v>
      </c>
      <c r="I321" t="e">
        <f t="array" ref="I321">INDEX('Raw Data'!$A:A,$F321,11)</f>
        <v>#NUM!</v>
      </c>
      <c r="J321" t="e">
        <f t="array" ref="J321">INDEX('Raw Data'!$A:A,F321,12)</f>
        <v>#NUM!</v>
      </c>
      <c r="K321" t="e">
        <f t="array" ref="K321">(--INDEX('Raw Data'!$A$4:B$998,F321,4))</f>
        <v>#NUM!</v>
      </c>
      <c r="L321" t="e">
        <f t="array" ref="L321">(--INDEX('Raw Data'!$A$4:B$998,F321,5))</f>
        <v>#NUM!</v>
      </c>
      <c r="M321" t="e">
        <f t="array" ref="M321">(--INDEX('Raw Data'!$A$4:D$998,$F321,6))</f>
        <v>#NUM!</v>
      </c>
      <c r="N321" t="e">
        <f t="array" ref="N321">(--INDEX('Raw Data'!$A$4:D$998,$F321,7))</f>
        <v>#NUM!</v>
      </c>
      <c r="O321" t="e">
        <f t="array" ref="O321">IF(--INDEX('Raw Data'!$A$4:E$998,$F321,8)= 0, 1, 0)</f>
        <v>#NUM!</v>
      </c>
      <c r="P321" t="e">
        <f t="array" ref="P321">IF(--INDEX('Raw Data'!$A$4:F$998,$F321,8)= 1, 1, 0)</f>
        <v>#NUM!</v>
      </c>
      <c r="Q321" t="e">
        <f t="array" ref="Q321">IF(--INDEX('Raw Data'!$A$4:G$998,$F321,13)= 1, 1, 0)</f>
        <v>#NUM!</v>
      </c>
      <c r="R321" t="e">
        <f t="array" ref="R321">IF(--INDEX('Raw Data'!$A$4:H$998,$F321,14)= 1, 1, 0)</f>
        <v>#NUM!</v>
      </c>
      <c r="S321" t="e">
        <f t="array" ref="S321">IF(--INDEX('Raw Data'!$A$4:I$998,$F321,15)= 1, 1, 0)</f>
        <v>#NUM!</v>
      </c>
      <c r="T321" t="e">
        <f t="array" ref="T321">IF(--INDEX('Raw Data'!$A$4:I$998,$F321,15)= 1, 1, 0)</f>
        <v>#NUM!</v>
      </c>
      <c r="U321" t="e">
        <f t="array" ref="U321">IF(--INDEX('Raw Data'!$A$4:J$998,$F321,16)= 1, 1, 0)</f>
        <v>#NUM!</v>
      </c>
      <c r="V321" t="e">
        <f t="array" ref="V321">IF(--INDEX('Raw Data'!$A$4:K$998,$F321,17)= 1, 1, 0)</f>
        <v>#NUM!</v>
      </c>
      <c r="W321" t="e">
        <f t="array" ref="W321">INDEX('Raw Data'!$A:$O,$F321,19)</f>
        <v>#NUM!</v>
      </c>
      <c r="X321" t="e">
        <f t="array" ref="X321">INDEX('Raw Data'!$A:$O,$F321,20)</f>
        <v>#NUM!</v>
      </c>
      <c r="Y321" t="e">
        <f t="array" ref="Y321">INDEX('Raw Data'!$A:$O,F321,21)</f>
        <v>#NUM!</v>
      </c>
      <c r="Z321" t="e">
        <f t="array" ref="Z321">INDEX('Raw Data'!$A:$O,$F321,3)</f>
        <v>#NUM!</v>
      </c>
      <c r="AA321" t="e">
        <f t="array" ref="AA321">INDEX('Raw Data'!$A:$O,$F321,22)</f>
        <v>#NUM!</v>
      </c>
      <c r="AB321" t="e">
        <f t="array" ref="AB321">INDEX('Raw Data'!$A:$O,$F321,23)</f>
        <v>#NUM!</v>
      </c>
    </row>
    <row r="322" spans="1:44" x14ac:dyDescent="0.25">
      <c r="F322" t="e">
        <f t="array" ref="F322">SMALL(IF('Raw Data'!A:A=C311,ROW('Raw Data'!A:A)),ROW('Raw Data'!$11:$11))</f>
        <v>#NUM!</v>
      </c>
      <c r="G322" t="e">
        <f t="array" ref="G322">INDEX('Raw Data'!A:A,F322,9)</f>
        <v>#NUM!</v>
      </c>
      <c r="H322" t="e">
        <f t="array" ref="H322">INDEX('Raw Data'!A:A,F322,10)</f>
        <v>#NUM!</v>
      </c>
      <c r="I322" t="e">
        <f t="array" ref="I322">INDEX('Raw Data'!$A:A,$F322,11)</f>
        <v>#NUM!</v>
      </c>
      <c r="J322" t="e">
        <f t="array" ref="J322">INDEX('Raw Data'!$A:A,F322,12)</f>
        <v>#NUM!</v>
      </c>
      <c r="K322" t="e">
        <f t="array" ref="K322">(--INDEX('Raw Data'!$A$4:B$998,F322,4))</f>
        <v>#NUM!</v>
      </c>
      <c r="L322" t="e">
        <f t="array" ref="L322">(--INDEX('Raw Data'!$A$4:B$998,F322,5))</f>
        <v>#NUM!</v>
      </c>
      <c r="M322" t="e">
        <f t="array" ref="M322">(--INDEX('Raw Data'!$A$4:D$998,$F322,6))</f>
        <v>#NUM!</v>
      </c>
      <c r="N322" t="e">
        <f t="array" ref="N322">(--INDEX('Raw Data'!$A$4:D$998,$F322,7))</f>
        <v>#NUM!</v>
      </c>
      <c r="O322" t="e">
        <f t="array" ref="O322">IF(--INDEX('Raw Data'!$A$4:E$998,$F322,8)= 0, 1, 0)</f>
        <v>#NUM!</v>
      </c>
      <c r="P322" t="e">
        <f t="array" ref="P322">IF(--INDEX('Raw Data'!$A$4:F$998,$F322,8)= 1, 1, 0)</f>
        <v>#NUM!</v>
      </c>
      <c r="Q322" t="e">
        <f t="array" ref="Q322">IF(--INDEX('Raw Data'!$A$4:G$998,$F322,13)= 1, 1, 0)</f>
        <v>#NUM!</v>
      </c>
      <c r="R322" t="e">
        <f t="array" ref="R322">IF(--INDEX('Raw Data'!$A$4:H$998,$F322,14)= 1, 1, 0)</f>
        <v>#NUM!</v>
      </c>
      <c r="S322" t="e">
        <f t="array" ref="S322">IF(--INDEX('Raw Data'!$A$4:I$998,$F322,15)= 1, 1, 0)</f>
        <v>#NUM!</v>
      </c>
      <c r="T322" t="e">
        <f t="array" ref="T322">IF(--INDEX('Raw Data'!$A$4:I$998,$F322,15)= 1, 1, 0)</f>
        <v>#NUM!</v>
      </c>
      <c r="U322" t="e">
        <f t="array" ref="U322">IF(--INDEX('Raw Data'!$A$4:J$998,$F322,16)= 1, 1, 0)</f>
        <v>#NUM!</v>
      </c>
      <c r="V322" t="e">
        <f t="array" ref="V322">IF(--INDEX('Raw Data'!$A$4:K$998,$F322,17)= 1, 1, 0)</f>
        <v>#NUM!</v>
      </c>
      <c r="W322" t="e">
        <f t="array" ref="W322">INDEX('Raw Data'!$A:$O,$F322,19)</f>
        <v>#NUM!</v>
      </c>
      <c r="X322" t="e">
        <f t="array" ref="X322">INDEX('Raw Data'!$A:$O,$F322,20)</f>
        <v>#NUM!</v>
      </c>
      <c r="Y322" t="e">
        <f t="array" ref="Y322">INDEX('Raw Data'!$A:$O,F322,21)</f>
        <v>#NUM!</v>
      </c>
      <c r="Z322" t="e">
        <f t="array" ref="Z322">INDEX('Raw Data'!$A:$O,$F322,3)</f>
        <v>#NUM!</v>
      </c>
      <c r="AA322" t="e">
        <f t="array" ref="AA322">INDEX('Raw Data'!$A:$O,$F322,22)</f>
        <v>#NUM!</v>
      </c>
      <c r="AB322" t="e">
        <f t="array" ref="AB322">INDEX('Raw Data'!$A:$O,$F322,23)</f>
        <v>#NUM!</v>
      </c>
    </row>
    <row r="323" spans="1:44" x14ac:dyDescent="0.25">
      <c r="F323" t="e">
        <f t="array" ref="F323">SMALL(IF('Raw Data'!A:A=C311,ROW('Raw Data'!A:A)),ROW('Raw Data'!$12:$12))</f>
        <v>#NUM!</v>
      </c>
      <c r="G323" t="e">
        <f t="array" ref="G323">INDEX('Raw Data'!A:A,F323,9)</f>
        <v>#NUM!</v>
      </c>
      <c r="H323" t="e">
        <f t="array" ref="H323">INDEX('Raw Data'!A:A,F323,10)</f>
        <v>#NUM!</v>
      </c>
      <c r="I323" t="e">
        <f t="array" ref="I323">INDEX('Raw Data'!$A:A,$F323,11)</f>
        <v>#NUM!</v>
      </c>
      <c r="J323" t="e">
        <f t="array" ref="J323">INDEX('Raw Data'!$A:A,F323,12)</f>
        <v>#NUM!</v>
      </c>
      <c r="K323" t="e">
        <f t="array" ref="K323">(--INDEX('Raw Data'!$A$4:B$998,F323,4))</f>
        <v>#NUM!</v>
      </c>
      <c r="L323" t="e">
        <f t="array" ref="L323">(--INDEX('Raw Data'!$A$4:B$998,F323,5))</f>
        <v>#NUM!</v>
      </c>
      <c r="M323" t="e">
        <f t="array" ref="M323">(--INDEX('Raw Data'!$A$4:D$998,$F323,6))</f>
        <v>#NUM!</v>
      </c>
      <c r="N323" t="e">
        <f t="array" ref="N323">(--INDEX('Raw Data'!$A$4:D$998,$F323,7))</f>
        <v>#NUM!</v>
      </c>
      <c r="O323" t="e">
        <f t="array" ref="O323">IF(--INDEX('Raw Data'!$A$4:E$998,$F323,8)= 0, 1, 0)</f>
        <v>#NUM!</v>
      </c>
      <c r="P323" t="e">
        <f t="array" ref="P323">IF(--INDEX('Raw Data'!$A$4:F$998,$F323,8)= 1, 1, 0)</f>
        <v>#NUM!</v>
      </c>
      <c r="Q323" t="e">
        <f t="array" ref="Q323">IF(--INDEX('Raw Data'!$A$4:G$998,$F323,13)= 1, 1, 0)</f>
        <v>#NUM!</v>
      </c>
      <c r="R323" t="e">
        <f t="array" ref="R323">IF(--INDEX('Raw Data'!$A$4:H$998,$F323,14)= 1, 1, 0)</f>
        <v>#NUM!</v>
      </c>
      <c r="S323" t="e">
        <f t="array" ref="S323">IF(--INDEX('Raw Data'!$A$4:I$998,$F323,15)= 1, 1, 0)</f>
        <v>#NUM!</v>
      </c>
      <c r="T323" t="e">
        <f t="array" ref="T323">IF(--INDEX('Raw Data'!$A$4:I$998,$F323,15)= 1, 1, 0)</f>
        <v>#NUM!</v>
      </c>
      <c r="U323" t="e">
        <f t="array" ref="U323">IF(--INDEX('Raw Data'!$A$4:J$998,$F323,16)= 1, 1, 0)</f>
        <v>#NUM!</v>
      </c>
      <c r="V323" t="e">
        <f t="array" ref="V323">IF(--INDEX('Raw Data'!$A$4:K$998,$F323,17)= 1, 1, 0)</f>
        <v>#NUM!</v>
      </c>
      <c r="W323" t="e">
        <f t="array" ref="W323">INDEX('Raw Data'!$A:$O,$F323,19)</f>
        <v>#NUM!</v>
      </c>
      <c r="X323" t="e">
        <f t="array" ref="X323">INDEX('Raw Data'!$A:$O,$F323,20)</f>
        <v>#NUM!</v>
      </c>
      <c r="Y323" t="e">
        <f t="array" ref="Y323">INDEX('Raw Data'!$A:$O,F323,21)</f>
        <v>#NUM!</v>
      </c>
      <c r="Z323" t="e">
        <f t="array" ref="Z323">INDEX('Raw Data'!$A:$O,$F323,3)</f>
        <v>#NUM!</v>
      </c>
      <c r="AA323" t="e">
        <f t="array" ref="AA323">INDEX('Raw Data'!$A:$O,$F323,22)</f>
        <v>#NUM!</v>
      </c>
      <c r="AB323" t="e">
        <f t="array" ref="AB323">INDEX('Raw Data'!$A:$O,$F323,23)</f>
        <v>#NUM!</v>
      </c>
    </row>
    <row r="324" spans="1:44" x14ac:dyDescent="0.25">
      <c r="F324" t="e">
        <f t="array" ref="F324">SMALL(IF('Raw Data'!A:A=C311,ROW('Raw Data'!A:A)),ROW('Raw Data'!$13:$13))</f>
        <v>#NUM!</v>
      </c>
      <c r="G324" t="e">
        <f t="array" ref="G324">INDEX('Raw Data'!A:A,F324,9)</f>
        <v>#NUM!</v>
      </c>
      <c r="H324" t="e">
        <f t="array" ref="H324">INDEX('Raw Data'!A:A,F324,10)</f>
        <v>#NUM!</v>
      </c>
      <c r="I324" t="e">
        <f t="array" ref="I324">INDEX('Raw Data'!$A:A,$F324,11)</f>
        <v>#NUM!</v>
      </c>
      <c r="J324" t="e">
        <f t="array" ref="J324">INDEX('Raw Data'!$A:A,F324,12)</f>
        <v>#NUM!</v>
      </c>
      <c r="K324" t="e">
        <f t="array" ref="K324">(--INDEX('Raw Data'!$A$4:B$998,F324,4))</f>
        <v>#NUM!</v>
      </c>
      <c r="L324" t="e">
        <f t="array" ref="L324">(--INDEX('Raw Data'!$A$4:B$998,F324,5))</f>
        <v>#NUM!</v>
      </c>
      <c r="M324" t="e">
        <f t="array" ref="M324">(--INDEX('Raw Data'!$A$4:D$998,$F324,6))</f>
        <v>#NUM!</v>
      </c>
      <c r="N324" t="e">
        <f t="array" ref="N324">(--INDEX('Raw Data'!$A$4:D$998,$F324,7))</f>
        <v>#NUM!</v>
      </c>
      <c r="O324" t="e">
        <f t="array" ref="O324">IF(--INDEX('Raw Data'!$A$4:E$998,$F324,8)= 0, 1, 0)</f>
        <v>#NUM!</v>
      </c>
      <c r="P324" t="e">
        <f t="array" ref="P324">IF(--INDEX('Raw Data'!$A$4:F$998,$F324,8)= 1, 1, 0)</f>
        <v>#NUM!</v>
      </c>
      <c r="Q324" t="e">
        <f t="array" ref="Q324">IF(--INDEX('Raw Data'!$A$4:G$998,$F324,13)= 1, 1, 0)</f>
        <v>#NUM!</v>
      </c>
      <c r="R324" t="e">
        <f t="array" ref="R324">IF(--INDEX('Raw Data'!$A$4:H$998,$F324,14)= 1, 1, 0)</f>
        <v>#NUM!</v>
      </c>
      <c r="S324" t="e">
        <f t="array" ref="S324">IF(--INDEX('Raw Data'!$A$4:I$998,$F324,15)= 1, 1, 0)</f>
        <v>#NUM!</v>
      </c>
      <c r="T324" t="e">
        <f t="array" ref="T324">IF(--INDEX('Raw Data'!$A$4:I$998,$F324,15)= 1, 1, 0)</f>
        <v>#NUM!</v>
      </c>
      <c r="U324" t="e">
        <f t="array" ref="U324">IF(--INDEX('Raw Data'!$A$4:J$998,$F324,16)= 1, 1, 0)</f>
        <v>#NUM!</v>
      </c>
      <c r="V324" t="e">
        <f t="array" ref="V324">IF(--INDEX('Raw Data'!$A$4:K$998,$F324,17)= 1, 1, 0)</f>
        <v>#NUM!</v>
      </c>
      <c r="W324" t="e">
        <f t="array" ref="W324">INDEX('Raw Data'!$A:$O,$F324,19)</f>
        <v>#NUM!</v>
      </c>
      <c r="X324" t="e">
        <f t="array" ref="X324">INDEX('Raw Data'!$A:$O,$F324,20)</f>
        <v>#NUM!</v>
      </c>
      <c r="Y324" t="e">
        <f t="array" ref="Y324">INDEX('Raw Data'!$A:$O,F324,21)</f>
        <v>#NUM!</v>
      </c>
      <c r="Z324" t="e">
        <f t="array" ref="Z324">INDEX('Raw Data'!$A:$O,$F324,3)</f>
        <v>#NUM!</v>
      </c>
      <c r="AA324" t="e">
        <f t="array" ref="AA324">INDEX('Raw Data'!$A:$O,$F324,22)</f>
        <v>#NUM!</v>
      </c>
      <c r="AB324" t="e">
        <f t="array" ref="AB324">INDEX('Raw Data'!$A:$O,$F324,23)</f>
        <v>#NUM!</v>
      </c>
    </row>
    <row r="325" spans="1:44" x14ac:dyDescent="0.25">
      <c r="F325" t="e">
        <f t="array" ref="F325">SMALL(IF('Raw Data'!A:A=C311,ROW('Raw Data'!A:A)),ROW('Raw Data'!$14:$14))</f>
        <v>#NUM!</v>
      </c>
      <c r="G325" t="e">
        <f t="array" ref="G325">INDEX('Raw Data'!A:A,F325,9)</f>
        <v>#NUM!</v>
      </c>
      <c r="H325" t="e">
        <f t="array" ref="H325">INDEX('Raw Data'!A:A,F325,10)</f>
        <v>#NUM!</v>
      </c>
      <c r="I325" t="e">
        <f t="array" ref="I325">INDEX('Raw Data'!$A:A,$F325,11)</f>
        <v>#NUM!</v>
      </c>
      <c r="J325" t="e">
        <f t="array" ref="J325">INDEX('Raw Data'!$A:A,F325,12)</f>
        <v>#NUM!</v>
      </c>
      <c r="K325" t="e">
        <f t="array" ref="K325">(--INDEX('Raw Data'!$A$4:B$998,F325,4))</f>
        <v>#NUM!</v>
      </c>
      <c r="L325" t="e">
        <f t="array" ref="L325">(--INDEX('Raw Data'!$A$4:B$998,F325,5))</f>
        <v>#NUM!</v>
      </c>
      <c r="M325" t="e">
        <f t="array" ref="M325">(--INDEX('Raw Data'!$A$4:D$998,$F325,6))</f>
        <v>#NUM!</v>
      </c>
      <c r="N325" t="e">
        <f t="array" ref="N325">(--INDEX('Raw Data'!$A$4:D$998,$F325,7))</f>
        <v>#NUM!</v>
      </c>
      <c r="O325" t="e">
        <f t="array" ref="O325">IF(--INDEX('Raw Data'!$A$4:E$998,$F325,8)= 0, 1, 0)</f>
        <v>#NUM!</v>
      </c>
      <c r="P325" t="e">
        <f t="array" ref="P325">IF(--INDEX('Raw Data'!$A$4:F$998,$F325,8)= 1, 1, 0)</f>
        <v>#NUM!</v>
      </c>
      <c r="Q325" t="e">
        <f t="array" ref="Q325">IF(--INDEX('Raw Data'!$A$4:G$998,$F325,13)= 1, 1, 0)</f>
        <v>#NUM!</v>
      </c>
      <c r="R325" t="e">
        <f t="array" ref="R325">IF(--INDEX('Raw Data'!$A$4:H$998,$F325,14)= 1, 1, 0)</f>
        <v>#NUM!</v>
      </c>
      <c r="S325" t="e">
        <f t="array" ref="S325">IF(--INDEX('Raw Data'!$A$4:I$998,$F325,15)= 1, 1, 0)</f>
        <v>#NUM!</v>
      </c>
      <c r="T325" t="e">
        <f t="array" ref="T325">IF(--INDEX('Raw Data'!$A$4:I$998,$F325,15)= 1, 1, 0)</f>
        <v>#NUM!</v>
      </c>
      <c r="U325" t="e">
        <f t="array" ref="U325">IF(--INDEX('Raw Data'!$A$4:J$998,$F325,16)= 1, 1, 0)</f>
        <v>#NUM!</v>
      </c>
      <c r="V325" t="e">
        <f t="array" ref="V325">IF(--INDEX('Raw Data'!$A$4:K$998,$F325,17)= 1, 1, 0)</f>
        <v>#NUM!</v>
      </c>
      <c r="W325" t="e">
        <f t="array" ref="W325">INDEX('Raw Data'!$A:$O,$F325,19)</f>
        <v>#NUM!</v>
      </c>
      <c r="X325" t="e">
        <f t="array" ref="X325">INDEX('Raw Data'!$A:$O,$F325,20)</f>
        <v>#NUM!</v>
      </c>
      <c r="Y325" t="e">
        <f t="array" ref="Y325">INDEX('Raw Data'!$A:$O,F325,21)</f>
        <v>#NUM!</v>
      </c>
      <c r="Z325" t="e">
        <f t="array" ref="Z325">INDEX('Raw Data'!$A:$O,$F325,3)</f>
        <v>#NUM!</v>
      </c>
      <c r="AA325" t="e">
        <f t="array" ref="AA325">INDEX('Raw Data'!$A:$O,$F325,22)</f>
        <v>#NUM!</v>
      </c>
      <c r="AB325" t="e">
        <f t="array" ref="AB325">INDEX('Raw Data'!$A:$O,$F325,23)</f>
        <v>#NUM!</v>
      </c>
    </row>
    <row r="326" spans="1:44" x14ac:dyDescent="0.25">
      <c r="F326" t="e">
        <f t="array" ref="F326">SMALL(IF('Raw Data'!A:A=C311,ROW('Raw Data'!A:A)),ROW('Raw Data'!$15:$15))</f>
        <v>#NUM!</v>
      </c>
      <c r="G326" t="e">
        <f t="array" ref="G326">INDEX('Raw Data'!A:A,F326,9)</f>
        <v>#NUM!</v>
      </c>
      <c r="H326" t="e">
        <f t="array" ref="H326">INDEX('Raw Data'!A:A,F326,10)</f>
        <v>#NUM!</v>
      </c>
      <c r="I326" t="e">
        <f t="array" ref="I326">INDEX('Raw Data'!$A:A,$F326,11)</f>
        <v>#NUM!</v>
      </c>
      <c r="J326" t="e">
        <f t="array" ref="J326">INDEX('Raw Data'!$A:A,F326,12)</f>
        <v>#NUM!</v>
      </c>
      <c r="K326" t="e">
        <f t="array" ref="K326">(--INDEX('Raw Data'!$A$4:B$998,F326,4))</f>
        <v>#NUM!</v>
      </c>
      <c r="L326" t="e">
        <f t="array" ref="L326">(--INDEX('Raw Data'!$A$4:B$998,F326,5))</f>
        <v>#NUM!</v>
      </c>
      <c r="M326" t="e">
        <f t="array" ref="M326">(--INDEX('Raw Data'!$A$4:D$998,$F326,6))</f>
        <v>#NUM!</v>
      </c>
      <c r="N326" t="e">
        <f t="array" ref="N326">(--INDEX('Raw Data'!$A$4:D$998,$F326,7))</f>
        <v>#NUM!</v>
      </c>
      <c r="O326" t="e">
        <f t="array" ref="O326">IF(--INDEX('Raw Data'!$A$4:E$998,$F326,8)= 0, 1, 0)</f>
        <v>#NUM!</v>
      </c>
      <c r="P326" t="e">
        <f t="array" ref="P326">IF(--INDEX('Raw Data'!$A$4:F$998,$F326,8)= 1, 1, 0)</f>
        <v>#NUM!</v>
      </c>
      <c r="Q326" t="e">
        <f t="array" ref="Q326">IF(--INDEX('Raw Data'!$A$4:G$998,$F326,13)= 1, 1, 0)</f>
        <v>#NUM!</v>
      </c>
      <c r="R326" t="e">
        <f t="array" ref="R326">IF(--INDEX('Raw Data'!$A$4:H$998,$F326,14)= 1, 1, 0)</f>
        <v>#NUM!</v>
      </c>
      <c r="S326" t="e">
        <f t="array" ref="S326">IF(--INDEX('Raw Data'!$A$4:I$998,$F326,15)= 1, 1, 0)</f>
        <v>#NUM!</v>
      </c>
      <c r="T326" t="e">
        <f t="array" ref="T326">IF(--INDEX('Raw Data'!$A$4:I$998,$F326,15)= 1, 1, 0)</f>
        <v>#NUM!</v>
      </c>
      <c r="U326" t="e">
        <f t="array" ref="U326">IF(--INDEX('Raw Data'!$A$4:J$998,$F326,16)= 1, 1, 0)</f>
        <v>#NUM!</v>
      </c>
      <c r="V326" t="e">
        <f t="array" ref="V326">IF(--INDEX('Raw Data'!$A$4:K$998,$F326,17)= 1, 1, 0)</f>
        <v>#NUM!</v>
      </c>
      <c r="W326" t="e">
        <f t="array" ref="W326">INDEX('Raw Data'!$A:$O,$F326,19)</f>
        <v>#NUM!</v>
      </c>
      <c r="X326" t="e">
        <f t="array" ref="X326">INDEX('Raw Data'!$A:$O,$F326,20)</f>
        <v>#NUM!</v>
      </c>
      <c r="Y326" t="e">
        <f t="array" ref="Y326">INDEX('Raw Data'!$A:$O,F326,21)</f>
        <v>#NUM!</v>
      </c>
      <c r="Z326" t="e">
        <f t="array" ref="Z326">INDEX('Raw Data'!$A:$O,$F326,3)</f>
        <v>#NUM!</v>
      </c>
      <c r="AA326" t="e">
        <f t="array" ref="AA326">INDEX('Raw Data'!$A:$O,$F326,22)</f>
        <v>#NUM!</v>
      </c>
      <c r="AB326" t="e">
        <f t="array" ref="AB326">INDEX('Raw Data'!$A:$O,$F326,23)</f>
        <v>#NUM!</v>
      </c>
    </row>
    <row r="327" spans="1:44" x14ac:dyDescent="0.25">
      <c r="A327" t="s">
        <v>55</v>
      </c>
      <c r="C327" s="2" t="e">
        <f>B317/B316</f>
        <v>#DIV/0!</v>
      </c>
      <c r="F327">
        <f t="array" ref="F327">COUNTIF(F312:F326,"&gt;0")</f>
        <v>0</v>
      </c>
      <c r="G327">
        <f t="array" ref="G327">SUMIF(G312:G326,"&gt;0")</f>
        <v>0</v>
      </c>
      <c r="H327">
        <f t="array" ref="H327">SUMIF(H312:H326,"&gt;0")</f>
        <v>0</v>
      </c>
      <c r="I327">
        <f t="array" ref="I327">SUMIF(I312:I326,"&gt;0")</f>
        <v>0</v>
      </c>
      <c r="J327">
        <f t="array" ref="J327">SUMIF(J312:J326,"&gt;0")</f>
        <v>0</v>
      </c>
      <c r="K327">
        <f t="array" ref="K327">SUMIF(K312:K326,"&gt;0")</f>
        <v>0</v>
      </c>
      <c r="L327">
        <f t="array" ref="L327">SUMIF(L312:L326,"&gt;0")</f>
        <v>0</v>
      </c>
      <c r="M327">
        <f t="array" ref="M327">SUMIF(M312:M326,"&gt;0")</f>
        <v>0</v>
      </c>
      <c r="N327">
        <f t="array" ref="N327">SUMIF(N312:N326,"&gt;0")</f>
        <v>0</v>
      </c>
      <c r="O327">
        <f t="array" ref="O327">SUMIF(O312:O326,"&gt;0")</f>
        <v>0</v>
      </c>
      <c r="P327">
        <f t="array" ref="P327">SUMIF(P312:P326,"&gt;0")</f>
        <v>0</v>
      </c>
      <c r="Q327">
        <f t="array" ref="Q327">SUMIF(Q312:Q326,"&gt;0")</f>
        <v>0</v>
      </c>
      <c r="R327">
        <f t="array" ref="R327">SUMIF(R312:R326,"&gt;0")</f>
        <v>0</v>
      </c>
      <c r="S327">
        <f t="array" ref="S327">SUMIF(S312:S326,"&gt;0")</f>
        <v>0</v>
      </c>
      <c r="T327">
        <f t="array" ref="T327">SUMIF(T312:T326,"&gt;0")</f>
        <v>0</v>
      </c>
      <c r="U327">
        <f t="array" ref="U327">SUMIF(U312:U326,"&gt;0")</f>
        <v>0</v>
      </c>
      <c r="V327">
        <f t="array" ref="V327">SUMIF(V312:V326,"&gt;0")</f>
        <v>0</v>
      </c>
      <c r="W327">
        <f t="array" ref="W327">SUMIF(W312:W326,"&gt;0")</f>
        <v>0</v>
      </c>
      <c r="X327">
        <f t="array" ref="X327">SUMIF(X312:X326,"&gt;0")</f>
        <v>0</v>
      </c>
      <c r="Y327">
        <f t="array" ref="Y327">SUMIF(Y312:Y326,"&gt;0")</f>
        <v>0</v>
      </c>
      <c r="Z327">
        <f t="array" ref="Z327">SUMIF(Z312:Z326,"&gt;0")</f>
        <v>0</v>
      </c>
      <c r="AA327">
        <f t="array" ref="AA327">SUMIF(AA312:AA326,"&gt;0")</f>
        <v>0</v>
      </c>
      <c r="AB327">
        <f t="array" ref="AB327">SUMIF(AB312:AB326,"&gt;0")</f>
        <v>0</v>
      </c>
    </row>
    <row r="328" spans="1:44" x14ac:dyDescent="0.25">
      <c r="A328" t="s">
        <v>58</v>
      </c>
      <c r="C328" s="2">
        <f t="array" ref="C328">IF((K327+L327)&lt;&gt;0, (L327/(K327+L327)),0)</f>
        <v>0</v>
      </c>
      <c r="J328" s="6">
        <f t="array" ref="J328">J327*10</f>
        <v>0</v>
      </c>
      <c r="K328" s="6"/>
      <c r="P328" t="s">
        <v>95</v>
      </c>
      <c r="Q328" s="2" t="e">
        <f t="array" ref="Q328">Q327/$F327</f>
        <v>#DIV/0!</v>
      </c>
      <c r="R328" s="2" t="e">
        <f t="array" ref="R328">R327/$F327</f>
        <v>#DIV/0!</v>
      </c>
      <c r="S328" s="2" t="e">
        <f t="array" ref="S328">S327/$F327</f>
        <v>#DIV/0!</v>
      </c>
      <c r="T328" s="2" t="e">
        <f t="array" ref="T328">T327/$F327</f>
        <v>#DIV/0!</v>
      </c>
      <c r="U328" s="2" t="e">
        <f t="array" ref="U328">U327/$F327</f>
        <v>#DIV/0!</v>
      </c>
      <c r="V328" s="2" t="e">
        <f t="array" ref="V328">V327/$F327</f>
        <v>#DIV/0!</v>
      </c>
      <c r="W328" s="2" t="e">
        <f t="array" ref="W328">W327/$F327</f>
        <v>#DIV/0!</v>
      </c>
      <c r="X328" s="2" t="e">
        <f t="array" ref="X328">X327/$F327</f>
        <v>#DIV/0!</v>
      </c>
      <c r="Z328" s="2" t="e">
        <f t="array" ref="Z328">Z327/F327</f>
        <v>#DIV/0!</v>
      </c>
    </row>
    <row r="329" spans="1:44" x14ac:dyDescent="0.25">
      <c r="A329" t="s">
        <v>60</v>
      </c>
      <c r="C329" s="2">
        <f t="array" ref="C329">IF((M327+N327)&lt;&gt;0, (N327/(M327+N327)),0)</f>
        <v>0</v>
      </c>
      <c r="J329" s="6"/>
      <c r="K329" s="6"/>
      <c r="AR329" s="25"/>
    </row>
    <row r="330" spans="1:44" ht="28.5" x14ac:dyDescent="0.45">
      <c r="A330" t="s">
        <v>61</v>
      </c>
      <c r="C330" s="2">
        <f t="array" ref="C330">IF(((K327+N327+L327+M327)&lt;&gt;0), ((L327+N327)/(K327+N327+L327+M327)),0)</f>
        <v>0</v>
      </c>
      <c r="F330" s="17" t="s">
        <v>106</v>
      </c>
      <c r="G330" s="17" t="e">
        <f t="array" ref="G330">'Weighting &amp; Ranking Sheet'!$B$3*Math!$C328+'Weighting &amp; Ranking Sheet'!$B$4*Math!$C329+'Weighting &amp; Ranking Sheet'!$B$5*Math!$C330+'Weighting &amp; Ranking Sheet'!$B$6*Math!$C331+'Weighting &amp; Ranking Sheet'!$B$7*Math!$C315+'Weighting &amp; Ranking Sheet'!$B$8*Math!$C327+'Weighting &amp; Ranking Sheet'!$B$9*Math!$C334+'Weighting &amp; Ranking Sheet'!$B$10*Math!$C332+'Weighting &amp; Ranking Sheet'!$B$11*Math!$C333+'Weighting &amp; Ranking Sheet'!$B$12*Math!$C335*0.01+'Weighting &amp; Ranking Sheet'!$B$13*Math!$Q328+'Weighting &amp; Ranking Sheet'!$B$14*Math!$R328+'Weighting &amp; Ranking Sheet'!$B$15*Math!$S328+'Weighting &amp; Ranking Sheet'!$B$16*Math!$T328+'Weighting &amp; Ranking Sheet'!$B$17*Math!$U328+'Weighting &amp; Ranking Sheet'!$B$18*Math!$V328+'Weighting &amp; Ranking Sheet'!$B$2*Math!$Z328</f>
        <v>#DIV/0!</v>
      </c>
      <c r="J330"/>
      <c r="K330"/>
      <c r="AR330" s="25"/>
    </row>
    <row r="331" spans="1:44" x14ac:dyDescent="0.25">
      <c r="A331" t="s">
        <v>62</v>
      </c>
      <c r="C331" s="2">
        <f t="array" ref="C331">IF((O327+P327&lt;&gt;0),(P327/(O327+P327)), 0)</f>
        <v>0</v>
      </c>
      <c r="J331"/>
      <c r="K331"/>
      <c r="AR331" s="25"/>
    </row>
    <row r="332" spans="1:44" x14ac:dyDescent="0.25">
      <c r="A332" t="s">
        <v>77</v>
      </c>
      <c r="C332" s="8" t="e">
        <f t="array" ref="C332">W327/F327</f>
        <v>#DIV/0!</v>
      </c>
      <c r="J332"/>
      <c r="K332"/>
      <c r="AR332" s="23"/>
    </row>
    <row r="333" spans="1:44" x14ac:dyDescent="0.25">
      <c r="A333" t="s">
        <v>78</v>
      </c>
      <c r="C333" s="8" t="e">
        <f t="array" ref="C333">X327/F327</f>
        <v>#DIV/0!</v>
      </c>
      <c r="J333"/>
      <c r="K333"/>
    </row>
    <row r="334" spans="1:44" x14ac:dyDescent="0.25">
      <c r="A334" t="s">
        <v>91</v>
      </c>
      <c r="C334" s="2" t="e">
        <f t="array" ref="C334">(C315+C327)/2</f>
        <v>#DIV/0!</v>
      </c>
      <c r="J334"/>
      <c r="K334"/>
    </row>
    <row r="335" spans="1:44" x14ac:dyDescent="0.25">
      <c r="A335" t="s">
        <v>92</v>
      </c>
      <c r="C335" s="8" t="e">
        <f t="array" ref="C335">Y327/F327</f>
        <v>#DIV/0!</v>
      </c>
      <c r="J335"/>
      <c r="K335"/>
    </row>
    <row r="336" spans="1:44" x14ac:dyDescent="0.25">
      <c r="C336" s="8"/>
      <c r="J336" s="6"/>
      <c r="K336" s="6"/>
    </row>
    <row r="337" spans="1:44" x14ac:dyDescent="0.25">
      <c r="C337" s="8"/>
      <c r="J337" s="6"/>
      <c r="K337" s="6"/>
    </row>
    <row r="338" spans="1:44" x14ac:dyDescent="0.25">
      <c r="J338" s="6"/>
      <c r="K338" s="6"/>
    </row>
    <row r="339" spans="1:44" x14ac:dyDescent="0.25">
      <c r="A339" t="s">
        <v>3</v>
      </c>
      <c r="C339" s="5">
        <v>341</v>
      </c>
      <c r="F339" t="s">
        <v>16</v>
      </c>
    </row>
    <row r="340" spans="1:44" x14ac:dyDescent="0.25">
      <c r="F340" t="e">
        <f t="array" ref="F340">SMALL(IF('Raw Data'!A:A=C339,ROW('Raw Data'!A:A)),ROW('Raw Data'!$1:$1))</f>
        <v>#NUM!</v>
      </c>
      <c r="G340" t="e">
        <f t="array" ref="G340">INDEX('Raw Data'!A:A,F340,9)</f>
        <v>#NUM!</v>
      </c>
      <c r="H340" t="e">
        <f t="array" ref="H340">INDEX('Raw Data'!A:A,F340,10)</f>
        <v>#NUM!</v>
      </c>
      <c r="I340" t="e">
        <f t="array" ref="I340">INDEX('Raw Data'!$A:A,$F340,11)</f>
        <v>#NUM!</v>
      </c>
      <c r="J340" t="e">
        <f t="array" ref="J340">INDEX('Raw Data'!$A:A,F340,12)</f>
        <v>#NUM!</v>
      </c>
      <c r="K340" t="e">
        <f>(--INDEX('Raw Data'!$A$4:B$993,F340,4))</f>
        <v>#NUM!</v>
      </c>
      <c r="L340" t="e">
        <f t="array" ref="L340">(--INDEX('Raw Data'!$A$4:B$993,F340,5))</f>
        <v>#NUM!</v>
      </c>
      <c r="M340" t="e">
        <f t="array" ref="M340">(--INDEX('Raw Data'!$A$4:D$993,$F340,6))</f>
        <v>#NUM!</v>
      </c>
      <c r="N340" t="e">
        <f t="array" ref="N340">(--INDEX('Raw Data'!$A$4:D$993,$F340,7))</f>
        <v>#NUM!</v>
      </c>
      <c r="O340" t="e">
        <f t="array" ref="O340">IF(--INDEX('Raw Data'!$A$4:E$993,$F340,8)= 0, 1, 0)</f>
        <v>#NUM!</v>
      </c>
      <c r="P340" t="e">
        <f t="array" ref="P340">IF(--INDEX('Raw Data'!$A$4:F$993,$F340,8)= 1, 1, 0)</f>
        <v>#NUM!</v>
      </c>
      <c r="Q340" t="e">
        <f t="array" ref="Q340">IF(--INDEX('Raw Data'!$A$4:G$993,$F340,13)= 1, 1, 0)</f>
        <v>#NUM!</v>
      </c>
      <c r="R340" t="e">
        <f t="array" ref="R340">IF(--INDEX('Raw Data'!$A$4:H$993,$F340,14)= 1, 1, 0)</f>
        <v>#NUM!</v>
      </c>
      <c r="S340" t="e">
        <f t="array" ref="S340">IF(--INDEX('Raw Data'!$A$4:I$993,$F340,15)= 1, 1, 0)</f>
        <v>#NUM!</v>
      </c>
      <c r="T340" t="e">
        <f t="array" ref="T340">IF(--INDEX('Raw Data'!$A$4:I$993,$F340,15)= 1, 1, 0)</f>
        <v>#NUM!</v>
      </c>
      <c r="U340" t="e">
        <f t="array" ref="U340">IF(--INDEX('Raw Data'!$A$4:J$993,$F340,16)= 1, 1, 0)</f>
        <v>#NUM!</v>
      </c>
      <c r="V340" t="e">
        <f t="array" ref="V340">IF(--INDEX('Raw Data'!$A$4:K$993,$F340,17)= 1, 1, 0)</f>
        <v>#NUM!</v>
      </c>
      <c r="W340" t="e">
        <f t="array" ref="W340">INDEX('Raw Data'!$A:$O,$F340,19)</f>
        <v>#NUM!</v>
      </c>
      <c r="X340" t="e">
        <f t="array" ref="X340">INDEX('Raw Data'!$A:$O,$F340,20)</f>
        <v>#NUM!</v>
      </c>
      <c r="Y340" t="e">
        <f t="array" ref="Y340">INDEX('Raw Data'!$A:$O,F340,21)</f>
        <v>#NUM!</v>
      </c>
      <c r="Z340" t="e">
        <f t="array" ref="Z340">INDEX('Raw Data'!$A:$O,$F340,3)</f>
        <v>#NUM!</v>
      </c>
      <c r="AA340" t="e">
        <f t="array" ref="AA340">INDEX('Raw Data'!$A:$O,$F340,22)</f>
        <v>#NUM!</v>
      </c>
      <c r="AB340" t="e">
        <f t="array" ref="AB340">INDEX('Raw Data'!$A:$O,$F340,23)</f>
        <v>#NUM!</v>
      </c>
    </row>
    <row r="341" spans="1:44" x14ac:dyDescent="0.25">
      <c r="A341" t="s">
        <v>0</v>
      </c>
      <c r="B341">
        <f t="array" ref="B341">G355</f>
        <v>0</v>
      </c>
      <c r="F341" t="e">
        <f t="array" ref="F341">SMALL(IF('Raw Data'!A:A=C339,ROW('Raw Data'!A:A)),ROW('Raw Data'!$2:$2))</f>
        <v>#NUM!</v>
      </c>
      <c r="G341" t="e">
        <f t="array" ref="G341">INDEX('Raw Data'!A:A,F341,9)</f>
        <v>#NUM!</v>
      </c>
      <c r="H341" t="e">
        <f t="array" ref="H341">INDEX('Raw Data'!A:A,F341,10)</f>
        <v>#NUM!</v>
      </c>
      <c r="I341" t="e">
        <f t="array" ref="I341">INDEX('Raw Data'!$A:A,$F341,11)</f>
        <v>#NUM!</v>
      </c>
      <c r="J341" t="e">
        <f t="array" ref="J341">INDEX('Raw Data'!$A:A,F341,12)</f>
        <v>#NUM!</v>
      </c>
      <c r="K341" t="e">
        <f>(--INDEX('Raw Data'!$A$4:B$993,F341,4))</f>
        <v>#NUM!</v>
      </c>
      <c r="L341" t="e">
        <f t="array" ref="L341">(--INDEX('Raw Data'!$A$4:B$993,F341,5))</f>
        <v>#NUM!</v>
      </c>
      <c r="M341" t="e">
        <f t="array" ref="M341">(--INDEX('Raw Data'!$A$4:D$993,$F341,6))</f>
        <v>#NUM!</v>
      </c>
      <c r="N341" t="e">
        <f t="array" ref="N341">(--INDEX('Raw Data'!$A$4:D$993,$F341,7))</f>
        <v>#NUM!</v>
      </c>
      <c r="O341" t="e">
        <f t="array" ref="O341">IF(--INDEX('Raw Data'!$A$4:E$993,$F341,8)= 0, 1, 0)</f>
        <v>#NUM!</v>
      </c>
      <c r="P341" t="e">
        <f t="array" ref="P341">IF(--INDEX('Raw Data'!$A$4:F$993,$F341,8)= 1, 1, 0)</f>
        <v>#NUM!</v>
      </c>
      <c r="Q341" t="e">
        <f t="array" ref="Q341">IF(--INDEX('Raw Data'!$A$4:G$993,$F341,13)= 1, 1, 0)</f>
        <v>#NUM!</v>
      </c>
      <c r="R341" t="e">
        <f t="array" ref="R341">IF(--INDEX('Raw Data'!$A$4:H$993,$F341,14)= 1, 1, 0)</f>
        <v>#NUM!</v>
      </c>
      <c r="S341" t="e">
        <f t="array" ref="S341">IF(--INDEX('Raw Data'!$A$4:I$993,$F341,15)= 1, 1, 0)</f>
        <v>#NUM!</v>
      </c>
      <c r="T341" t="e">
        <f t="array" ref="T341">IF(--INDEX('Raw Data'!$A$4:I$993,$F341,15)= 1, 1, 0)</f>
        <v>#NUM!</v>
      </c>
      <c r="U341" t="e">
        <f t="array" ref="U341">IF(--INDEX('Raw Data'!$A$4:J$993,$F341,16)= 1, 1, 0)</f>
        <v>#NUM!</v>
      </c>
      <c r="V341" t="e">
        <f t="array" ref="V341">IF(--INDEX('Raw Data'!$A$4:K$993,$F341,17)= 1, 1, 0)</f>
        <v>#NUM!</v>
      </c>
      <c r="W341" t="e">
        <f t="array" ref="W341">INDEX('Raw Data'!$A:$O,$F341,19)</f>
        <v>#NUM!</v>
      </c>
      <c r="X341" t="e">
        <f t="array" ref="X341">INDEX('Raw Data'!$A:$O,$F341,20)</f>
        <v>#NUM!</v>
      </c>
      <c r="Y341" t="e">
        <f t="array" ref="Y341">INDEX('Raw Data'!$A:$O,F341,21)</f>
        <v>#NUM!</v>
      </c>
      <c r="Z341" t="e">
        <f t="array" ref="Z341">INDEX('Raw Data'!$A:$O,$F341,3)</f>
        <v>#NUM!</v>
      </c>
      <c r="AA341" t="e">
        <f t="array" ref="AA341">INDEX('Raw Data'!$A:$O,$F341,22)</f>
        <v>#NUM!</v>
      </c>
      <c r="AB341" t="e">
        <f t="array" ref="AB341">INDEX('Raw Data'!$A:$O,$F341,23)</f>
        <v>#NUM!</v>
      </c>
    </row>
    <row r="342" spans="1:44" x14ac:dyDescent="0.25">
      <c r="A342" t="s">
        <v>1</v>
      </c>
      <c r="B342">
        <f t="array" ref="B342">H355</f>
        <v>0</v>
      </c>
      <c r="F342" t="e">
        <f t="array" ref="F342">SMALL(IF('Raw Data'!A:A=C339,ROW('Raw Data'!A:A)),ROW('Raw Data'!$3:$3))</f>
        <v>#NUM!</v>
      </c>
      <c r="G342" t="e">
        <f t="array" ref="G342">INDEX('Raw Data'!A:A,F342,9)</f>
        <v>#NUM!</v>
      </c>
      <c r="H342" t="e">
        <f t="array" ref="H342">INDEX('Raw Data'!A:A,F342,10)</f>
        <v>#NUM!</v>
      </c>
      <c r="I342" t="e">
        <f t="array" ref="I342">INDEX('Raw Data'!$A:A,$F342,11)</f>
        <v>#NUM!</v>
      </c>
      <c r="J342" t="e">
        <f t="array" ref="J342">INDEX('Raw Data'!$A:A,F342,12)</f>
        <v>#NUM!</v>
      </c>
      <c r="K342" t="e">
        <f>(--INDEX('Raw Data'!$A$4:B$993,F342,4))</f>
        <v>#NUM!</v>
      </c>
      <c r="L342" t="e">
        <f t="array" ref="L342">(--INDEX('Raw Data'!$A$4:B$993,F342,5))</f>
        <v>#NUM!</v>
      </c>
      <c r="M342" t="e">
        <f t="array" ref="M342">(--INDEX('Raw Data'!$A$4:D$993,$F342,6))</f>
        <v>#NUM!</v>
      </c>
      <c r="N342" t="e">
        <f t="array" ref="N342">(--INDEX('Raw Data'!$A$4:D$993,$F342,7))</f>
        <v>#NUM!</v>
      </c>
      <c r="O342" t="e">
        <f t="array" ref="O342">IF(--INDEX('Raw Data'!$A$4:E$993,$F342,8)= 0, 1, 0)</f>
        <v>#NUM!</v>
      </c>
      <c r="P342" t="e">
        <f t="array" ref="P342">IF(--INDEX('Raw Data'!$A$4:F$993,$F342,8)= 1, 1, 0)</f>
        <v>#NUM!</v>
      </c>
      <c r="Q342" t="e">
        <f t="array" ref="Q342">IF(--INDEX('Raw Data'!$A$4:G$993,$F342,13)= 1, 1, 0)</f>
        <v>#NUM!</v>
      </c>
      <c r="R342" t="e">
        <f t="array" ref="R342">IF(--INDEX('Raw Data'!$A$4:H$993,$F342,14)= 1, 1, 0)</f>
        <v>#NUM!</v>
      </c>
      <c r="S342" t="e">
        <f t="array" ref="S342">IF(--INDEX('Raw Data'!$A$4:I$993,$F342,15)= 1, 1, 0)</f>
        <v>#NUM!</v>
      </c>
      <c r="T342" t="e">
        <f t="array" ref="T342">IF(--INDEX('Raw Data'!$A$4:I$993,$F342,15)= 1, 1, 0)</f>
        <v>#NUM!</v>
      </c>
      <c r="U342" t="e">
        <f t="array" ref="U342">IF(--INDEX('Raw Data'!$A$4:J$993,$F342,16)= 1, 1, 0)</f>
        <v>#NUM!</v>
      </c>
      <c r="V342" t="e">
        <f t="array" ref="V342">IF(--INDEX('Raw Data'!$A$4:K$993,$F342,17)= 1, 1, 0)</f>
        <v>#NUM!</v>
      </c>
      <c r="W342" t="e">
        <f t="array" ref="W342">INDEX('Raw Data'!$A:$O,$F342,19)</f>
        <v>#NUM!</v>
      </c>
      <c r="X342" t="e">
        <f t="array" ref="X342">INDEX('Raw Data'!$A:$O,$F342,20)</f>
        <v>#NUM!</v>
      </c>
      <c r="Y342" t="e">
        <f t="array" ref="Y342">INDEX('Raw Data'!$A:$O,F342,21)</f>
        <v>#NUM!</v>
      </c>
      <c r="Z342" t="e">
        <f t="array" ref="Z342">INDEX('Raw Data'!$A:$O,$F342,3)</f>
        <v>#NUM!</v>
      </c>
      <c r="AA342" t="e">
        <f t="array" ref="AA342">INDEX('Raw Data'!$A:$O,$F342,22)</f>
        <v>#NUM!</v>
      </c>
      <c r="AB342" t="e">
        <f t="array" ref="AB342">INDEX('Raw Data'!$A:$O,$F342,23)</f>
        <v>#NUM!</v>
      </c>
    </row>
    <row r="343" spans="1:44" x14ac:dyDescent="0.25">
      <c r="A343" t="s">
        <v>2</v>
      </c>
      <c r="C343" s="3" t="e">
        <f>B342/B341</f>
        <v>#DIV/0!</v>
      </c>
      <c r="F343" t="e">
        <f t="array" ref="F343">SMALL(IF('Raw Data'!A:A=C339,ROW('Raw Data'!A:A)),ROW('Raw Data'!$4:$4))</f>
        <v>#NUM!</v>
      </c>
      <c r="G343" t="e">
        <f t="array" ref="G343">INDEX('Raw Data'!A:A,F343,9)</f>
        <v>#NUM!</v>
      </c>
      <c r="H343" t="e">
        <f t="array" ref="H343">INDEX('Raw Data'!A:A,F343,10)</f>
        <v>#NUM!</v>
      </c>
      <c r="I343" t="e">
        <f t="array" ref="I343">INDEX('Raw Data'!$A:A,$F343,11)</f>
        <v>#NUM!</v>
      </c>
      <c r="J343" t="e">
        <f t="array" ref="J343">INDEX('Raw Data'!$A:A,F343,12)</f>
        <v>#NUM!</v>
      </c>
      <c r="K343" t="e">
        <f>(--INDEX('Raw Data'!$A$4:B$993,F343,4))</f>
        <v>#NUM!</v>
      </c>
      <c r="L343" t="e">
        <f t="array" ref="L343">(--INDEX('Raw Data'!$A$4:B$993,F343,5))</f>
        <v>#NUM!</v>
      </c>
      <c r="M343" t="e">
        <f t="array" ref="M343">(--INDEX('Raw Data'!$A$4:D$993,$F343,6))</f>
        <v>#NUM!</v>
      </c>
      <c r="N343" t="e">
        <f t="array" ref="N343">(--INDEX('Raw Data'!$A$4:D$993,$F343,7))</f>
        <v>#NUM!</v>
      </c>
      <c r="O343" t="e">
        <f t="array" ref="O343">IF(--INDEX('Raw Data'!$A$4:E$993,$F343,8)= 0, 1, 0)</f>
        <v>#NUM!</v>
      </c>
      <c r="P343" t="e">
        <f t="array" ref="P343">IF(--INDEX('Raw Data'!$A$4:F$993,$F343,8)= 1, 1, 0)</f>
        <v>#NUM!</v>
      </c>
      <c r="Q343" t="e">
        <f t="array" ref="Q343">IF(--INDEX('Raw Data'!$A$4:G$993,$F343,13)= 1, 1, 0)</f>
        <v>#NUM!</v>
      </c>
      <c r="R343" t="e">
        <f t="array" ref="R343">IF(--INDEX('Raw Data'!$A$4:H$993,$F343,14)= 1, 1, 0)</f>
        <v>#NUM!</v>
      </c>
      <c r="S343" t="e">
        <f t="array" ref="S343">IF(--INDEX('Raw Data'!$A$4:I$993,$F343,15)= 1, 1, 0)</f>
        <v>#NUM!</v>
      </c>
      <c r="T343" t="e">
        <f t="array" ref="T343">IF(--INDEX('Raw Data'!$A$4:I$993,$F343,15)= 1, 1, 0)</f>
        <v>#NUM!</v>
      </c>
      <c r="U343" t="e">
        <f t="array" ref="U343">IF(--INDEX('Raw Data'!$A$4:J$993,$F343,16)= 1, 1, 0)</f>
        <v>#NUM!</v>
      </c>
      <c r="V343" t="e">
        <f t="array" ref="V343">IF(--INDEX('Raw Data'!$A$4:K$993,$F343,17)= 1, 1, 0)</f>
        <v>#NUM!</v>
      </c>
      <c r="W343" t="e">
        <f t="array" ref="W343">INDEX('Raw Data'!$A:$O,$F343,19)</f>
        <v>#NUM!</v>
      </c>
      <c r="X343" t="e">
        <f t="array" ref="X343">INDEX('Raw Data'!$A:$O,$F343,20)</f>
        <v>#NUM!</v>
      </c>
      <c r="Y343" t="e">
        <f t="array" ref="Y343">INDEX('Raw Data'!$A:$O,F343,21)</f>
        <v>#NUM!</v>
      </c>
      <c r="Z343" t="e">
        <f t="array" ref="Z343">INDEX('Raw Data'!$A:$O,$F343,3)</f>
        <v>#NUM!</v>
      </c>
      <c r="AA343" t="e">
        <f t="array" ref="AA343">INDEX('Raw Data'!$A:$O,$F343,22)</f>
        <v>#NUM!</v>
      </c>
      <c r="AB343" t="e">
        <f t="array" ref="AB343">INDEX('Raw Data'!$A:$O,$F343,23)</f>
        <v>#NUM!</v>
      </c>
    </row>
    <row r="344" spans="1:44" x14ac:dyDescent="0.25">
      <c r="A344" t="s">
        <v>54</v>
      </c>
      <c r="B344">
        <f t="array" ref="B344">I355</f>
        <v>0</v>
      </c>
      <c r="F344" t="e">
        <f t="array" ref="F344">SMALL(IF('Raw Data'!A:A=C339,ROW('Raw Data'!A:A)),ROW('Raw Data'!$5:$5))</f>
        <v>#NUM!</v>
      </c>
      <c r="G344" t="e">
        <f t="array" ref="G344">INDEX('Raw Data'!A:A,F344,9)</f>
        <v>#NUM!</v>
      </c>
      <c r="H344" t="e">
        <f t="array" ref="H344">INDEX('Raw Data'!A:A,F344,10)</f>
        <v>#NUM!</v>
      </c>
      <c r="I344" t="e">
        <f t="array" ref="I344">INDEX('Raw Data'!$A:A,$F344,11)</f>
        <v>#NUM!</v>
      </c>
      <c r="J344" t="e">
        <f t="array" ref="J344">INDEX('Raw Data'!$A:A,F344,12)</f>
        <v>#NUM!</v>
      </c>
      <c r="K344" t="e">
        <f>(--INDEX('Raw Data'!$A$4:B$993,F344,4))</f>
        <v>#NUM!</v>
      </c>
      <c r="L344" t="e">
        <f t="array" ref="L344">(--INDEX('Raw Data'!$A$4:B$993,F344,5))</f>
        <v>#NUM!</v>
      </c>
      <c r="M344" t="e">
        <f t="array" ref="M344">(--INDEX('Raw Data'!$A$4:D$993,$F344,6))</f>
        <v>#NUM!</v>
      </c>
      <c r="N344" t="e">
        <f t="array" ref="N344">(--INDEX('Raw Data'!$A$4:D$993,$F344,7))</f>
        <v>#NUM!</v>
      </c>
      <c r="O344" t="e">
        <f t="array" ref="O344">IF(--INDEX('Raw Data'!$A$4:E$993,$F344,8)= 0, 1, 0)</f>
        <v>#NUM!</v>
      </c>
      <c r="P344" t="e">
        <f t="array" ref="P344">IF(--INDEX('Raw Data'!$A$4:F$993,$F344,8)= 1, 1, 0)</f>
        <v>#NUM!</v>
      </c>
      <c r="Q344" t="e">
        <f t="array" ref="Q344">IF(--INDEX('Raw Data'!$A$4:G$993,$F344,13)= 1, 1, 0)</f>
        <v>#NUM!</v>
      </c>
      <c r="R344" t="e">
        <f t="array" ref="R344">IF(--INDEX('Raw Data'!$A$4:H$993,$F344,14)= 1, 1, 0)</f>
        <v>#NUM!</v>
      </c>
      <c r="S344" t="e">
        <f t="array" ref="S344">IF(--INDEX('Raw Data'!$A$4:I$993,$F344,15)= 1, 1, 0)</f>
        <v>#NUM!</v>
      </c>
      <c r="T344" t="e">
        <f t="array" ref="T344">IF(--INDEX('Raw Data'!$A$4:I$993,$F344,15)= 1, 1, 0)</f>
        <v>#NUM!</v>
      </c>
      <c r="U344" t="e">
        <f t="array" ref="U344">IF(--INDEX('Raw Data'!$A$4:J$993,$F344,16)= 1, 1, 0)</f>
        <v>#NUM!</v>
      </c>
      <c r="V344" t="e">
        <f t="array" ref="V344">IF(--INDEX('Raw Data'!$A$4:K$993,$F344,17)= 1, 1, 0)</f>
        <v>#NUM!</v>
      </c>
      <c r="W344" t="e">
        <f t="array" ref="W344">INDEX('Raw Data'!$A:$O,$F344,19)</f>
        <v>#NUM!</v>
      </c>
      <c r="X344" t="e">
        <f t="array" ref="X344">INDEX('Raw Data'!$A:$O,$F344,20)</f>
        <v>#NUM!</v>
      </c>
      <c r="Y344" t="e">
        <f t="array" ref="Y344">INDEX('Raw Data'!$A:$O,F344,21)</f>
        <v>#NUM!</v>
      </c>
      <c r="Z344" t="e">
        <f t="array" ref="Z344">INDEX('Raw Data'!$A:$O,$F344,3)</f>
        <v>#NUM!</v>
      </c>
      <c r="AA344" t="e">
        <f t="array" ref="AA344">INDEX('Raw Data'!$A:$O,$F344,22)</f>
        <v>#NUM!</v>
      </c>
      <c r="AB344" t="e">
        <f t="array" ref="AB344">INDEX('Raw Data'!$A:$O,$F344,23)</f>
        <v>#NUM!</v>
      </c>
      <c r="AR344" s="25"/>
    </row>
    <row r="345" spans="1:44" x14ac:dyDescent="0.25">
      <c r="A345" t="s">
        <v>35</v>
      </c>
      <c r="B345">
        <f t="array" ref="B345">J355</f>
        <v>0</v>
      </c>
      <c r="F345" t="e">
        <f t="array" ref="F345">SMALL(IF('Raw Data'!A:A=C339,ROW('Raw Data'!A:A)),ROW('Raw Data'!$6:$6))</f>
        <v>#NUM!</v>
      </c>
      <c r="G345" t="e">
        <f t="array" ref="G345">INDEX('Raw Data'!A:A,F345,9)</f>
        <v>#NUM!</v>
      </c>
      <c r="H345" t="e">
        <f t="array" ref="H345">INDEX('Raw Data'!A:A,F345,10)</f>
        <v>#NUM!</v>
      </c>
      <c r="I345" t="e">
        <f t="array" ref="I345">INDEX('Raw Data'!$A:A,$F345,11)</f>
        <v>#NUM!</v>
      </c>
      <c r="J345" t="e">
        <f t="array" ref="J345">INDEX('Raw Data'!$A:A,F345,12)</f>
        <v>#NUM!</v>
      </c>
      <c r="K345" t="e">
        <f>(--INDEX('Raw Data'!$A$4:B$993,F345,4))</f>
        <v>#NUM!</v>
      </c>
      <c r="L345" t="e">
        <f t="array" ref="L345">(--INDEX('Raw Data'!$A$4:B$998,F345,5))</f>
        <v>#NUM!</v>
      </c>
      <c r="M345" t="e">
        <f t="array" ref="M345">(--INDEX('Raw Data'!$A$4:D$998,$F345,6))</f>
        <v>#NUM!</v>
      </c>
      <c r="N345" t="e">
        <f t="array" ref="N345">(--INDEX('Raw Data'!$A$4:D$993,$F345,7))</f>
        <v>#NUM!</v>
      </c>
      <c r="O345" t="e">
        <f t="array" ref="O345">IF(--INDEX('Raw Data'!$A$4:E$993,$F345,8)= 0, 1, 0)</f>
        <v>#NUM!</v>
      </c>
      <c r="P345" t="e">
        <f t="array" ref="P345">IF(--INDEX('Raw Data'!$A$4:F$998,$F345,8)= 1, 1, 0)</f>
        <v>#NUM!</v>
      </c>
      <c r="Q345" t="e">
        <f t="array" ref="Q345">IF(--INDEX('Raw Data'!$A$4:G$998,$F345,13)= 1, 1, 0)</f>
        <v>#NUM!</v>
      </c>
      <c r="R345" t="e">
        <f t="array" ref="R345">IF(--INDEX('Raw Data'!$A$4:H$998,$F345,14)= 1, 1, 0)</f>
        <v>#NUM!</v>
      </c>
      <c r="S345" t="e">
        <f t="array" ref="S345">IF(--INDEX('Raw Data'!$A$4:I$993,$F345,15)= 1, 1, 0)</f>
        <v>#NUM!</v>
      </c>
      <c r="T345" t="e">
        <f t="array" ref="T345">IF(--INDEX('Raw Data'!$A$4:I$998,$F345,15)= 1, 1, 0)</f>
        <v>#NUM!</v>
      </c>
      <c r="U345" t="e">
        <f t="array" ref="U345">IF(--INDEX('Raw Data'!$A$4:J$998,$F345,16)= 1, 1, 0)</f>
        <v>#NUM!</v>
      </c>
      <c r="V345" t="e">
        <f t="array" ref="V345">IF(--INDEX('Raw Data'!$A$4:K$993,$F345,17)= 1, 1, 0)</f>
        <v>#NUM!</v>
      </c>
      <c r="W345" t="e">
        <f t="array" ref="W345">INDEX('Raw Data'!$A:$O,$F345,19)</f>
        <v>#NUM!</v>
      </c>
      <c r="X345" t="e">
        <f t="array" ref="X345">INDEX('Raw Data'!$A:$O,$F345,20)</f>
        <v>#NUM!</v>
      </c>
      <c r="Y345" t="e">
        <f t="array" ref="Y345">INDEX('Raw Data'!$A:$O,F345,21)</f>
        <v>#NUM!</v>
      </c>
      <c r="Z345" t="e">
        <f t="array" ref="Z345">INDEX('Raw Data'!$A:$O,$F345,3)</f>
        <v>#NUM!</v>
      </c>
      <c r="AA345" t="e">
        <f t="array" ref="AA345">INDEX('Raw Data'!$A:$O,$F345,22)</f>
        <v>#NUM!</v>
      </c>
      <c r="AB345" t="e">
        <f t="array" ref="AB345">INDEX('Raw Data'!$A:$O,$F345,23)</f>
        <v>#NUM!</v>
      </c>
      <c r="AR345" s="25"/>
    </row>
    <row r="346" spans="1:44" ht="28.5" x14ac:dyDescent="0.45">
      <c r="F346" t="e">
        <f t="array" ref="F346">SMALL(IF('Raw Data'!A:A=C339,ROW('Raw Data'!A:A)),ROW('Raw Data'!$7:$7))</f>
        <v>#NUM!</v>
      </c>
      <c r="G346" t="e">
        <f t="array" ref="G346">INDEX('Raw Data'!A:A,F346,9)</f>
        <v>#NUM!</v>
      </c>
      <c r="H346" t="e">
        <f t="array" ref="H346">INDEX('Raw Data'!A:A,F346,10)</f>
        <v>#NUM!</v>
      </c>
      <c r="I346" t="e">
        <f t="array" ref="I346">INDEX('Raw Data'!$A:A,$F346,11)</f>
        <v>#NUM!</v>
      </c>
      <c r="J346" t="e">
        <f t="array" ref="J346">INDEX('Raw Data'!$A:A,F346,12)</f>
        <v>#NUM!</v>
      </c>
      <c r="K346" t="e">
        <f t="array" ref="K346">(--INDEX('Raw Data'!$A$4:B$998,F346,4))</f>
        <v>#NUM!</v>
      </c>
      <c r="L346" t="e">
        <f t="array" ref="L346">(--INDEX('Raw Data'!$A$4:B$998,F346,5))</f>
        <v>#NUM!</v>
      </c>
      <c r="M346" t="e">
        <f t="array" ref="M346">(--INDEX('Raw Data'!$A$4:D$998,$F346,6))</f>
        <v>#NUM!</v>
      </c>
      <c r="N346" t="e">
        <f t="array" ref="N346">(--INDEX('Raw Data'!$A$4:D$998,$F346,7))</f>
        <v>#NUM!</v>
      </c>
      <c r="O346" t="e">
        <f t="array" ref="O346">IF(--INDEX('Raw Data'!$A$4:E$998,$F346,8)= 0, 1, 0)</f>
        <v>#NUM!</v>
      </c>
      <c r="P346" t="e">
        <f t="array" ref="P346">IF(--INDEX('Raw Data'!$A$4:F$998,$F346,8)= 1, 1, 0)</f>
        <v>#NUM!</v>
      </c>
      <c r="Q346" t="e">
        <f t="array" ref="Q346">IF(--INDEX('Raw Data'!$A$4:G$998,$F346,13)= 1, 1, 0)</f>
        <v>#NUM!</v>
      </c>
      <c r="R346" t="e">
        <f t="array" ref="R346">IF(--INDEX('Raw Data'!$A$4:H$998,$F346,14)= 1, 1, 0)</f>
        <v>#NUM!</v>
      </c>
      <c r="S346" t="e">
        <f t="array" ref="S346">IF(--INDEX('Raw Data'!$A$4:I$998,$F346,15)= 1, 1, 0)</f>
        <v>#NUM!</v>
      </c>
      <c r="T346" t="e">
        <f t="array" ref="T346">IF(--INDEX('Raw Data'!$A$4:I$998,$F346,15)= 1, 1, 0)</f>
        <v>#NUM!</v>
      </c>
      <c r="U346" t="e">
        <f t="array" ref="U346">IF(--INDEX('Raw Data'!$A$4:J$998,$F346,16)= 1, 1, 0)</f>
        <v>#NUM!</v>
      </c>
      <c r="V346" t="e">
        <f t="array" ref="V346">IF(--INDEX('Raw Data'!$A$4:K$998,$F346,17)= 1, 1, 0)</f>
        <v>#NUM!</v>
      </c>
      <c r="W346" t="e">
        <f t="array" ref="W346">INDEX('Raw Data'!$A:$O,$F346,19)</f>
        <v>#NUM!</v>
      </c>
      <c r="X346" t="e">
        <f t="array" ref="X346">INDEX('Raw Data'!$A:$O,$F346,20)</f>
        <v>#NUM!</v>
      </c>
      <c r="Y346" t="e">
        <f t="array" ref="Y346">INDEX('Raw Data'!$A:$O,F346,21)</f>
        <v>#NUM!</v>
      </c>
      <c r="Z346" t="e">
        <f t="array" ref="Z346">INDEX('Raw Data'!$A:$O,$F346,3)</f>
        <v>#NUM!</v>
      </c>
      <c r="AA346" t="e">
        <f t="array" ref="AA346">INDEX('Raw Data'!$A:$O,$F346,22)</f>
        <v>#NUM!</v>
      </c>
      <c r="AB346" t="e">
        <f t="array" ref="AB346">INDEX('Raw Data'!$A:$O,$F346,23)</f>
        <v>#NUM!</v>
      </c>
      <c r="AM346" s="21"/>
    </row>
    <row r="347" spans="1:44" x14ac:dyDescent="0.25">
      <c r="F347" t="e">
        <f t="array" ref="F347">SMALL(IF('Raw Data'!A:A=C339,ROW('Raw Data'!A:A)),ROW('Raw Data'!$8:$8))</f>
        <v>#NUM!</v>
      </c>
      <c r="G347" t="e">
        <f t="array" ref="G347">INDEX('Raw Data'!A:A,F347,9)</f>
        <v>#NUM!</v>
      </c>
      <c r="H347" t="e">
        <f t="array" ref="H347">INDEX('Raw Data'!A:A,F347,10)</f>
        <v>#NUM!</v>
      </c>
      <c r="I347" t="e">
        <f t="array" ref="I347">INDEX('Raw Data'!$A:A,$F347,11)</f>
        <v>#NUM!</v>
      </c>
      <c r="J347" t="e">
        <f t="array" ref="J347">INDEX('Raw Data'!$A:A,F347,12)</f>
        <v>#NUM!</v>
      </c>
      <c r="K347" t="e">
        <f t="array" ref="K347">(--INDEX('Raw Data'!$A$4:B$998,F347,4))</f>
        <v>#NUM!</v>
      </c>
      <c r="L347" t="e">
        <f t="array" ref="L347">(--INDEX('Raw Data'!$A$4:B$998,F347,5))</f>
        <v>#NUM!</v>
      </c>
      <c r="M347" t="e">
        <f t="array" ref="M347">(--INDEX('Raw Data'!$A$4:D$998,$F347,6))</f>
        <v>#NUM!</v>
      </c>
      <c r="N347" t="e">
        <f t="array" ref="N347">(--INDEX('Raw Data'!$A$4:D$998,$F347,7))</f>
        <v>#NUM!</v>
      </c>
      <c r="O347" t="e">
        <f t="array" ref="O347">IF(--INDEX('Raw Data'!$A$4:E$998,$F347,8)= 0, 1, 0)</f>
        <v>#NUM!</v>
      </c>
      <c r="P347" t="e">
        <f t="array" ref="P347">IF(--INDEX('Raw Data'!$A$4:F$998,$F347,8)= 1, 1, 0)</f>
        <v>#NUM!</v>
      </c>
      <c r="Q347" t="e">
        <f t="array" ref="Q347">IF(--INDEX('Raw Data'!$A$4:G$998,$F347,13)= 1, 1, 0)</f>
        <v>#NUM!</v>
      </c>
      <c r="R347" t="e">
        <f t="array" ref="R347">IF(--INDEX('Raw Data'!$A$4:H$998,$F347,14)= 1, 1, 0)</f>
        <v>#NUM!</v>
      </c>
      <c r="S347" t="e">
        <f t="array" ref="S347">IF(--INDEX('Raw Data'!$A$4:I$998,$F347,15)= 1, 1, 0)</f>
        <v>#NUM!</v>
      </c>
      <c r="T347" t="e">
        <f t="array" ref="T347">IF(--INDEX('Raw Data'!$A$4:I$998,$F347,15)= 1, 1, 0)</f>
        <v>#NUM!</v>
      </c>
      <c r="U347" t="e">
        <f t="array" ref="U347">IF(--INDEX('Raw Data'!$A$4:J$998,$F347,16)= 1, 1, 0)</f>
        <v>#NUM!</v>
      </c>
      <c r="V347" t="e">
        <f t="array" ref="V347">IF(--INDEX('Raw Data'!$A$4:K$998,$F347,17)= 1, 1, 0)</f>
        <v>#NUM!</v>
      </c>
      <c r="W347" t="e">
        <f t="array" ref="W347">INDEX('Raw Data'!$A:$O,$F347,19)</f>
        <v>#NUM!</v>
      </c>
      <c r="X347" t="e">
        <f t="array" ref="X347">INDEX('Raw Data'!$A:$O,$F347,20)</f>
        <v>#NUM!</v>
      </c>
      <c r="Y347" t="e">
        <f t="array" ref="Y347">INDEX('Raw Data'!$A:$O,F347,21)</f>
        <v>#NUM!</v>
      </c>
      <c r="Z347" t="e">
        <f t="array" ref="Z347">INDEX('Raw Data'!$A:$O,$F347,3)</f>
        <v>#NUM!</v>
      </c>
      <c r="AA347" t="e">
        <f t="array" ref="AA347">INDEX('Raw Data'!$A:$O,$F347,22)</f>
        <v>#NUM!</v>
      </c>
      <c r="AB347" t="e">
        <f t="array" ref="AB347">INDEX('Raw Data'!$A:$O,$F347,23)</f>
        <v>#NUM!</v>
      </c>
    </row>
    <row r="348" spans="1:44" x14ac:dyDescent="0.25">
      <c r="F348" t="e">
        <f t="array" ref="F348">SMALL(IF('Raw Data'!A:A=C339,ROW('Raw Data'!A:A)),ROW('Raw Data'!$9:$9))</f>
        <v>#NUM!</v>
      </c>
      <c r="G348" t="e">
        <f t="array" ref="G348">INDEX('Raw Data'!A:A,F348,9)</f>
        <v>#NUM!</v>
      </c>
      <c r="H348" t="e">
        <f t="array" ref="H348">INDEX('Raw Data'!A:A,F348,10)</f>
        <v>#NUM!</v>
      </c>
      <c r="I348" t="e">
        <f t="array" ref="I348">INDEX('Raw Data'!$A:A,$F348,11)</f>
        <v>#NUM!</v>
      </c>
      <c r="J348" t="e">
        <f t="array" ref="J348">INDEX('Raw Data'!$A:A,F348,12)</f>
        <v>#NUM!</v>
      </c>
      <c r="K348" t="e">
        <f t="array" ref="K348">(--INDEX('Raw Data'!$A$4:B$998,F348,4))</f>
        <v>#NUM!</v>
      </c>
      <c r="L348" t="e">
        <f t="array" ref="L348">(--INDEX('Raw Data'!$A$4:B$998,F348,5))</f>
        <v>#NUM!</v>
      </c>
      <c r="M348" t="e">
        <f t="array" ref="M348">(--INDEX('Raw Data'!$A$4:D$998,$F348,6))</f>
        <v>#NUM!</v>
      </c>
      <c r="N348" t="e">
        <f t="array" ref="N348">(--INDEX('Raw Data'!$A$4:D$998,$F348,7))</f>
        <v>#NUM!</v>
      </c>
      <c r="O348" t="e">
        <f t="array" ref="O348">IF(--INDEX('Raw Data'!$A$4:E$998,$F348,8)= 0, 1, 0)</f>
        <v>#NUM!</v>
      </c>
      <c r="P348" t="e">
        <f t="array" ref="P348">IF(--INDEX('Raw Data'!$A$4:F$998,$F348,8)= 1, 1, 0)</f>
        <v>#NUM!</v>
      </c>
      <c r="Q348" t="e">
        <f t="array" ref="Q348">IF(--INDEX('Raw Data'!$A$4:G$998,$F348,13)= 1, 1, 0)</f>
        <v>#NUM!</v>
      </c>
      <c r="R348" t="e">
        <f t="array" ref="R348">IF(--INDEX('Raw Data'!$A$4:H$998,$F348,14)= 1, 1, 0)</f>
        <v>#NUM!</v>
      </c>
      <c r="S348" t="e">
        <f t="array" ref="S348">IF(--INDEX('Raw Data'!$A$4:I$998,$F348,15)= 1, 1, 0)</f>
        <v>#NUM!</v>
      </c>
      <c r="T348" t="e">
        <f t="array" ref="T348">IF(--INDEX('Raw Data'!$A$4:I$998,$F348,15)= 1, 1, 0)</f>
        <v>#NUM!</v>
      </c>
      <c r="U348" t="e">
        <f t="array" ref="U348">IF(--INDEX('Raw Data'!$A$4:J$998,$F348,16)= 1, 1, 0)</f>
        <v>#NUM!</v>
      </c>
      <c r="V348" t="e">
        <f t="array" ref="V348">IF(--INDEX('Raw Data'!$A$4:K$998,$F348,17)= 1, 1, 0)</f>
        <v>#NUM!</v>
      </c>
      <c r="W348" t="e">
        <f t="array" ref="W348">INDEX('Raw Data'!$A:$O,$F348,19)</f>
        <v>#NUM!</v>
      </c>
      <c r="X348" t="e">
        <f t="array" ref="X348">INDEX('Raw Data'!$A:$O,$F348,20)</f>
        <v>#NUM!</v>
      </c>
      <c r="Y348" t="e">
        <f t="array" ref="Y348">INDEX('Raw Data'!$A:$O,F348,21)</f>
        <v>#NUM!</v>
      </c>
      <c r="Z348" t="e">
        <f t="array" ref="Z348">INDEX('Raw Data'!$A:$O,$F348,3)</f>
        <v>#NUM!</v>
      </c>
      <c r="AA348" t="e">
        <f t="array" ref="AA348">INDEX('Raw Data'!$A:$O,$F348,22)</f>
        <v>#NUM!</v>
      </c>
      <c r="AB348" t="e">
        <f t="array" ref="AB348">INDEX('Raw Data'!$A:$O,$F348,23)</f>
        <v>#NUM!</v>
      </c>
    </row>
    <row r="349" spans="1:44" x14ac:dyDescent="0.25">
      <c r="F349" t="e">
        <f t="array" ref="F349">SMALL(IF('Raw Data'!A:A=C339,ROW('Raw Data'!A:A)),ROW('Raw Data'!$10:$10))</f>
        <v>#NUM!</v>
      </c>
      <c r="G349" t="e">
        <f t="array" ref="G349">INDEX('Raw Data'!A:A,F349,9)</f>
        <v>#NUM!</v>
      </c>
      <c r="H349" t="e">
        <f t="array" ref="H349">INDEX('Raw Data'!A:A,F349,10)</f>
        <v>#NUM!</v>
      </c>
      <c r="I349" t="e">
        <f t="array" ref="I349">INDEX('Raw Data'!$A:A,$F349,11)</f>
        <v>#NUM!</v>
      </c>
      <c r="J349" t="e">
        <f t="array" ref="J349">INDEX('Raw Data'!$A:A,F349,12)</f>
        <v>#NUM!</v>
      </c>
      <c r="K349" t="e">
        <f t="array" ref="K349">(--INDEX('Raw Data'!$A$4:B$998,F349,4))</f>
        <v>#NUM!</v>
      </c>
      <c r="L349" t="e">
        <f t="array" ref="L349">(--INDEX('Raw Data'!$A$4:B$998,F349,5))</f>
        <v>#NUM!</v>
      </c>
      <c r="M349" t="e">
        <f t="array" ref="M349">(--INDEX('Raw Data'!$A$4:D$998,$F349,6))</f>
        <v>#NUM!</v>
      </c>
      <c r="N349" t="e">
        <f t="array" ref="N349">(--INDEX('Raw Data'!$A$4:D$998,$F349,7))</f>
        <v>#NUM!</v>
      </c>
      <c r="O349" t="e">
        <f t="array" ref="O349">IF(--INDEX('Raw Data'!$A$4:E$998,$F349,8)= 0, 1, 0)</f>
        <v>#NUM!</v>
      </c>
      <c r="P349" t="e">
        <f t="array" ref="P349">IF(--INDEX('Raw Data'!$A$4:F$998,$F349,8)= 1, 1, 0)</f>
        <v>#NUM!</v>
      </c>
      <c r="Q349" t="e">
        <f t="array" ref="Q349">IF(--INDEX('Raw Data'!$A$4:G$998,$F349,13)= 1, 1, 0)</f>
        <v>#NUM!</v>
      </c>
      <c r="R349" t="e">
        <f t="array" ref="R349">IF(--INDEX('Raw Data'!$A$4:H$998,$F349,14)= 1, 1, 0)</f>
        <v>#NUM!</v>
      </c>
      <c r="S349" t="e">
        <f t="array" ref="S349">IF(--INDEX('Raw Data'!$A$4:I$998,$F349,15)= 1, 1, 0)</f>
        <v>#NUM!</v>
      </c>
      <c r="T349" t="e">
        <f t="array" ref="T349">IF(--INDEX('Raw Data'!$A$4:I$998,$F349,15)= 1, 1, 0)</f>
        <v>#NUM!</v>
      </c>
      <c r="U349" t="e">
        <f t="array" ref="U349">IF(--INDEX('Raw Data'!$A$4:J$998,$F349,16)= 1, 1, 0)</f>
        <v>#NUM!</v>
      </c>
      <c r="V349" t="e">
        <f t="array" ref="V349">IF(--INDEX('Raw Data'!$A$4:K$998,$F349,17)= 1, 1, 0)</f>
        <v>#NUM!</v>
      </c>
      <c r="W349" t="e">
        <f t="array" ref="W349">INDEX('Raw Data'!$A:$O,$F349,19)</f>
        <v>#NUM!</v>
      </c>
      <c r="X349" t="e">
        <f t="array" ref="X349">INDEX('Raw Data'!$A:$O,$F349,20)</f>
        <v>#NUM!</v>
      </c>
      <c r="Y349" t="e">
        <f t="array" ref="Y349">INDEX('Raw Data'!$A:$O,F349,21)</f>
        <v>#NUM!</v>
      </c>
      <c r="Z349" t="e">
        <f t="array" ref="Z349">INDEX('Raw Data'!$A:$O,$F349,3)</f>
        <v>#NUM!</v>
      </c>
      <c r="AA349" t="e">
        <f t="array" ref="AA349">INDEX('Raw Data'!$A:$O,$F349,22)</f>
        <v>#NUM!</v>
      </c>
      <c r="AB349" t="e">
        <f t="array" ref="AB349">INDEX('Raw Data'!$A:$O,$F349,23)</f>
        <v>#NUM!</v>
      </c>
    </row>
    <row r="350" spans="1:44" x14ac:dyDescent="0.25">
      <c r="F350" t="e">
        <f t="array" ref="F350">SMALL(IF('Raw Data'!A:A=C339,ROW('Raw Data'!A:A)),ROW('Raw Data'!$11:$11))</f>
        <v>#NUM!</v>
      </c>
      <c r="G350" t="e">
        <f t="array" ref="G350">INDEX('Raw Data'!A:A,F350,9)</f>
        <v>#NUM!</v>
      </c>
      <c r="H350" t="e">
        <f t="array" ref="H350">INDEX('Raw Data'!A:A,F350,10)</f>
        <v>#NUM!</v>
      </c>
      <c r="I350" t="e">
        <f t="array" ref="I350">INDEX('Raw Data'!$A:A,$F350,11)</f>
        <v>#NUM!</v>
      </c>
      <c r="J350" t="e">
        <f t="array" ref="J350">INDEX('Raw Data'!$A:A,F350,12)</f>
        <v>#NUM!</v>
      </c>
      <c r="K350" t="e">
        <f t="array" ref="K350">(--INDEX('Raw Data'!$A$4:B$998,F350,4))</f>
        <v>#NUM!</v>
      </c>
      <c r="L350" t="e">
        <f t="array" ref="L350">(--INDEX('Raw Data'!$A$4:B$998,F350,5))</f>
        <v>#NUM!</v>
      </c>
      <c r="M350" t="e">
        <f t="array" ref="M350">(--INDEX('Raw Data'!$A$4:D$998,$F350,6))</f>
        <v>#NUM!</v>
      </c>
      <c r="N350" t="e">
        <f t="array" ref="N350">(--INDEX('Raw Data'!$A$4:D$998,$F350,7))</f>
        <v>#NUM!</v>
      </c>
      <c r="O350" t="e">
        <f t="array" ref="O350">IF(--INDEX('Raw Data'!$A$4:E$998,$F350,8)= 0, 1, 0)</f>
        <v>#NUM!</v>
      </c>
      <c r="P350" t="e">
        <f t="array" ref="P350">IF(--INDEX('Raw Data'!$A$4:F$998,$F350,8)= 1, 1, 0)</f>
        <v>#NUM!</v>
      </c>
      <c r="Q350" t="e">
        <f t="array" ref="Q350">IF(--INDEX('Raw Data'!$A$4:G$998,$F350,13)= 1, 1, 0)</f>
        <v>#NUM!</v>
      </c>
      <c r="R350" t="e">
        <f t="array" ref="R350">IF(--INDEX('Raw Data'!$A$4:H$998,$F350,14)= 1, 1, 0)</f>
        <v>#NUM!</v>
      </c>
      <c r="S350" t="e">
        <f t="array" ref="S350">IF(--INDEX('Raw Data'!$A$4:I$998,$F350,15)= 1, 1, 0)</f>
        <v>#NUM!</v>
      </c>
      <c r="T350" t="e">
        <f t="array" ref="T350">IF(--INDEX('Raw Data'!$A$4:I$998,$F350,15)= 1, 1, 0)</f>
        <v>#NUM!</v>
      </c>
      <c r="U350" t="e">
        <f t="array" ref="U350">IF(--INDEX('Raw Data'!$A$4:J$998,$F350,16)= 1, 1, 0)</f>
        <v>#NUM!</v>
      </c>
      <c r="V350" t="e">
        <f t="array" ref="V350">IF(--INDEX('Raw Data'!$A$4:K$998,$F350,17)= 1, 1, 0)</f>
        <v>#NUM!</v>
      </c>
      <c r="W350" t="e">
        <f t="array" ref="W350">INDEX('Raw Data'!$A:$O,$F350,19)</f>
        <v>#NUM!</v>
      </c>
      <c r="X350" t="e">
        <f t="array" ref="X350">INDEX('Raw Data'!$A:$O,$F350,20)</f>
        <v>#NUM!</v>
      </c>
      <c r="Y350" t="e">
        <f t="array" ref="Y350">INDEX('Raw Data'!$A:$O,F350,21)</f>
        <v>#NUM!</v>
      </c>
      <c r="Z350" t="e">
        <f t="array" ref="Z350">INDEX('Raw Data'!$A:$O,$F350,3)</f>
        <v>#NUM!</v>
      </c>
      <c r="AA350" t="e">
        <f t="array" ref="AA350">INDEX('Raw Data'!$A:$O,$F350,22)</f>
        <v>#NUM!</v>
      </c>
      <c r="AB350" t="e">
        <f t="array" ref="AB350">INDEX('Raw Data'!$A:$O,$F350,23)</f>
        <v>#NUM!</v>
      </c>
    </row>
    <row r="351" spans="1:44" x14ac:dyDescent="0.25">
      <c r="F351" t="e">
        <f t="array" ref="F351">SMALL(IF('Raw Data'!A:A=C339,ROW('Raw Data'!A:A)),ROW('Raw Data'!$12:$12))</f>
        <v>#NUM!</v>
      </c>
      <c r="G351" t="e">
        <f t="array" ref="G351">INDEX('Raw Data'!A:A,F351,9)</f>
        <v>#NUM!</v>
      </c>
      <c r="H351" t="e">
        <f t="array" ref="H351">INDEX('Raw Data'!A:A,F351,10)</f>
        <v>#NUM!</v>
      </c>
      <c r="I351" t="e">
        <f t="array" ref="I351">INDEX('Raw Data'!$A:A,$F351,11)</f>
        <v>#NUM!</v>
      </c>
      <c r="J351" t="e">
        <f t="array" ref="J351">INDEX('Raw Data'!$A:A,F351,12)</f>
        <v>#NUM!</v>
      </c>
      <c r="K351" t="e">
        <f t="array" ref="K351">(--INDEX('Raw Data'!$A$4:B$998,F351,4))</f>
        <v>#NUM!</v>
      </c>
      <c r="L351" t="e">
        <f t="array" ref="L351">(--INDEX('Raw Data'!$A$4:B$998,F351,5))</f>
        <v>#NUM!</v>
      </c>
      <c r="M351" t="e">
        <f t="array" ref="M351">(--INDEX('Raw Data'!$A$4:D$998,$F351,6))</f>
        <v>#NUM!</v>
      </c>
      <c r="N351" t="e">
        <f t="array" ref="N351">(--INDEX('Raw Data'!$A$4:D$998,$F351,7))</f>
        <v>#NUM!</v>
      </c>
      <c r="O351" t="e">
        <f t="array" ref="O351">IF(--INDEX('Raw Data'!$A$4:E$998,$F351,8)= 0, 1, 0)</f>
        <v>#NUM!</v>
      </c>
      <c r="P351" t="e">
        <f t="array" ref="P351">IF(--INDEX('Raw Data'!$A$4:F$998,$F351,8)= 1, 1, 0)</f>
        <v>#NUM!</v>
      </c>
      <c r="Q351" t="e">
        <f t="array" ref="Q351">IF(--INDEX('Raw Data'!$A$4:G$998,$F351,13)= 1, 1, 0)</f>
        <v>#NUM!</v>
      </c>
      <c r="R351" t="e">
        <f t="array" ref="R351">IF(--INDEX('Raw Data'!$A$4:H$998,$F351,14)= 1, 1, 0)</f>
        <v>#NUM!</v>
      </c>
      <c r="S351" t="e">
        <f t="array" ref="S351">IF(--INDEX('Raw Data'!$A$4:I$998,$F351,15)= 1, 1, 0)</f>
        <v>#NUM!</v>
      </c>
      <c r="T351" t="e">
        <f t="array" ref="T351">IF(--INDEX('Raw Data'!$A$4:I$998,$F351,15)= 1, 1, 0)</f>
        <v>#NUM!</v>
      </c>
      <c r="U351" t="e">
        <f t="array" ref="U351">IF(--INDEX('Raw Data'!$A$4:J$998,$F351,16)= 1, 1, 0)</f>
        <v>#NUM!</v>
      </c>
      <c r="V351" t="e">
        <f t="array" ref="V351">IF(--INDEX('Raw Data'!$A$4:K$998,$F351,17)= 1, 1, 0)</f>
        <v>#NUM!</v>
      </c>
      <c r="W351" t="e">
        <f t="array" ref="W351">INDEX('Raw Data'!$A:$O,$F351,19)</f>
        <v>#NUM!</v>
      </c>
      <c r="X351" t="e">
        <f t="array" ref="X351">INDEX('Raw Data'!$A:$O,$F351,20)</f>
        <v>#NUM!</v>
      </c>
      <c r="Y351" t="e">
        <f t="array" ref="Y351">INDEX('Raw Data'!$A:$O,F351,21)</f>
        <v>#NUM!</v>
      </c>
      <c r="Z351" t="e">
        <f t="array" ref="Z351">INDEX('Raw Data'!$A:$O,$F351,3)</f>
        <v>#NUM!</v>
      </c>
      <c r="AA351" t="e">
        <f t="array" ref="AA351">INDEX('Raw Data'!$A:$O,$F351,22)</f>
        <v>#NUM!</v>
      </c>
      <c r="AB351" t="e">
        <f t="array" ref="AB351">INDEX('Raw Data'!$A:$O,$F351,23)</f>
        <v>#NUM!</v>
      </c>
    </row>
    <row r="352" spans="1:44" x14ac:dyDescent="0.25">
      <c r="F352" t="e">
        <f t="array" ref="F352">SMALL(IF('Raw Data'!A:A=C339,ROW('Raw Data'!A:A)),ROW('Raw Data'!$13:$13))</f>
        <v>#NUM!</v>
      </c>
      <c r="G352" t="e">
        <f t="array" ref="G352">INDEX('Raw Data'!A:A,F352,9)</f>
        <v>#NUM!</v>
      </c>
      <c r="H352" t="e">
        <f t="array" ref="H352">INDEX('Raw Data'!A:A,F352,10)</f>
        <v>#NUM!</v>
      </c>
      <c r="I352" t="e">
        <f t="array" ref="I352">INDEX('Raw Data'!$A:A,$F352,11)</f>
        <v>#NUM!</v>
      </c>
      <c r="J352" t="e">
        <f t="array" ref="J352">INDEX('Raw Data'!$A:A,F352,12)</f>
        <v>#NUM!</v>
      </c>
      <c r="K352" t="e">
        <f t="array" ref="K352">(--INDEX('Raw Data'!$A$4:B$998,F352,4))</f>
        <v>#NUM!</v>
      </c>
      <c r="L352" t="e">
        <f t="array" ref="L352">(--INDEX('Raw Data'!$A$4:B$998,F352,5))</f>
        <v>#NUM!</v>
      </c>
      <c r="M352" t="e">
        <f t="array" ref="M352">(--INDEX('Raw Data'!$A$4:D$998,$F352,6))</f>
        <v>#NUM!</v>
      </c>
      <c r="N352" t="e">
        <f t="array" ref="N352">(--INDEX('Raw Data'!$A$4:D$998,$F352,7))</f>
        <v>#NUM!</v>
      </c>
      <c r="O352" t="e">
        <f t="array" ref="O352">IF(--INDEX('Raw Data'!$A$4:E$998,$F352,8)= 0, 1, 0)</f>
        <v>#NUM!</v>
      </c>
      <c r="P352" t="e">
        <f t="array" ref="P352">IF(--INDEX('Raw Data'!$A$4:F$998,$F352,8)= 1, 1, 0)</f>
        <v>#NUM!</v>
      </c>
      <c r="Q352" t="e">
        <f t="array" ref="Q352">IF(--INDEX('Raw Data'!$A$4:G$998,$F352,13)= 1, 1, 0)</f>
        <v>#NUM!</v>
      </c>
      <c r="R352" t="e">
        <f t="array" ref="R352">IF(--INDEX('Raw Data'!$A$4:H$998,$F352,14)= 1, 1, 0)</f>
        <v>#NUM!</v>
      </c>
      <c r="S352" t="e">
        <f t="array" ref="S352">IF(--INDEX('Raw Data'!$A$4:I$998,$F352,15)= 1, 1, 0)</f>
        <v>#NUM!</v>
      </c>
      <c r="T352" t="e">
        <f t="array" ref="T352">IF(--INDEX('Raw Data'!$A$4:I$998,$F352,15)= 1, 1, 0)</f>
        <v>#NUM!</v>
      </c>
      <c r="U352" t="e">
        <f t="array" ref="U352">IF(--INDEX('Raw Data'!$A$4:J$998,$F352,16)= 1, 1, 0)</f>
        <v>#NUM!</v>
      </c>
      <c r="V352" t="e">
        <f t="array" ref="V352">IF(--INDEX('Raw Data'!$A$4:K$998,$F352,17)= 1, 1, 0)</f>
        <v>#NUM!</v>
      </c>
      <c r="W352" t="e">
        <f t="array" ref="W352">INDEX('Raw Data'!$A:$O,$F352,19)</f>
        <v>#NUM!</v>
      </c>
      <c r="X352" t="e">
        <f t="array" ref="X352">INDEX('Raw Data'!$A:$O,$F352,20)</f>
        <v>#NUM!</v>
      </c>
      <c r="Y352" t="e">
        <f t="array" ref="Y352">INDEX('Raw Data'!$A:$O,F352,21)</f>
        <v>#NUM!</v>
      </c>
      <c r="Z352" t="e">
        <f t="array" ref="Z352">INDEX('Raw Data'!$A:$O,$F352,3)</f>
        <v>#NUM!</v>
      </c>
      <c r="AA352" t="e">
        <f t="array" ref="AA352">INDEX('Raw Data'!$A:$O,$F352,22)</f>
        <v>#NUM!</v>
      </c>
      <c r="AB352" t="e">
        <f t="array" ref="AB352">INDEX('Raw Data'!$A:$O,$F352,23)</f>
        <v>#NUM!</v>
      </c>
    </row>
    <row r="353" spans="1:44" x14ac:dyDescent="0.25">
      <c r="F353" t="e">
        <f t="array" ref="F353">SMALL(IF('Raw Data'!A:A=C339,ROW('Raw Data'!A:A)),ROW('Raw Data'!$14:$14))</f>
        <v>#NUM!</v>
      </c>
      <c r="G353" t="e">
        <f t="array" ref="G353">INDEX('Raw Data'!A:A,F353,9)</f>
        <v>#NUM!</v>
      </c>
      <c r="H353" t="e">
        <f t="array" ref="H353">INDEX('Raw Data'!A:A,F353,10)</f>
        <v>#NUM!</v>
      </c>
      <c r="I353" t="e">
        <f t="array" ref="I353">INDEX('Raw Data'!$A:A,$F353,11)</f>
        <v>#NUM!</v>
      </c>
      <c r="J353" t="e">
        <f t="array" ref="J353">INDEX('Raw Data'!$A:A,F353,12)</f>
        <v>#NUM!</v>
      </c>
      <c r="K353" t="e">
        <f t="array" ref="K353">(--INDEX('Raw Data'!$A$4:B$998,F353,4))</f>
        <v>#NUM!</v>
      </c>
      <c r="L353" t="e">
        <f t="array" ref="L353">(--INDEX('Raw Data'!$A$4:B$998,F353,5))</f>
        <v>#NUM!</v>
      </c>
      <c r="M353" t="e">
        <f t="array" ref="M353">(--INDEX('Raw Data'!$A$4:D$998,$F353,6))</f>
        <v>#NUM!</v>
      </c>
      <c r="N353" t="e">
        <f t="array" ref="N353">(--INDEX('Raw Data'!$A$4:D$998,$F353,7))</f>
        <v>#NUM!</v>
      </c>
      <c r="O353" t="e">
        <f t="array" ref="O353">IF(--INDEX('Raw Data'!$A$4:E$998,$F353,8)= 0, 1, 0)</f>
        <v>#NUM!</v>
      </c>
      <c r="P353" t="e">
        <f t="array" ref="P353">IF(--INDEX('Raw Data'!$A$4:F$998,$F353,8)= 1, 1, 0)</f>
        <v>#NUM!</v>
      </c>
      <c r="Q353" t="e">
        <f t="array" ref="Q353">IF(--INDEX('Raw Data'!$A$4:G$998,$F353,13)= 1, 1, 0)</f>
        <v>#NUM!</v>
      </c>
      <c r="R353" t="e">
        <f t="array" ref="R353">IF(--INDEX('Raw Data'!$A$4:H$998,$F353,14)= 1, 1, 0)</f>
        <v>#NUM!</v>
      </c>
      <c r="S353" t="e">
        <f t="array" ref="S353">IF(--INDEX('Raw Data'!$A$4:I$998,$F353,15)= 1, 1, 0)</f>
        <v>#NUM!</v>
      </c>
      <c r="T353" t="e">
        <f t="array" ref="T353">IF(--INDEX('Raw Data'!$A$4:I$998,$F353,15)= 1, 1, 0)</f>
        <v>#NUM!</v>
      </c>
      <c r="U353" t="e">
        <f t="array" ref="U353">IF(--INDEX('Raw Data'!$A$4:J$998,$F353,16)= 1, 1, 0)</f>
        <v>#NUM!</v>
      </c>
      <c r="V353" t="e">
        <f t="array" ref="V353">IF(--INDEX('Raw Data'!$A$4:K$998,$F353,17)= 1, 1, 0)</f>
        <v>#NUM!</v>
      </c>
      <c r="W353" t="e">
        <f t="array" ref="W353">INDEX('Raw Data'!$A:$O,$F353,19)</f>
        <v>#NUM!</v>
      </c>
      <c r="X353" t="e">
        <f t="array" ref="X353">INDEX('Raw Data'!$A:$O,$F353,20)</f>
        <v>#NUM!</v>
      </c>
      <c r="Y353" t="e">
        <f t="array" ref="Y353">INDEX('Raw Data'!$A:$O,F353,21)</f>
        <v>#NUM!</v>
      </c>
      <c r="Z353" t="e">
        <f t="array" ref="Z353">INDEX('Raw Data'!$A:$O,$F353,3)</f>
        <v>#NUM!</v>
      </c>
      <c r="AA353" t="e">
        <f t="array" ref="AA353">INDEX('Raw Data'!$A:$O,$F353,22)</f>
        <v>#NUM!</v>
      </c>
      <c r="AB353" t="e">
        <f t="array" ref="AB353">INDEX('Raw Data'!$A:$O,$F353,23)</f>
        <v>#NUM!</v>
      </c>
    </row>
    <row r="354" spans="1:44" x14ac:dyDescent="0.25">
      <c r="F354" t="e">
        <f t="array" ref="F354">SMALL(IF('Raw Data'!A:A=C339,ROW('Raw Data'!A:A)),ROW('Raw Data'!$15:$15))</f>
        <v>#NUM!</v>
      </c>
      <c r="G354" t="e">
        <f t="array" ref="G354">INDEX('Raw Data'!A:A,F354,9)</f>
        <v>#NUM!</v>
      </c>
      <c r="H354" t="e">
        <f t="array" ref="H354">INDEX('Raw Data'!A:A,F354,10)</f>
        <v>#NUM!</v>
      </c>
      <c r="I354" t="e">
        <f t="array" ref="I354">INDEX('Raw Data'!$A:A,$F354,11)</f>
        <v>#NUM!</v>
      </c>
      <c r="J354" t="e">
        <f t="array" ref="J354">INDEX('Raw Data'!$A:A,F354,12)</f>
        <v>#NUM!</v>
      </c>
      <c r="K354" t="e">
        <f t="array" ref="K354">(--INDEX('Raw Data'!$A$4:B$998,F354,4))</f>
        <v>#NUM!</v>
      </c>
      <c r="L354" t="e">
        <f t="array" ref="L354">(--INDEX('Raw Data'!$A$4:B$998,F354,5))</f>
        <v>#NUM!</v>
      </c>
      <c r="M354" t="e">
        <f t="array" ref="M354">(--INDEX('Raw Data'!$A$4:D$998,$F354,6))</f>
        <v>#NUM!</v>
      </c>
      <c r="N354" t="e">
        <f t="array" ref="N354">(--INDEX('Raw Data'!$A$4:D$998,$F354,7))</f>
        <v>#NUM!</v>
      </c>
      <c r="O354" t="e">
        <f t="array" ref="O354">IF(--INDEX('Raw Data'!$A$4:E$998,$F354,8)= 0, 1, 0)</f>
        <v>#NUM!</v>
      </c>
      <c r="P354" t="e">
        <f t="array" ref="P354">IF(--INDEX('Raw Data'!$A$4:F$998,$F354,8)= 1, 1, 0)</f>
        <v>#NUM!</v>
      </c>
      <c r="Q354" t="e">
        <f t="array" ref="Q354">IF(--INDEX('Raw Data'!$A$4:G$998,$F354,13)= 1, 1, 0)</f>
        <v>#NUM!</v>
      </c>
      <c r="R354" t="e">
        <f t="array" ref="R354">IF(--INDEX('Raw Data'!$A$4:H$998,$F354,14)= 1, 1, 0)</f>
        <v>#NUM!</v>
      </c>
      <c r="S354" t="e">
        <f t="array" ref="S354">IF(--INDEX('Raw Data'!$A$4:I$998,$F354,15)= 1, 1, 0)</f>
        <v>#NUM!</v>
      </c>
      <c r="T354" t="e">
        <f t="array" ref="T354">IF(--INDEX('Raw Data'!$A$4:I$998,$F354,15)= 1, 1, 0)</f>
        <v>#NUM!</v>
      </c>
      <c r="U354" t="e">
        <f t="array" ref="U354">IF(--INDEX('Raw Data'!$A$4:J$998,$F354,16)= 1, 1, 0)</f>
        <v>#NUM!</v>
      </c>
      <c r="V354" t="e">
        <f t="array" ref="V354">IF(--INDEX('Raw Data'!$A$4:K$998,$F354,17)= 1, 1, 0)</f>
        <v>#NUM!</v>
      </c>
      <c r="W354" t="e">
        <f t="array" ref="W354">INDEX('Raw Data'!$A:$O,$F354,19)</f>
        <v>#NUM!</v>
      </c>
      <c r="X354" t="e">
        <f t="array" ref="X354">INDEX('Raw Data'!$A:$O,$F354,20)</f>
        <v>#NUM!</v>
      </c>
      <c r="Y354" t="e">
        <f t="array" ref="Y354">INDEX('Raw Data'!$A:$O,F354,21)</f>
        <v>#NUM!</v>
      </c>
      <c r="Z354" t="e">
        <f t="array" ref="Z354">INDEX('Raw Data'!$A:$O,$F354,3)</f>
        <v>#NUM!</v>
      </c>
      <c r="AA354" t="e">
        <f t="array" ref="AA354">INDEX('Raw Data'!$A:$O,$F354,22)</f>
        <v>#NUM!</v>
      </c>
      <c r="AB354" t="e">
        <f t="array" ref="AB354">INDEX('Raw Data'!$A:$O,$F354,23)</f>
        <v>#NUM!</v>
      </c>
    </row>
    <row r="355" spans="1:44" x14ac:dyDescent="0.25">
      <c r="A355" t="s">
        <v>55</v>
      </c>
      <c r="C355" s="2" t="e">
        <f>B345/B344</f>
        <v>#DIV/0!</v>
      </c>
      <c r="F355">
        <f t="array" ref="F355">COUNTIF(F340:F354,"&gt;0")</f>
        <v>0</v>
      </c>
      <c r="G355">
        <f t="array" ref="G355">SUMIF(G340:G354,"&gt;0")</f>
        <v>0</v>
      </c>
      <c r="H355">
        <f t="array" ref="H355">SUMIF(H340:H354,"&gt;0")</f>
        <v>0</v>
      </c>
      <c r="I355">
        <f t="array" ref="I355">SUMIF(I340:I354,"&gt;0")</f>
        <v>0</v>
      </c>
      <c r="J355">
        <f t="array" ref="J355">SUMIF(J340:J354,"&gt;0")</f>
        <v>0</v>
      </c>
      <c r="K355">
        <f t="array" ref="K355">SUMIF(K340:K354,"&gt;0")</f>
        <v>0</v>
      </c>
      <c r="L355">
        <f t="array" ref="L355">SUMIF(L340:L354,"&gt;0")</f>
        <v>0</v>
      </c>
      <c r="M355">
        <f t="array" ref="M355">SUMIF(M340:M354,"&gt;0")</f>
        <v>0</v>
      </c>
      <c r="N355">
        <f t="array" ref="N355">SUMIF(N340:N354,"&gt;0")</f>
        <v>0</v>
      </c>
      <c r="O355">
        <f t="array" ref="O355">SUMIF(O340:O354,"&gt;0")</f>
        <v>0</v>
      </c>
      <c r="P355">
        <f t="array" ref="P355">SUMIF(P340:P354,"&gt;0")</f>
        <v>0</v>
      </c>
      <c r="Q355">
        <f t="array" ref="Q355">SUMIF(Q340:Q354,"&gt;0")</f>
        <v>0</v>
      </c>
      <c r="R355">
        <f t="array" ref="R355">SUMIF(R340:R354,"&gt;0")</f>
        <v>0</v>
      </c>
      <c r="S355">
        <f t="array" ref="S355">SUMIF(S340:S354,"&gt;0")</f>
        <v>0</v>
      </c>
      <c r="T355">
        <f t="array" ref="T355">SUMIF(T340:T354,"&gt;0")</f>
        <v>0</v>
      </c>
      <c r="U355">
        <f t="array" ref="U355">SUMIF(U340:U354,"&gt;0")</f>
        <v>0</v>
      </c>
      <c r="V355">
        <f t="array" ref="V355">SUMIF(V340:V354,"&gt;0")</f>
        <v>0</v>
      </c>
      <c r="W355">
        <f t="array" ref="W355">SUMIF(W340:W354,"&gt;0")</f>
        <v>0</v>
      </c>
      <c r="X355">
        <f t="array" ref="X355">SUMIF(X340:X354,"&gt;0")</f>
        <v>0</v>
      </c>
      <c r="Y355">
        <f t="array" ref="Y355">SUMIF(Y340:Y354,"&gt;0")</f>
        <v>0</v>
      </c>
      <c r="Z355">
        <f t="array" ref="Z355">SUMIF(Z340:Z354,"&gt;0")</f>
        <v>0</v>
      </c>
      <c r="AA355">
        <f t="array" ref="AA355">SUMIF(AA340:AA354,"&gt;0")</f>
        <v>0</v>
      </c>
      <c r="AB355">
        <f t="array" ref="AB355">SUMIF(AB340:AB354,"&gt;0")</f>
        <v>0</v>
      </c>
    </row>
    <row r="356" spans="1:44" x14ac:dyDescent="0.25">
      <c r="A356" t="s">
        <v>58</v>
      </c>
      <c r="C356" s="2">
        <f t="array" ref="C356">IF((K355+L355)&lt;&gt;0, (L355/(K355+L355)),0)</f>
        <v>0</v>
      </c>
      <c r="J356" s="6">
        <f t="array" ref="J356">J355*10</f>
        <v>0</v>
      </c>
      <c r="K356" s="6"/>
      <c r="P356" t="s">
        <v>95</v>
      </c>
      <c r="Q356" s="2" t="e">
        <f t="array" ref="Q356">Q355/$F355</f>
        <v>#DIV/0!</v>
      </c>
      <c r="R356" s="2" t="e">
        <f t="array" ref="R356">R355/$F355</f>
        <v>#DIV/0!</v>
      </c>
      <c r="S356" s="2" t="e">
        <f t="array" ref="S356">S355/$F355</f>
        <v>#DIV/0!</v>
      </c>
      <c r="T356" s="2" t="e">
        <f t="array" ref="T356">T355/$F355</f>
        <v>#DIV/0!</v>
      </c>
      <c r="U356" s="2" t="e">
        <f t="array" ref="U356">U355/$F355</f>
        <v>#DIV/0!</v>
      </c>
      <c r="V356" s="2" t="e">
        <f t="array" ref="V356">V355/$F355</f>
        <v>#DIV/0!</v>
      </c>
      <c r="W356" s="2" t="e">
        <f t="array" ref="W356">W355/$F355</f>
        <v>#DIV/0!</v>
      </c>
      <c r="X356" s="2" t="e">
        <f t="array" ref="X356">X355/$F355</f>
        <v>#DIV/0!</v>
      </c>
      <c r="Z356" s="2" t="e">
        <f t="array" ref="Z356">Z355/F355</f>
        <v>#DIV/0!</v>
      </c>
    </row>
    <row r="357" spans="1:44" x14ac:dyDescent="0.25">
      <c r="A357" t="s">
        <v>60</v>
      </c>
      <c r="C357" s="2">
        <f t="array" ref="C357">IF((M355+N355)&lt;&gt;0, (N355/(M355+N355)),0)</f>
        <v>0</v>
      </c>
      <c r="AR357" s="25"/>
    </row>
    <row r="358" spans="1:44" ht="28.5" x14ac:dyDescent="0.45">
      <c r="A358" t="s">
        <v>61</v>
      </c>
      <c r="C358" s="2">
        <f t="array" ref="C358">IF(((K355+N355+L355+M355)&lt;&gt;0), ((L355+N355)/(K355+N355+L355+M355)),0)</f>
        <v>0</v>
      </c>
      <c r="F358" s="17" t="s">
        <v>106</v>
      </c>
      <c r="G358" s="17" t="e">
        <f t="array" ref="G358">'Weighting &amp; Ranking Sheet'!$B$3*Math!$C356+'Weighting &amp; Ranking Sheet'!$B$4*Math!$C357+'Weighting &amp; Ranking Sheet'!$B$5*Math!$C358+'Weighting &amp; Ranking Sheet'!$B$6*Math!$C359+'Weighting &amp; Ranking Sheet'!$B$7*Math!$C343+'Weighting &amp; Ranking Sheet'!$B$8*Math!$C355+'Weighting &amp; Ranking Sheet'!$B$9*Math!$C362+'Weighting &amp; Ranking Sheet'!$B$10*Math!$C360+'Weighting &amp; Ranking Sheet'!$B$11*Math!$C361+'Weighting &amp; Ranking Sheet'!$B$12*Math!$C363*0.01+'Weighting &amp; Ranking Sheet'!$B$13*Math!$Q356+'Weighting &amp; Ranking Sheet'!$B$14*Math!$R356+'Weighting &amp; Ranking Sheet'!$B$15*Math!$S356+'Weighting &amp; Ranking Sheet'!$B$16*Math!$T356+'Weighting &amp; Ranking Sheet'!$B$17*Math!$U356+'Weighting &amp; Ranking Sheet'!$B$18*Math!$V356+'Weighting &amp; Ranking Sheet'!$B$2*Math!$Z356</f>
        <v>#DIV/0!</v>
      </c>
      <c r="J358"/>
      <c r="K358"/>
      <c r="AR358" s="25"/>
    </row>
    <row r="359" spans="1:44" x14ac:dyDescent="0.25">
      <c r="A359" t="s">
        <v>62</v>
      </c>
      <c r="C359" s="2">
        <f t="array" ref="C359">IF((O355+P355&lt;&gt;0),(P355/(O355+P355)), 0)</f>
        <v>0</v>
      </c>
      <c r="J359"/>
      <c r="K359"/>
      <c r="AR359" s="25"/>
    </row>
    <row r="360" spans="1:44" x14ac:dyDescent="0.25">
      <c r="A360" t="s">
        <v>77</v>
      </c>
      <c r="C360" s="8" t="e">
        <f t="array" ref="C360">W355/F355</f>
        <v>#DIV/0!</v>
      </c>
      <c r="J360"/>
      <c r="K360"/>
      <c r="AR360" s="23"/>
    </row>
    <row r="361" spans="1:44" x14ac:dyDescent="0.25">
      <c r="A361" t="s">
        <v>78</v>
      </c>
      <c r="C361" s="8" t="e">
        <f t="array" ref="C361">X355/F355</f>
        <v>#DIV/0!</v>
      </c>
      <c r="J361"/>
      <c r="K361"/>
    </row>
    <row r="362" spans="1:44" x14ac:dyDescent="0.25">
      <c r="A362" t="s">
        <v>91</v>
      </c>
      <c r="C362" s="2" t="e">
        <f>(C343+C355)/2</f>
        <v>#DIV/0!</v>
      </c>
      <c r="J362"/>
      <c r="K362"/>
    </row>
    <row r="363" spans="1:44" x14ac:dyDescent="0.25">
      <c r="A363" t="s">
        <v>92</v>
      </c>
      <c r="C363" s="8" t="e">
        <f t="array" ref="C363">Y355/F355</f>
        <v>#DIV/0!</v>
      </c>
      <c r="J363"/>
      <c r="K363"/>
    </row>
    <row r="364" spans="1:44" x14ac:dyDescent="0.25">
      <c r="C364" s="8"/>
      <c r="J364" s="6"/>
      <c r="K364" s="6"/>
    </row>
    <row r="365" spans="1:44" x14ac:dyDescent="0.25">
      <c r="C365" s="8"/>
      <c r="J365" s="6"/>
      <c r="K365" s="6"/>
    </row>
    <row r="366" spans="1:44" x14ac:dyDescent="0.25">
      <c r="J366" s="6"/>
      <c r="K366" s="6"/>
    </row>
    <row r="367" spans="1:44" x14ac:dyDescent="0.25">
      <c r="A367" t="s">
        <v>3</v>
      </c>
      <c r="C367" s="5">
        <v>423</v>
      </c>
      <c r="F367" t="s">
        <v>17</v>
      </c>
    </row>
    <row r="368" spans="1:44" x14ac:dyDescent="0.25">
      <c r="F368" t="e">
        <f t="array" ref="F368">SMALL(IF('Raw Data'!A:A=C367,ROW('Raw Data'!A:A)),ROW('Raw Data'!$1:$1))</f>
        <v>#NUM!</v>
      </c>
      <c r="G368" t="e">
        <f t="array" ref="G368">INDEX('Raw Data'!A:A,F368,9)</f>
        <v>#NUM!</v>
      </c>
      <c r="H368" t="e">
        <f t="array" ref="H368">INDEX('Raw Data'!A:A,F368,10)</f>
        <v>#NUM!</v>
      </c>
      <c r="I368" t="e">
        <f t="array" ref="I368">INDEX('Raw Data'!$A:A,$F368,11)</f>
        <v>#NUM!</v>
      </c>
      <c r="J368" t="e">
        <f t="array" ref="J368">INDEX('Raw Data'!$A:A,F368,12)</f>
        <v>#NUM!</v>
      </c>
      <c r="K368" t="e">
        <f>(--INDEX('Raw Data'!$A$4:B$993,F368,4))</f>
        <v>#NUM!</v>
      </c>
      <c r="L368" t="e">
        <f t="array" ref="L368">(--INDEX('Raw Data'!$A$4:B$993,F368,5))</f>
        <v>#NUM!</v>
      </c>
      <c r="M368" t="e">
        <f t="array" ref="M368">(--INDEX('Raw Data'!$A$4:D$993,$F368,6))</f>
        <v>#NUM!</v>
      </c>
      <c r="N368" t="e">
        <f t="array" ref="N368">(--INDEX('Raw Data'!$A$4:D$993,$F368,7))</f>
        <v>#NUM!</v>
      </c>
      <c r="O368" t="e">
        <f t="array" ref="O368">IF(--INDEX('Raw Data'!$A$4:E$993,$F368,8)= 0, 1, 0)</f>
        <v>#NUM!</v>
      </c>
      <c r="P368" t="e">
        <f t="array" ref="P368">IF(--INDEX('Raw Data'!$A$4:F$993,$F368,8)= 1, 1, 0)</f>
        <v>#NUM!</v>
      </c>
      <c r="Q368" t="e">
        <f t="array" ref="Q368">IF(--INDEX('Raw Data'!$A$4:G$993,$F368,13)= 1, 1, 0)</f>
        <v>#NUM!</v>
      </c>
      <c r="R368" t="e">
        <f t="array" ref="R368">IF(--INDEX('Raw Data'!$A$4:H$993,$F368,14)= 1, 1, 0)</f>
        <v>#NUM!</v>
      </c>
      <c r="S368" t="e">
        <f t="array" ref="S368">IF(--INDEX('Raw Data'!$A$4:I$993,$F368,15)= 1, 1, 0)</f>
        <v>#NUM!</v>
      </c>
      <c r="T368" t="e">
        <f t="array" ref="T368">IF(--INDEX('Raw Data'!$A$4:I$993,$F368,15)= 1, 1, 0)</f>
        <v>#NUM!</v>
      </c>
      <c r="U368" t="e">
        <f t="array" ref="U368">IF(--INDEX('Raw Data'!$A$4:J$993,$F368,16)= 1, 1, 0)</f>
        <v>#NUM!</v>
      </c>
      <c r="V368" t="e">
        <f t="array" ref="V368">IF(--INDEX('Raw Data'!$A$4:K$993,$F368,17)= 1, 1, 0)</f>
        <v>#NUM!</v>
      </c>
      <c r="W368" t="e">
        <f t="array" ref="W368">INDEX('Raw Data'!$A:$O,$F368,19)</f>
        <v>#NUM!</v>
      </c>
      <c r="X368" t="e">
        <f t="array" ref="X368">INDEX('Raw Data'!$A:$O,$F368,20)</f>
        <v>#NUM!</v>
      </c>
      <c r="Y368" t="e">
        <f t="array" ref="Y368">INDEX('Raw Data'!$A:$O,F368,21)</f>
        <v>#NUM!</v>
      </c>
      <c r="Z368" t="e">
        <f t="array" ref="Z368">INDEX('Raw Data'!$A:$O,$F368,3)</f>
        <v>#NUM!</v>
      </c>
      <c r="AA368" t="e">
        <f t="array" ref="AA368">INDEX('Raw Data'!$A:$O,$F368,22)</f>
        <v>#NUM!</v>
      </c>
      <c r="AB368" t="e">
        <f t="array" ref="AB368">INDEX('Raw Data'!$A:$O,$F368,23)</f>
        <v>#NUM!</v>
      </c>
    </row>
    <row r="369" spans="1:44" x14ac:dyDescent="0.25">
      <c r="A369" t="s">
        <v>0</v>
      </c>
      <c r="B369">
        <f>G383</f>
        <v>0</v>
      </c>
      <c r="F369" t="e">
        <f t="array" ref="F369">SMALL(IF('Raw Data'!A:A=C367,ROW('Raw Data'!A:A)),ROW('Raw Data'!$2:$2))</f>
        <v>#NUM!</v>
      </c>
      <c r="G369" t="e">
        <f t="array" ref="G369">INDEX('Raw Data'!A:A,F369,9)</f>
        <v>#NUM!</v>
      </c>
      <c r="H369" t="e">
        <f t="array" ref="H369">INDEX('Raw Data'!A:A,F369,10)</f>
        <v>#NUM!</v>
      </c>
      <c r="I369" t="e">
        <f t="array" ref="I369">INDEX('Raw Data'!$A:A,$F369,11)</f>
        <v>#NUM!</v>
      </c>
      <c r="J369" t="e">
        <f t="array" ref="J369">INDEX('Raw Data'!$A:A,F369,12)</f>
        <v>#NUM!</v>
      </c>
      <c r="K369" t="e">
        <f>(--INDEX('Raw Data'!$A$4:B$993,F369,4))</f>
        <v>#NUM!</v>
      </c>
      <c r="L369" t="e">
        <f t="array" ref="L369">(--INDEX('Raw Data'!$A$4:B$993,F369,5))</f>
        <v>#NUM!</v>
      </c>
      <c r="M369" t="e">
        <f t="array" ref="M369">(--INDEX('Raw Data'!$A$4:D$993,$F369,6))</f>
        <v>#NUM!</v>
      </c>
      <c r="N369" t="e">
        <f t="array" ref="N369">(--INDEX('Raw Data'!$A$4:D$993,$F369,7))</f>
        <v>#NUM!</v>
      </c>
      <c r="O369" t="e">
        <f t="array" ref="O369">IF(--INDEX('Raw Data'!$A$4:E$993,$F369,8)= 0, 1, 0)</f>
        <v>#NUM!</v>
      </c>
      <c r="P369" t="e">
        <f t="array" ref="P369">IF(--INDEX('Raw Data'!$A$4:F$993,$F369,8)= 1, 1, 0)</f>
        <v>#NUM!</v>
      </c>
      <c r="Q369" t="e">
        <f t="array" ref="Q369">IF(--INDEX('Raw Data'!$A$4:G$993,$F369,13)= 1, 1, 0)</f>
        <v>#NUM!</v>
      </c>
      <c r="R369" t="e">
        <f t="array" ref="R369">IF(--INDEX('Raw Data'!$A$4:H$993,$F369,14)= 1, 1, 0)</f>
        <v>#NUM!</v>
      </c>
      <c r="S369" t="e">
        <f t="array" ref="S369">IF(--INDEX('Raw Data'!$A$4:I$993,$F369,15)= 1, 1, 0)</f>
        <v>#NUM!</v>
      </c>
      <c r="T369" t="e">
        <f t="array" ref="T369">IF(--INDEX('Raw Data'!$A$4:I$993,$F369,15)= 1, 1, 0)</f>
        <v>#NUM!</v>
      </c>
      <c r="U369" t="e">
        <f t="array" ref="U369">IF(--INDEX('Raw Data'!$A$4:J$993,$F369,16)= 1, 1, 0)</f>
        <v>#NUM!</v>
      </c>
      <c r="V369" t="e">
        <f t="array" ref="V369">IF(--INDEX('Raw Data'!$A$4:K$993,$F369,17)= 1, 1, 0)</f>
        <v>#NUM!</v>
      </c>
      <c r="W369" t="e">
        <f t="array" ref="W369">INDEX('Raw Data'!$A:$O,$F369,19)</f>
        <v>#NUM!</v>
      </c>
      <c r="X369" t="e">
        <f t="array" ref="X369">INDEX('Raw Data'!$A:$O,$F369,20)</f>
        <v>#NUM!</v>
      </c>
      <c r="Y369" t="e">
        <f t="array" ref="Y369">INDEX('Raw Data'!$A:$O,F369,21)</f>
        <v>#NUM!</v>
      </c>
      <c r="Z369" t="e">
        <f t="array" ref="Z369">INDEX('Raw Data'!$A:$O,$F369,3)</f>
        <v>#NUM!</v>
      </c>
      <c r="AA369" t="e">
        <f t="array" ref="AA369">INDEX('Raw Data'!$A:$O,$F369,22)</f>
        <v>#NUM!</v>
      </c>
      <c r="AB369" t="e">
        <f t="array" ref="AB369">INDEX('Raw Data'!$A:$O,$F369,23)</f>
        <v>#NUM!</v>
      </c>
    </row>
    <row r="370" spans="1:44" x14ac:dyDescent="0.25">
      <c r="A370" t="s">
        <v>1</v>
      </c>
      <c r="B370">
        <f>H383</f>
        <v>0</v>
      </c>
      <c r="F370" t="e">
        <f t="array" ref="F370">SMALL(IF('Raw Data'!A:A=C367,ROW('Raw Data'!A:A)),ROW('Raw Data'!$3:$3))</f>
        <v>#NUM!</v>
      </c>
      <c r="G370" t="e">
        <f t="array" ref="G370">INDEX('Raw Data'!A:A,F370,9)</f>
        <v>#NUM!</v>
      </c>
      <c r="H370" t="e">
        <f t="array" ref="H370">INDEX('Raw Data'!A:A,F370,10)</f>
        <v>#NUM!</v>
      </c>
      <c r="I370" t="e">
        <f t="array" ref="I370">INDEX('Raw Data'!$A:A,$F370,11)</f>
        <v>#NUM!</v>
      </c>
      <c r="J370" t="e">
        <f t="array" ref="J370">INDEX('Raw Data'!$A:A,F370,12)</f>
        <v>#NUM!</v>
      </c>
      <c r="K370" t="e">
        <f>(--INDEX('Raw Data'!$A$4:B$993,F370,4))</f>
        <v>#NUM!</v>
      </c>
      <c r="L370" t="e">
        <f t="array" ref="L370">(--INDEX('Raw Data'!$A$4:B$993,F370,5))</f>
        <v>#NUM!</v>
      </c>
      <c r="M370" t="e">
        <f t="array" ref="M370">(--INDEX('Raw Data'!$A$4:D$993,$F370,6))</f>
        <v>#NUM!</v>
      </c>
      <c r="N370" t="e">
        <f t="array" ref="N370">(--INDEX('Raw Data'!$A$4:D$993,$F370,7))</f>
        <v>#NUM!</v>
      </c>
      <c r="O370" t="e">
        <f t="array" ref="O370">IF(--INDEX('Raw Data'!$A$4:E$993,$F370,8)= 0, 1, 0)</f>
        <v>#NUM!</v>
      </c>
      <c r="P370" t="e">
        <f t="array" ref="P370">IF(--INDEX('Raw Data'!$A$4:F$993,$F370,8)= 1, 1, 0)</f>
        <v>#NUM!</v>
      </c>
      <c r="Q370" t="e">
        <f t="array" ref="Q370">IF(--INDEX('Raw Data'!$A$4:G$993,$F370,13)= 1, 1, 0)</f>
        <v>#NUM!</v>
      </c>
      <c r="R370" t="e">
        <f t="array" ref="R370">IF(--INDEX('Raw Data'!$A$4:H$993,$F370,14)= 1, 1, 0)</f>
        <v>#NUM!</v>
      </c>
      <c r="S370" t="e">
        <f t="array" ref="S370">IF(--INDEX('Raw Data'!$A$4:I$993,$F370,15)= 1, 1, 0)</f>
        <v>#NUM!</v>
      </c>
      <c r="T370" t="e">
        <f t="array" ref="T370">IF(--INDEX('Raw Data'!$A$4:I$993,$F370,15)= 1, 1, 0)</f>
        <v>#NUM!</v>
      </c>
      <c r="U370" t="e">
        <f t="array" ref="U370">IF(--INDEX('Raw Data'!$A$4:J$993,$F370,16)= 1, 1, 0)</f>
        <v>#NUM!</v>
      </c>
      <c r="V370" t="e">
        <f t="array" ref="V370">IF(--INDEX('Raw Data'!$A$4:K$993,$F370,17)= 1, 1, 0)</f>
        <v>#NUM!</v>
      </c>
      <c r="W370" t="e">
        <f t="array" ref="W370">INDEX('Raw Data'!$A:$O,$F370,19)</f>
        <v>#NUM!</v>
      </c>
      <c r="X370" t="e">
        <f t="array" ref="X370">INDEX('Raw Data'!$A:$O,$F370,20)</f>
        <v>#NUM!</v>
      </c>
      <c r="Y370" t="e">
        <f t="array" ref="Y370">INDEX('Raw Data'!$A:$O,F370,21)</f>
        <v>#NUM!</v>
      </c>
      <c r="Z370" t="e">
        <f t="array" ref="Z370">INDEX('Raw Data'!$A:$O,$F370,3)</f>
        <v>#NUM!</v>
      </c>
      <c r="AA370" t="e">
        <f t="array" ref="AA370">INDEX('Raw Data'!$A:$O,$F370,22)</f>
        <v>#NUM!</v>
      </c>
      <c r="AB370" t="e">
        <f t="array" ref="AB370">INDEX('Raw Data'!$A:$O,$F370,23)</f>
        <v>#NUM!</v>
      </c>
    </row>
    <row r="371" spans="1:44" x14ac:dyDescent="0.25">
      <c r="A371" t="s">
        <v>2</v>
      </c>
      <c r="C371" s="3" t="e">
        <f>B370/B369</f>
        <v>#DIV/0!</v>
      </c>
      <c r="F371" t="e">
        <f t="array" ref="F371">SMALL(IF('Raw Data'!A:A=C367,ROW('Raw Data'!A:A)),ROW('Raw Data'!$4:$4))</f>
        <v>#NUM!</v>
      </c>
      <c r="G371" t="e">
        <f t="array" ref="G371">INDEX('Raw Data'!A:A,F371,9)</f>
        <v>#NUM!</v>
      </c>
      <c r="H371" t="e">
        <f t="array" ref="H371">INDEX('Raw Data'!A:A,F371,10)</f>
        <v>#NUM!</v>
      </c>
      <c r="I371" t="e">
        <f t="array" ref="I371">INDEX('Raw Data'!$A:A,$F371,11)</f>
        <v>#NUM!</v>
      </c>
      <c r="J371" t="e">
        <f t="array" ref="J371">INDEX('Raw Data'!$A:A,F371,12)</f>
        <v>#NUM!</v>
      </c>
      <c r="K371" t="e">
        <f>(--INDEX('Raw Data'!$A$4:B$993,F371,4))</f>
        <v>#NUM!</v>
      </c>
      <c r="L371" t="e">
        <f t="array" ref="L371">(--INDEX('Raw Data'!$A$4:B$993,F371,5))</f>
        <v>#NUM!</v>
      </c>
      <c r="M371" t="e">
        <f t="array" ref="M371">(--INDEX('Raw Data'!$A$4:D$993,$F371,6))</f>
        <v>#NUM!</v>
      </c>
      <c r="N371" t="e">
        <f t="array" ref="N371">(--INDEX('Raw Data'!$A$4:D$993,$F371,7))</f>
        <v>#NUM!</v>
      </c>
      <c r="O371" t="e">
        <f t="array" ref="O371">IF(--INDEX('Raw Data'!$A$4:E$993,$F371,8)= 0, 1, 0)</f>
        <v>#NUM!</v>
      </c>
      <c r="P371" t="e">
        <f t="array" ref="P371">IF(--INDEX('Raw Data'!$A$4:F$993,$F371,8)= 1, 1, 0)</f>
        <v>#NUM!</v>
      </c>
      <c r="Q371" t="e">
        <f t="array" ref="Q371">IF(--INDEX('Raw Data'!$A$4:G$993,$F371,13)= 1, 1, 0)</f>
        <v>#NUM!</v>
      </c>
      <c r="R371" t="e">
        <f t="array" ref="R371">IF(--INDEX('Raw Data'!$A$4:H$993,$F371,14)= 1, 1, 0)</f>
        <v>#NUM!</v>
      </c>
      <c r="S371" t="e">
        <f t="array" ref="S371">IF(--INDEX('Raw Data'!$A$4:I$993,$F371,15)= 1, 1, 0)</f>
        <v>#NUM!</v>
      </c>
      <c r="T371" t="e">
        <f t="array" ref="T371">IF(--INDEX('Raw Data'!$A$4:I$993,$F371,15)= 1, 1, 0)</f>
        <v>#NUM!</v>
      </c>
      <c r="U371" t="e">
        <f t="array" ref="U371">IF(--INDEX('Raw Data'!$A$4:J$993,$F371,16)= 1, 1, 0)</f>
        <v>#NUM!</v>
      </c>
      <c r="V371" t="e">
        <f t="array" ref="V371">IF(--INDEX('Raw Data'!$A$4:K$993,$F371,17)= 1, 1, 0)</f>
        <v>#NUM!</v>
      </c>
      <c r="W371" t="e">
        <f t="array" ref="W371">INDEX('Raw Data'!$A:$O,$F371,19)</f>
        <v>#NUM!</v>
      </c>
      <c r="X371" t="e">
        <f t="array" ref="X371">INDEX('Raw Data'!$A:$O,$F371,20)</f>
        <v>#NUM!</v>
      </c>
      <c r="Y371" t="e">
        <f t="array" ref="Y371">INDEX('Raw Data'!$A:$O,F371,21)</f>
        <v>#NUM!</v>
      </c>
      <c r="Z371" t="e">
        <f t="array" ref="Z371">INDEX('Raw Data'!$A:$O,$F371,3)</f>
        <v>#NUM!</v>
      </c>
      <c r="AA371" t="e">
        <f t="array" ref="AA371">INDEX('Raw Data'!$A:$O,$F371,22)</f>
        <v>#NUM!</v>
      </c>
      <c r="AB371" t="e">
        <f t="array" ref="AB371">INDEX('Raw Data'!$A:$O,$F371,23)</f>
        <v>#NUM!</v>
      </c>
    </row>
    <row r="372" spans="1:44" x14ac:dyDescent="0.25">
      <c r="A372" t="s">
        <v>54</v>
      </c>
      <c r="B372">
        <f>I383</f>
        <v>0</v>
      </c>
      <c r="F372" t="e">
        <f t="array" ref="F372">SMALL(IF('Raw Data'!A:A=C367,ROW('Raw Data'!A:A)),ROW('Raw Data'!$5:$5))</f>
        <v>#NUM!</v>
      </c>
      <c r="G372" t="e">
        <f t="array" ref="G372">INDEX('Raw Data'!A:A,F372,9)</f>
        <v>#NUM!</v>
      </c>
      <c r="H372" t="e">
        <f t="array" ref="H372">INDEX('Raw Data'!A:A,F372,10)</f>
        <v>#NUM!</v>
      </c>
      <c r="I372" t="e">
        <f t="array" ref="I372">INDEX('Raw Data'!$A:A,$F372,11)</f>
        <v>#NUM!</v>
      </c>
      <c r="J372" t="e">
        <f t="array" ref="J372">INDEX('Raw Data'!$A:A,F372,12)</f>
        <v>#NUM!</v>
      </c>
      <c r="K372" t="e">
        <f>(--INDEX('Raw Data'!$A$4:B$993,F372,4))</f>
        <v>#NUM!</v>
      </c>
      <c r="L372" t="e">
        <f t="array" ref="L372">(--INDEX('Raw Data'!$A$4:B$993,F372,5))</f>
        <v>#NUM!</v>
      </c>
      <c r="M372" t="e">
        <f t="array" ref="M372">(--INDEX('Raw Data'!$A$4:D$993,$F372,6))</f>
        <v>#NUM!</v>
      </c>
      <c r="N372" t="e">
        <f t="array" ref="N372">(--INDEX('Raw Data'!$A$4:D$993,$F372,7))</f>
        <v>#NUM!</v>
      </c>
      <c r="O372" t="e">
        <f t="array" ref="O372">IF(--INDEX('Raw Data'!$A$4:E$993,$F372,8)= 0, 1, 0)</f>
        <v>#NUM!</v>
      </c>
      <c r="P372" t="e">
        <f t="array" ref="P372">IF(--INDEX('Raw Data'!$A$4:F$993,$F372,8)= 1, 1, 0)</f>
        <v>#NUM!</v>
      </c>
      <c r="Q372" t="e">
        <f t="array" ref="Q372">IF(--INDEX('Raw Data'!$A$4:G$993,$F372,13)= 1, 1, 0)</f>
        <v>#NUM!</v>
      </c>
      <c r="R372" t="e">
        <f t="array" ref="R372">IF(--INDEX('Raw Data'!$A$4:H$993,$F372,14)= 1, 1, 0)</f>
        <v>#NUM!</v>
      </c>
      <c r="S372" t="e">
        <f t="array" ref="S372">IF(--INDEX('Raw Data'!$A$4:I$993,$F372,15)= 1, 1, 0)</f>
        <v>#NUM!</v>
      </c>
      <c r="T372" t="e">
        <f t="array" ref="T372">IF(--INDEX('Raw Data'!$A$4:I$993,$F372,15)= 1, 1, 0)</f>
        <v>#NUM!</v>
      </c>
      <c r="U372" t="e">
        <f t="array" ref="U372">IF(--INDEX('Raw Data'!$A$4:J$993,$F372,16)= 1, 1, 0)</f>
        <v>#NUM!</v>
      </c>
      <c r="V372" t="e">
        <f t="array" ref="V372">IF(--INDEX('Raw Data'!$A$4:K$993,$F372,17)= 1, 1, 0)</f>
        <v>#NUM!</v>
      </c>
      <c r="W372" t="e">
        <f t="array" ref="W372">INDEX('Raw Data'!$A:$O,$F372,19)</f>
        <v>#NUM!</v>
      </c>
      <c r="X372" t="e">
        <f t="array" ref="X372">INDEX('Raw Data'!$A:$O,$F372,20)</f>
        <v>#NUM!</v>
      </c>
      <c r="Y372" t="e">
        <f t="array" ref="Y372">INDEX('Raw Data'!$A:$O,F372,21)</f>
        <v>#NUM!</v>
      </c>
      <c r="Z372" t="e">
        <f t="array" ref="Z372">INDEX('Raw Data'!$A:$O,$F372,3)</f>
        <v>#NUM!</v>
      </c>
      <c r="AA372" t="e">
        <f t="array" ref="AA372">INDEX('Raw Data'!$A:$O,$F372,22)</f>
        <v>#NUM!</v>
      </c>
      <c r="AB372" t="e">
        <f t="array" ref="AB372">INDEX('Raw Data'!$A:$O,$F372,23)</f>
        <v>#NUM!</v>
      </c>
      <c r="AR372" s="25"/>
    </row>
    <row r="373" spans="1:44" x14ac:dyDescent="0.25">
      <c r="A373" t="s">
        <v>35</v>
      </c>
      <c r="B373">
        <f>J383</f>
        <v>0</v>
      </c>
      <c r="F373" t="e">
        <f t="array" ref="F373">SMALL(IF('Raw Data'!A:A=C367,ROW('Raw Data'!A:A)),ROW('Raw Data'!$6:$6))</f>
        <v>#NUM!</v>
      </c>
      <c r="G373" t="e">
        <f t="array" ref="G373">INDEX('Raw Data'!A:A,F373,9)</f>
        <v>#NUM!</v>
      </c>
      <c r="H373" t="e">
        <f t="array" ref="H373">INDEX('Raw Data'!A:A,F373,10)</f>
        <v>#NUM!</v>
      </c>
      <c r="I373" t="e">
        <f t="array" ref="I373">INDEX('Raw Data'!$A:A,$F373,11)</f>
        <v>#NUM!</v>
      </c>
      <c r="J373" t="e">
        <f t="array" ref="J373">INDEX('Raw Data'!$A:A,F373,12)</f>
        <v>#NUM!</v>
      </c>
      <c r="K373" t="e">
        <f>(--INDEX('Raw Data'!$A$4:B$993,F373,4))</f>
        <v>#NUM!</v>
      </c>
      <c r="L373" t="e">
        <f t="array" ref="L373">(--INDEX('Raw Data'!$A$4:B$998,F373,5))</f>
        <v>#NUM!</v>
      </c>
      <c r="M373" t="e">
        <f t="array" ref="M373">(--INDEX('Raw Data'!$A$4:D$998,$F373,6))</f>
        <v>#NUM!</v>
      </c>
      <c r="N373" t="e">
        <f t="array" ref="N373">(--INDEX('Raw Data'!$A$4:D$993,$F373,7))</f>
        <v>#NUM!</v>
      </c>
      <c r="O373" t="e">
        <f t="array" ref="O373">IF(--INDEX('Raw Data'!$A$4:E$993,$F373,8)= 0, 1, 0)</f>
        <v>#NUM!</v>
      </c>
      <c r="P373" t="e">
        <f t="array" ref="P373">IF(--INDEX('Raw Data'!$A$4:F$998,$F373,8)= 1, 1, 0)</f>
        <v>#NUM!</v>
      </c>
      <c r="Q373" t="e">
        <f t="array" ref="Q373">IF(--INDEX('Raw Data'!$A$4:G$998,$F373,13)= 1, 1, 0)</f>
        <v>#NUM!</v>
      </c>
      <c r="R373" t="e">
        <f t="array" ref="R373">IF(--INDEX('Raw Data'!$A$4:H$998,$F373,14)= 1, 1, 0)</f>
        <v>#NUM!</v>
      </c>
      <c r="S373" t="e">
        <f t="array" ref="S373">IF(--INDEX('Raw Data'!$A$4:I$993,$F373,15)= 1, 1, 0)</f>
        <v>#NUM!</v>
      </c>
      <c r="T373" t="e">
        <f t="array" ref="T373">IF(--INDEX('Raw Data'!$A$4:I$998,$F373,15)= 1, 1, 0)</f>
        <v>#NUM!</v>
      </c>
      <c r="U373" t="e">
        <f t="array" ref="U373">IF(--INDEX('Raw Data'!$A$4:J$998,$F373,16)= 1, 1, 0)</f>
        <v>#NUM!</v>
      </c>
      <c r="V373" t="e">
        <f t="array" ref="V373">IF(--INDEX('Raw Data'!$A$4:K$993,$F373,17)= 1, 1, 0)</f>
        <v>#NUM!</v>
      </c>
      <c r="W373" t="e">
        <f t="array" ref="W373">INDEX('Raw Data'!$A:$O,$F373,19)</f>
        <v>#NUM!</v>
      </c>
      <c r="X373" t="e">
        <f t="array" ref="X373">INDEX('Raw Data'!$A:$O,$F373,20)</f>
        <v>#NUM!</v>
      </c>
      <c r="Y373" t="e">
        <f t="array" ref="Y373">INDEX('Raw Data'!$A:$O,F373,21)</f>
        <v>#NUM!</v>
      </c>
      <c r="Z373" t="e">
        <f t="array" ref="Z373">INDEX('Raw Data'!$A:$O,$F373,3)</f>
        <v>#NUM!</v>
      </c>
      <c r="AA373" t="e">
        <f t="array" ref="AA373">INDEX('Raw Data'!$A:$O,$F373,22)</f>
        <v>#NUM!</v>
      </c>
      <c r="AB373" t="e">
        <f t="array" ref="AB373">INDEX('Raw Data'!$A:$O,$F373,23)</f>
        <v>#NUM!</v>
      </c>
      <c r="AR373" s="25"/>
    </row>
    <row r="374" spans="1:44" ht="28.5" x14ac:dyDescent="0.45">
      <c r="F374" t="e">
        <f t="array" ref="F374">SMALL(IF('Raw Data'!A:A=C367,ROW('Raw Data'!A:A)),ROW('Raw Data'!$7:$7))</f>
        <v>#NUM!</v>
      </c>
      <c r="G374" t="e">
        <f t="array" ref="G374">INDEX('Raw Data'!A:A,F374,9)</f>
        <v>#NUM!</v>
      </c>
      <c r="H374" t="e">
        <f t="array" ref="H374">INDEX('Raw Data'!A:A,F374,10)</f>
        <v>#NUM!</v>
      </c>
      <c r="I374" t="e">
        <f t="array" ref="I374">INDEX('Raw Data'!$A:A,$F374,11)</f>
        <v>#NUM!</v>
      </c>
      <c r="J374" t="e">
        <f t="array" ref="J374">INDEX('Raw Data'!$A:A,F374,12)</f>
        <v>#NUM!</v>
      </c>
      <c r="K374" t="e">
        <f t="array" ref="K374">(--INDEX('Raw Data'!$A$4:B$998,F374,4))</f>
        <v>#NUM!</v>
      </c>
      <c r="L374" t="e">
        <f t="array" ref="L374">(--INDEX('Raw Data'!$A$4:B$998,F374,5))</f>
        <v>#NUM!</v>
      </c>
      <c r="M374" t="e">
        <f t="array" ref="M374">(--INDEX('Raw Data'!$A$4:D$998,$F374,6))</f>
        <v>#NUM!</v>
      </c>
      <c r="N374" t="e">
        <f t="array" ref="N374">(--INDEX('Raw Data'!$A$4:D$998,$F374,7))</f>
        <v>#NUM!</v>
      </c>
      <c r="O374" t="e">
        <f t="array" ref="O374">IF(--INDEX('Raw Data'!$A$4:E$998,$F374,8)= 0, 1, 0)</f>
        <v>#NUM!</v>
      </c>
      <c r="P374" t="e">
        <f t="array" ref="P374">IF(--INDEX('Raw Data'!$A$4:F$998,$F374,8)= 1, 1, 0)</f>
        <v>#NUM!</v>
      </c>
      <c r="Q374" t="e">
        <f t="array" ref="Q374">IF(--INDEX('Raw Data'!$A$4:G$998,$F374,13)= 1, 1, 0)</f>
        <v>#NUM!</v>
      </c>
      <c r="R374" t="e">
        <f t="array" ref="R374">IF(--INDEX('Raw Data'!$A$4:H$998,$F374,14)= 1, 1, 0)</f>
        <v>#NUM!</v>
      </c>
      <c r="S374" t="e">
        <f t="array" ref="S374">IF(--INDEX('Raw Data'!$A$4:I$998,$F374,15)= 1, 1, 0)</f>
        <v>#NUM!</v>
      </c>
      <c r="T374" t="e">
        <f t="array" ref="T374">IF(--INDEX('Raw Data'!$A$4:I$998,$F374,15)= 1, 1, 0)</f>
        <v>#NUM!</v>
      </c>
      <c r="U374" t="e">
        <f t="array" ref="U374">IF(--INDEX('Raw Data'!$A$4:J$998,$F374,16)= 1, 1, 0)</f>
        <v>#NUM!</v>
      </c>
      <c r="V374" t="e">
        <f t="array" ref="V374">IF(--INDEX('Raw Data'!$A$4:K$998,$F374,17)= 1, 1, 0)</f>
        <v>#NUM!</v>
      </c>
      <c r="W374" t="e">
        <f t="array" ref="W374">INDEX('Raw Data'!$A:$O,$F374,19)</f>
        <v>#NUM!</v>
      </c>
      <c r="X374" t="e">
        <f t="array" ref="X374">INDEX('Raw Data'!$A:$O,$F374,20)</f>
        <v>#NUM!</v>
      </c>
      <c r="Y374" t="e">
        <f t="array" ref="Y374">INDEX('Raw Data'!$A:$O,F374,21)</f>
        <v>#NUM!</v>
      </c>
      <c r="Z374" t="e">
        <f t="array" ref="Z374">INDEX('Raw Data'!$A:$O,$F374,3)</f>
        <v>#NUM!</v>
      </c>
      <c r="AA374" t="e">
        <f t="array" ref="AA374">INDEX('Raw Data'!$A:$O,$F374,22)</f>
        <v>#NUM!</v>
      </c>
      <c r="AB374" t="e">
        <f t="array" ref="AB374">INDEX('Raw Data'!$A:$O,$F374,23)</f>
        <v>#NUM!</v>
      </c>
      <c r="AM374" s="21"/>
    </row>
    <row r="375" spans="1:44" x14ac:dyDescent="0.25">
      <c r="F375" t="e">
        <f t="array" ref="F375">SMALL(IF('Raw Data'!A:A=C367,ROW('Raw Data'!A:A)),ROW('Raw Data'!$8:$8))</f>
        <v>#NUM!</v>
      </c>
      <c r="G375" t="e">
        <f t="array" ref="G375">INDEX('Raw Data'!A:A,F375,9)</f>
        <v>#NUM!</v>
      </c>
      <c r="H375" t="e">
        <f t="array" ref="H375">INDEX('Raw Data'!A:A,F375,10)</f>
        <v>#NUM!</v>
      </c>
      <c r="I375" t="e">
        <f t="array" ref="I375">INDEX('Raw Data'!$A:A,$F375,11)</f>
        <v>#NUM!</v>
      </c>
      <c r="J375" t="e">
        <f t="array" ref="J375">INDEX('Raw Data'!$A:A,F375,12)</f>
        <v>#NUM!</v>
      </c>
      <c r="K375" t="e">
        <f t="array" ref="K375">(--INDEX('Raw Data'!$A$4:B$998,F375,4))</f>
        <v>#NUM!</v>
      </c>
      <c r="L375" t="e">
        <f t="array" ref="L375">(--INDEX('Raw Data'!$A$4:B$998,F375,5))</f>
        <v>#NUM!</v>
      </c>
      <c r="M375" t="e">
        <f t="array" ref="M375">(--INDEX('Raw Data'!$A$4:D$998,$F375,6))</f>
        <v>#NUM!</v>
      </c>
      <c r="N375" t="e">
        <f t="array" ref="N375">(--INDEX('Raw Data'!$A$4:D$998,$F375,7))</f>
        <v>#NUM!</v>
      </c>
      <c r="O375" t="e">
        <f t="array" ref="O375">IF(--INDEX('Raw Data'!$A$4:E$998,$F375,8)= 0, 1, 0)</f>
        <v>#NUM!</v>
      </c>
      <c r="P375" t="e">
        <f t="array" ref="P375">IF(--INDEX('Raw Data'!$A$4:F$998,$F375,8)= 1, 1, 0)</f>
        <v>#NUM!</v>
      </c>
      <c r="Q375" t="e">
        <f t="array" ref="Q375">IF(--INDEX('Raw Data'!$A$4:G$998,$F375,13)= 1, 1, 0)</f>
        <v>#NUM!</v>
      </c>
      <c r="R375" t="e">
        <f t="array" ref="R375">IF(--INDEX('Raw Data'!$A$4:H$998,$F375,14)= 1, 1, 0)</f>
        <v>#NUM!</v>
      </c>
      <c r="S375" t="e">
        <f t="array" ref="S375">IF(--INDEX('Raw Data'!$A$4:I$998,$F375,15)= 1, 1, 0)</f>
        <v>#NUM!</v>
      </c>
      <c r="T375" t="e">
        <f t="array" ref="T375">IF(--INDEX('Raw Data'!$A$4:I$998,$F375,15)= 1, 1, 0)</f>
        <v>#NUM!</v>
      </c>
      <c r="U375" t="e">
        <f t="array" ref="U375">IF(--INDEX('Raw Data'!$A$4:J$998,$F375,16)= 1, 1, 0)</f>
        <v>#NUM!</v>
      </c>
      <c r="V375" t="e">
        <f t="array" ref="V375">IF(--INDEX('Raw Data'!$A$4:K$998,$F375,17)= 1, 1, 0)</f>
        <v>#NUM!</v>
      </c>
      <c r="W375" t="e">
        <f t="array" ref="W375">INDEX('Raw Data'!$A:$O,$F375,19)</f>
        <v>#NUM!</v>
      </c>
      <c r="X375" t="e">
        <f t="array" ref="X375">INDEX('Raw Data'!$A:$O,$F375,20)</f>
        <v>#NUM!</v>
      </c>
      <c r="Y375" t="e">
        <f t="array" ref="Y375">INDEX('Raw Data'!$A:$O,F375,21)</f>
        <v>#NUM!</v>
      </c>
      <c r="Z375" t="e">
        <f t="array" ref="Z375">INDEX('Raw Data'!$A:$O,$F375,3)</f>
        <v>#NUM!</v>
      </c>
      <c r="AA375" t="e">
        <f t="array" ref="AA375">INDEX('Raw Data'!$A:$O,$F375,22)</f>
        <v>#NUM!</v>
      </c>
      <c r="AB375" t="e">
        <f t="array" ref="AB375">INDEX('Raw Data'!$A:$O,$F375,23)</f>
        <v>#NUM!</v>
      </c>
    </row>
    <row r="376" spans="1:44" x14ac:dyDescent="0.25">
      <c r="F376" t="e">
        <f t="array" ref="F376">SMALL(IF('Raw Data'!A:A=C367,ROW('Raw Data'!A:A)),ROW('Raw Data'!$9:$9))</f>
        <v>#NUM!</v>
      </c>
      <c r="G376" t="e">
        <f t="array" ref="G376">INDEX('Raw Data'!A:A,F376,9)</f>
        <v>#NUM!</v>
      </c>
      <c r="H376" t="e">
        <f t="array" ref="H376">INDEX('Raw Data'!A:A,F376,10)</f>
        <v>#NUM!</v>
      </c>
      <c r="I376" t="e">
        <f t="array" ref="I376">INDEX('Raw Data'!$A:A,$F376,11)</f>
        <v>#NUM!</v>
      </c>
      <c r="J376" t="e">
        <f t="array" ref="J376">INDEX('Raw Data'!$A:A,F376,12)</f>
        <v>#NUM!</v>
      </c>
      <c r="K376" t="e">
        <f t="array" ref="K376">(--INDEX('Raw Data'!$A$4:B$998,F376,4))</f>
        <v>#NUM!</v>
      </c>
      <c r="L376" t="e">
        <f t="array" ref="L376">(--INDEX('Raw Data'!$A$4:B$998,F376,5))</f>
        <v>#NUM!</v>
      </c>
      <c r="M376" t="e">
        <f t="array" ref="M376">(--INDEX('Raw Data'!$A$4:D$998,$F376,6))</f>
        <v>#NUM!</v>
      </c>
      <c r="N376" t="e">
        <f t="array" ref="N376">(--INDEX('Raw Data'!$A$4:D$998,$F376,7))</f>
        <v>#NUM!</v>
      </c>
      <c r="O376" t="e">
        <f t="array" ref="O376">IF(--INDEX('Raw Data'!$A$4:E$998,$F376,8)= 0, 1, 0)</f>
        <v>#NUM!</v>
      </c>
      <c r="P376" t="e">
        <f t="array" ref="P376">IF(--INDEX('Raw Data'!$A$4:F$998,$F376,8)= 1, 1, 0)</f>
        <v>#NUM!</v>
      </c>
      <c r="Q376" t="e">
        <f t="array" ref="Q376">IF(--INDEX('Raw Data'!$A$4:G$998,$F376,13)= 1, 1, 0)</f>
        <v>#NUM!</v>
      </c>
      <c r="R376" t="e">
        <f t="array" ref="R376">IF(--INDEX('Raw Data'!$A$4:H$998,$F376,14)= 1, 1, 0)</f>
        <v>#NUM!</v>
      </c>
      <c r="S376" t="e">
        <f t="array" ref="S376">IF(--INDEX('Raw Data'!$A$4:I$998,$F376,15)= 1, 1, 0)</f>
        <v>#NUM!</v>
      </c>
      <c r="T376" t="e">
        <f t="array" ref="T376">IF(--INDEX('Raw Data'!$A$4:I$998,$F376,15)= 1, 1, 0)</f>
        <v>#NUM!</v>
      </c>
      <c r="U376" t="e">
        <f t="array" ref="U376">IF(--INDEX('Raw Data'!$A$4:J$998,$F376,16)= 1, 1, 0)</f>
        <v>#NUM!</v>
      </c>
      <c r="V376" t="e">
        <f t="array" ref="V376">IF(--INDEX('Raw Data'!$A$4:K$998,$F376,17)= 1, 1, 0)</f>
        <v>#NUM!</v>
      </c>
      <c r="W376" t="e">
        <f t="array" ref="W376">INDEX('Raw Data'!$A:$O,$F376,19)</f>
        <v>#NUM!</v>
      </c>
      <c r="X376" t="e">
        <f t="array" ref="X376">INDEX('Raw Data'!$A:$O,$F376,20)</f>
        <v>#NUM!</v>
      </c>
      <c r="Y376" t="e">
        <f t="array" ref="Y376">INDEX('Raw Data'!$A:$O,F376,21)</f>
        <v>#NUM!</v>
      </c>
      <c r="Z376" t="e">
        <f t="array" ref="Z376">INDEX('Raw Data'!$A:$O,$F376,3)</f>
        <v>#NUM!</v>
      </c>
      <c r="AA376" t="e">
        <f t="array" ref="AA376">INDEX('Raw Data'!$A:$O,$F376,22)</f>
        <v>#NUM!</v>
      </c>
      <c r="AB376" t="e">
        <f t="array" ref="AB376">INDEX('Raw Data'!$A:$O,$F376,23)</f>
        <v>#NUM!</v>
      </c>
    </row>
    <row r="377" spans="1:44" x14ac:dyDescent="0.25">
      <c r="F377" t="e">
        <f t="array" ref="F377">SMALL(IF('Raw Data'!A:A=C367,ROW('Raw Data'!A:A)),ROW('Raw Data'!$10:$10))</f>
        <v>#NUM!</v>
      </c>
      <c r="G377" t="e">
        <f t="array" ref="G377">INDEX('Raw Data'!A:A,F377,9)</f>
        <v>#NUM!</v>
      </c>
      <c r="H377" t="e">
        <f t="array" ref="H377">INDEX('Raw Data'!A:A,F377,10)</f>
        <v>#NUM!</v>
      </c>
      <c r="I377" t="e">
        <f t="array" ref="I377">INDEX('Raw Data'!$A:A,$F377,11)</f>
        <v>#NUM!</v>
      </c>
      <c r="J377" t="e">
        <f t="array" ref="J377">INDEX('Raw Data'!$A:A,F377,12)</f>
        <v>#NUM!</v>
      </c>
      <c r="K377" t="e">
        <f t="array" ref="K377">(--INDEX('Raw Data'!$A$4:B$998,F377,4))</f>
        <v>#NUM!</v>
      </c>
      <c r="L377" t="e">
        <f t="array" ref="L377">(--INDEX('Raw Data'!$A$4:B$998,F377,5))</f>
        <v>#NUM!</v>
      </c>
      <c r="M377" t="e">
        <f t="array" ref="M377">(--INDEX('Raw Data'!$A$4:D$998,$F377,6))</f>
        <v>#NUM!</v>
      </c>
      <c r="N377" t="e">
        <f t="array" ref="N377">(--INDEX('Raw Data'!$A$4:D$998,$F377,7))</f>
        <v>#NUM!</v>
      </c>
      <c r="O377" t="e">
        <f t="array" ref="O377">IF(--INDEX('Raw Data'!$A$4:E$998,$F377,8)= 0, 1, 0)</f>
        <v>#NUM!</v>
      </c>
      <c r="P377" t="e">
        <f t="array" ref="P377">IF(--INDEX('Raw Data'!$A$4:F$998,$F377,8)= 1, 1, 0)</f>
        <v>#NUM!</v>
      </c>
      <c r="Q377" t="e">
        <f t="array" ref="Q377">IF(--INDEX('Raw Data'!$A$4:G$998,$F377,13)= 1, 1, 0)</f>
        <v>#NUM!</v>
      </c>
      <c r="R377" t="e">
        <f t="array" ref="R377">IF(--INDEX('Raw Data'!$A$4:H$998,$F377,14)= 1, 1, 0)</f>
        <v>#NUM!</v>
      </c>
      <c r="S377" t="e">
        <f t="array" ref="S377">IF(--INDEX('Raw Data'!$A$4:I$998,$F377,15)= 1, 1, 0)</f>
        <v>#NUM!</v>
      </c>
      <c r="T377" t="e">
        <f t="array" ref="T377">IF(--INDEX('Raw Data'!$A$4:I$998,$F377,15)= 1, 1, 0)</f>
        <v>#NUM!</v>
      </c>
      <c r="U377" t="e">
        <f t="array" ref="U377">IF(--INDEX('Raw Data'!$A$4:J$998,$F377,16)= 1, 1, 0)</f>
        <v>#NUM!</v>
      </c>
      <c r="V377" t="e">
        <f t="array" ref="V377">IF(--INDEX('Raw Data'!$A$4:K$998,$F377,17)= 1, 1, 0)</f>
        <v>#NUM!</v>
      </c>
      <c r="W377" t="e">
        <f t="array" ref="W377">INDEX('Raw Data'!$A:$O,$F377,19)</f>
        <v>#NUM!</v>
      </c>
      <c r="X377" t="e">
        <f t="array" ref="X377">INDEX('Raw Data'!$A:$O,$F377,20)</f>
        <v>#NUM!</v>
      </c>
      <c r="Y377" t="e">
        <f t="array" ref="Y377">INDEX('Raw Data'!$A:$O,F377,21)</f>
        <v>#NUM!</v>
      </c>
      <c r="Z377" t="e">
        <f t="array" ref="Z377">INDEX('Raw Data'!$A:$O,$F377,3)</f>
        <v>#NUM!</v>
      </c>
      <c r="AA377" t="e">
        <f t="array" ref="AA377">INDEX('Raw Data'!$A:$O,$F377,22)</f>
        <v>#NUM!</v>
      </c>
      <c r="AB377" t="e">
        <f t="array" ref="AB377">INDEX('Raw Data'!$A:$O,$F377,23)</f>
        <v>#NUM!</v>
      </c>
    </row>
    <row r="378" spans="1:44" x14ac:dyDescent="0.25">
      <c r="F378" t="e">
        <f t="array" ref="F378">SMALL(IF('Raw Data'!A:A=C367,ROW('Raw Data'!A:A)),ROW('Raw Data'!$11:$11))</f>
        <v>#NUM!</v>
      </c>
      <c r="G378" t="e">
        <f t="array" ref="G378">INDEX('Raw Data'!A:A,F378,9)</f>
        <v>#NUM!</v>
      </c>
      <c r="H378" t="e">
        <f t="array" ref="H378">INDEX('Raw Data'!A:A,F378,10)</f>
        <v>#NUM!</v>
      </c>
      <c r="I378" t="e">
        <f t="array" ref="I378">INDEX('Raw Data'!$A:A,$F378,11)</f>
        <v>#NUM!</v>
      </c>
      <c r="J378" t="e">
        <f t="array" ref="J378">INDEX('Raw Data'!$A:A,F378,12)</f>
        <v>#NUM!</v>
      </c>
      <c r="K378" t="e">
        <f t="array" ref="K378">(--INDEX('Raw Data'!$A$4:B$998,F378,4))</f>
        <v>#NUM!</v>
      </c>
      <c r="L378" t="e">
        <f t="array" ref="L378">(--INDEX('Raw Data'!$A$4:B$998,F378,5))</f>
        <v>#NUM!</v>
      </c>
      <c r="M378" t="e">
        <f t="array" ref="M378">(--INDEX('Raw Data'!$A$4:D$998,$F378,6))</f>
        <v>#NUM!</v>
      </c>
      <c r="N378" t="e">
        <f t="array" ref="N378">(--INDEX('Raw Data'!$A$4:D$998,$F378,7))</f>
        <v>#NUM!</v>
      </c>
      <c r="O378" t="e">
        <f t="array" ref="O378">IF(--INDEX('Raw Data'!$A$4:E$998,$F378,8)= 0, 1, 0)</f>
        <v>#NUM!</v>
      </c>
      <c r="P378" t="e">
        <f t="array" ref="P378">IF(--INDEX('Raw Data'!$A$4:F$998,$F378,8)= 1, 1, 0)</f>
        <v>#NUM!</v>
      </c>
      <c r="Q378" t="e">
        <f t="array" ref="Q378">IF(--INDEX('Raw Data'!$A$4:G$998,$F378,13)= 1, 1, 0)</f>
        <v>#NUM!</v>
      </c>
      <c r="R378" t="e">
        <f t="array" ref="R378">IF(--INDEX('Raw Data'!$A$4:H$998,$F378,14)= 1, 1, 0)</f>
        <v>#NUM!</v>
      </c>
      <c r="S378" t="e">
        <f t="array" ref="S378">IF(--INDEX('Raw Data'!$A$4:I$998,$F378,15)= 1, 1, 0)</f>
        <v>#NUM!</v>
      </c>
      <c r="T378" t="e">
        <f t="array" ref="T378">IF(--INDEX('Raw Data'!$A$4:I$998,$F378,15)= 1, 1, 0)</f>
        <v>#NUM!</v>
      </c>
      <c r="U378" t="e">
        <f t="array" ref="U378">IF(--INDEX('Raw Data'!$A$4:J$998,$F378,16)= 1, 1, 0)</f>
        <v>#NUM!</v>
      </c>
      <c r="V378" t="e">
        <f t="array" ref="V378">IF(--INDEX('Raw Data'!$A$4:K$998,$F378,17)= 1, 1, 0)</f>
        <v>#NUM!</v>
      </c>
      <c r="W378" t="e">
        <f t="array" ref="W378">INDEX('Raw Data'!$A:$O,$F378,19)</f>
        <v>#NUM!</v>
      </c>
      <c r="X378" t="e">
        <f t="array" ref="X378">INDEX('Raw Data'!$A:$O,$F378,20)</f>
        <v>#NUM!</v>
      </c>
      <c r="Y378" t="e">
        <f t="array" ref="Y378">INDEX('Raw Data'!$A:$O,F378,21)</f>
        <v>#NUM!</v>
      </c>
      <c r="Z378" t="e">
        <f t="array" ref="Z378">INDEX('Raw Data'!$A:$O,$F378,3)</f>
        <v>#NUM!</v>
      </c>
      <c r="AA378" t="e">
        <f t="array" ref="AA378">INDEX('Raw Data'!$A:$O,$F378,22)</f>
        <v>#NUM!</v>
      </c>
      <c r="AB378" t="e">
        <f t="array" ref="AB378">INDEX('Raw Data'!$A:$O,$F378,23)</f>
        <v>#NUM!</v>
      </c>
    </row>
    <row r="379" spans="1:44" x14ac:dyDescent="0.25">
      <c r="F379" t="e">
        <f t="array" ref="F379">SMALL(IF('Raw Data'!A:A=C367,ROW('Raw Data'!A:A)),ROW('Raw Data'!$12:$12))</f>
        <v>#NUM!</v>
      </c>
      <c r="G379" t="e">
        <f t="array" ref="G379">INDEX('Raw Data'!A:A,F379,9)</f>
        <v>#NUM!</v>
      </c>
      <c r="H379" t="e">
        <f t="array" ref="H379">INDEX('Raw Data'!A:A,F379,10)</f>
        <v>#NUM!</v>
      </c>
      <c r="I379" t="e">
        <f t="array" ref="I379">INDEX('Raw Data'!$A:A,$F379,11)</f>
        <v>#NUM!</v>
      </c>
      <c r="J379" t="e">
        <f t="array" ref="J379">INDEX('Raw Data'!$A:A,F379,12)</f>
        <v>#NUM!</v>
      </c>
      <c r="K379" t="e">
        <f t="array" ref="K379">(--INDEX('Raw Data'!$A$4:B$998,F379,4))</f>
        <v>#NUM!</v>
      </c>
      <c r="L379" t="e">
        <f t="array" ref="L379">(--INDEX('Raw Data'!$A$4:B$998,F379,5))</f>
        <v>#NUM!</v>
      </c>
      <c r="M379" t="e">
        <f t="array" ref="M379">(--INDEX('Raw Data'!$A$4:D$998,$F379,6))</f>
        <v>#NUM!</v>
      </c>
      <c r="N379" t="e">
        <f t="array" ref="N379">(--INDEX('Raw Data'!$A$4:D$998,$F379,7))</f>
        <v>#NUM!</v>
      </c>
      <c r="O379" t="e">
        <f t="array" ref="O379">IF(--INDEX('Raw Data'!$A$4:E$998,$F379,8)= 0, 1, 0)</f>
        <v>#NUM!</v>
      </c>
      <c r="P379" t="e">
        <f t="array" ref="P379">IF(--INDEX('Raw Data'!$A$4:F$998,$F379,8)= 1, 1, 0)</f>
        <v>#NUM!</v>
      </c>
      <c r="Q379" t="e">
        <f t="array" ref="Q379">IF(--INDEX('Raw Data'!$A$4:G$998,$F379,13)= 1, 1, 0)</f>
        <v>#NUM!</v>
      </c>
      <c r="R379" t="e">
        <f t="array" ref="R379">IF(--INDEX('Raw Data'!$A$4:H$998,$F379,14)= 1, 1, 0)</f>
        <v>#NUM!</v>
      </c>
      <c r="S379" t="e">
        <f t="array" ref="S379">IF(--INDEX('Raw Data'!$A$4:I$998,$F379,15)= 1, 1, 0)</f>
        <v>#NUM!</v>
      </c>
      <c r="T379" t="e">
        <f t="array" ref="T379">IF(--INDEX('Raw Data'!$A$4:I$998,$F379,15)= 1, 1, 0)</f>
        <v>#NUM!</v>
      </c>
      <c r="U379" t="e">
        <f t="array" ref="U379">IF(--INDEX('Raw Data'!$A$4:J$998,$F379,16)= 1, 1, 0)</f>
        <v>#NUM!</v>
      </c>
      <c r="V379" t="e">
        <f t="array" ref="V379">IF(--INDEX('Raw Data'!$A$4:K$998,$F379,17)= 1, 1, 0)</f>
        <v>#NUM!</v>
      </c>
      <c r="W379" t="e">
        <f t="array" ref="W379">INDEX('Raw Data'!$A:$O,$F379,19)</f>
        <v>#NUM!</v>
      </c>
      <c r="X379" t="e">
        <f t="array" ref="X379">INDEX('Raw Data'!$A:$O,$F379,20)</f>
        <v>#NUM!</v>
      </c>
      <c r="Y379" t="e">
        <f t="array" ref="Y379">INDEX('Raw Data'!$A:$O,F379,21)</f>
        <v>#NUM!</v>
      </c>
      <c r="Z379" t="e">
        <f t="array" ref="Z379">INDEX('Raw Data'!$A:$O,$F379,3)</f>
        <v>#NUM!</v>
      </c>
      <c r="AA379" t="e">
        <f t="array" ref="AA379">INDEX('Raw Data'!$A:$O,$F379,22)</f>
        <v>#NUM!</v>
      </c>
      <c r="AB379" t="e">
        <f t="array" ref="AB379">INDEX('Raw Data'!$A:$O,$F379,23)</f>
        <v>#NUM!</v>
      </c>
    </row>
    <row r="380" spans="1:44" x14ac:dyDescent="0.25">
      <c r="F380" t="e">
        <f t="array" ref="F380">SMALL(IF('Raw Data'!A:A=C367,ROW('Raw Data'!A:A)),ROW('Raw Data'!$13:$13))</f>
        <v>#NUM!</v>
      </c>
      <c r="G380" t="e">
        <f t="array" ref="G380">INDEX('Raw Data'!A:A,F380,9)</f>
        <v>#NUM!</v>
      </c>
      <c r="H380" t="e">
        <f t="array" ref="H380">INDEX('Raw Data'!A:A,F380,10)</f>
        <v>#NUM!</v>
      </c>
      <c r="I380" t="e">
        <f t="array" ref="I380">INDEX('Raw Data'!$A:A,$F380,11)</f>
        <v>#NUM!</v>
      </c>
      <c r="J380" t="e">
        <f t="array" ref="J380">INDEX('Raw Data'!$A:A,F380,12)</f>
        <v>#NUM!</v>
      </c>
      <c r="K380" t="e">
        <f t="array" ref="K380">(--INDEX('Raw Data'!$A$4:B$998,F380,4))</f>
        <v>#NUM!</v>
      </c>
      <c r="L380" t="e">
        <f t="array" ref="L380">(--INDEX('Raw Data'!$A$4:B$998,F380,5))</f>
        <v>#NUM!</v>
      </c>
      <c r="M380" t="e">
        <f t="array" ref="M380">(--INDEX('Raw Data'!$A$4:D$998,$F380,6))</f>
        <v>#NUM!</v>
      </c>
      <c r="N380" t="e">
        <f t="array" ref="N380">(--INDEX('Raw Data'!$A$4:D$998,$F380,7))</f>
        <v>#NUM!</v>
      </c>
      <c r="O380" t="e">
        <f t="array" ref="O380">IF(--INDEX('Raw Data'!$A$4:E$998,$F380,8)= 0, 1, 0)</f>
        <v>#NUM!</v>
      </c>
      <c r="P380" t="e">
        <f t="array" ref="P380">IF(--INDEX('Raw Data'!$A$4:F$998,$F380,8)= 1, 1, 0)</f>
        <v>#NUM!</v>
      </c>
      <c r="Q380" t="e">
        <f t="array" ref="Q380">IF(--INDEX('Raw Data'!$A$4:G$998,$F380,13)= 1, 1, 0)</f>
        <v>#NUM!</v>
      </c>
      <c r="R380" t="e">
        <f t="array" ref="R380">IF(--INDEX('Raw Data'!$A$4:H$998,$F380,14)= 1, 1, 0)</f>
        <v>#NUM!</v>
      </c>
      <c r="S380" t="e">
        <f t="array" ref="S380">IF(--INDEX('Raw Data'!$A$4:I$998,$F380,15)= 1, 1, 0)</f>
        <v>#NUM!</v>
      </c>
      <c r="T380" t="e">
        <f t="array" ref="T380">IF(--INDEX('Raw Data'!$A$4:I$998,$F380,15)= 1, 1, 0)</f>
        <v>#NUM!</v>
      </c>
      <c r="U380" t="e">
        <f t="array" ref="U380">IF(--INDEX('Raw Data'!$A$4:J$998,$F380,16)= 1, 1, 0)</f>
        <v>#NUM!</v>
      </c>
      <c r="V380" t="e">
        <f t="array" ref="V380">IF(--INDEX('Raw Data'!$A$4:K$998,$F380,17)= 1, 1, 0)</f>
        <v>#NUM!</v>
      </c>
      <c r="W380" t="e">
        <f t="array" ref="W380">INDEX('Raw Data'!$A:$O,$F380,19)</f>
        <v>#NUM!</v>
      </c>
      <c r="X380" t="e">
        <f t="array" ref="X380">INDEX('Raw Data'!$A:$O,$F380,20)</f>
        <v>#NUM!</v>
      </c>
      <c r="Y380" t="e">
        <f t="array" ref="Y380">INDEX('Raw Data'!$A:$O,F380,21)</f>
        <v>#NUM!</v>
      </c>
      <c r="Z380" t="e">
        <f t="array" ref="Z380">INDEX('Raw Data'!$A:$O,$F380,3)</f>
        <v>#NUM!</v>
      </c>
      <c r="AA380" t="e">
        <f t="array" ref="AA380">INDEX('Raw Data'!$A:$O,$F380,22)</f>
        <v>#NUM!</v>
      </c>
      <c r="AB380" t="e">
        <f t="array" ref="AB380">INDEX('Raw Data'!$A:$O,$F380,23)</f>
        <v>#NUM!</v>
      </c>
    </row>
    <row r="381" spans="1:44" x14ac:dyDescent="0.25">
      <c r="F381" t="e">
        <f t="array" ref="F381">SMALL(IF('Raw Data'!A:A=C367,ROW('Raw Data'!A:A)),ROW('Raw Data'!$14:$14))</f>
        <v>#NUM!</v>
      </c>
      <c r="G381" t="e">
        <f t="array" ref="G381">INDEX('Raw Data'!A:A,F381,9)</f>
        <v>#NUM!</v>
      </c>
      <c r="H381" t="e">
        <f t="array" ref="H381">INDEX('Raw Data'!A:A,F381,10)</f>
        <v>#NUM!</v>
      </c>
      <c r="I381" t="e">
        <f t="array" ref="I381">INDEX('Raw Data'!$A:A,$F381,11)</f>
        <v>#NUM!</v>
      </c>
      <c r="J381" t="e">
        <f t="array" ref="J381">INDEX('Raw Data'!$A:A,F381,12)</f>
        <v>#NUM!</v>
      </c>
      <c r="K381" t="e">
        <f t="array" ref="K381">(--INDEX('Raw Data'!$A$4:B$998,F381,4))</f>
        <v>#NUM!</v>
      </c>
      <c r="L381" t="e">
        <f t="array" ref="L381">(--INDEX('Raw Data'!$A$4:B$998,F381,5))</f>
        <v>#NUM!</v>
      </c>
      <c r="M381" t="e">
        <f t="array" ref="M381">(--INDEX('Raw Data'!$A$4:D$998,$F381,6))</f>
        <v>#NUM!</v>
      </c>
      <c r="N381" t="e">
        <f t="array" ref="N381">(--INDEX('Raw Data'!$A$4:D$998,$F381,7))</f>
        <v>#NUM!</v>
      </c>
      <c r="O381" t="e">
        <f t="array" ref="O381">IF(--INDEX('Raw Data'!$A$4:E$998,$F381,8)= 0, 1, 0)</f>
        <v>#NUM!</v>
      </c>
      <c r="P381" t="e">
        <f t="array" ref="P381">IF(--INDEX('Raw Data'!$A$4:F$998,$F381,8)= 1, 1, 0)</f>
        <v>#NUM!</v>
      </c>
      <c r="Q381" t="e">
        <f t="array" ref="Q381">IF(--INDEX('Raw Data'!$A$4:G$998,$F381,13)= 1, 1, 0)</f>
        <v>#NUM!</v>
      </c>
      <c r="R381" t="e">
        <f t="array" ref="R381">IF(--INDEX('Raw Data'!$A$4:H$998,$F381,14)= 1, 1, 0)</f>
        <v>#NUM!</v>
      </c>
      <c r="S381" t="e">
        <f t="array" ref="S381">IF(--INDEX('Raw Data'!$A$4:I$998,$F381,15)= 1, 1, 0)</f>
        <v>#NUM!</v>
      </c>
      <c r="T381" t="e">
        <f t="array" ref="T381">IF(--INDEX('Raw Data'!$A$4:I$998,$F381,15)= 1, 1, 0)</f>
        <v>#NUM!</v>
      </c>
      <c r="U381" t="e">
        <f t="array" ref="U381">IF(--INDEX('Raw Data'!$A$4:J$998,$F381,16)= 1, 1, 0)</f>
        <v>#NUM!</v>
      </c>
      <c r="V381" t="e">
        <f t="array" ref="V381">IF(--INDEX('Raw Data'!$A$4:K$998,$F381,17)= 1, 1, 0)</f>
        <v>#NUM!</v>
      </c>
      <c r="W381" t="e">
        <f t="array" ref="W381">INDEX('Raw Data'!$A:$O,$F381,19)</f>
        <v>#NUM!</v>
      </c>
      <c r="X381" t="e">
        <f t="array" ref="X381">INDEX('Raw Data'!$A:$O,$F381,20)</f>
        <v>#NUM!</v>
      </c>
      <c r="Y381" t="e">
        <f t="array" ref="Y381">INDEX('Raw Data'!$A:$O,F381,21)</f>
        <v>#NUM!</v>
      </c>
      <c r="Z381" t="e">
        <f t="array" ref="Z381">INDEX('Raw Data'!$A:$O,$F381,3)</f>
        <v>#NUM!</v>
      </c>
      <c r="AA381" t="e">
        <f t="array" ref="AA381">INDEX('Raw Data'!$A:$O,$F381,22)</f>
        <v>#NUM!</v>
      </c>
      <c r="AB381" t="e">
        <f t="array" ref="AB381">INDEX('Raw Data'!$A:$O,$F381,23)</f>
        <v>#NUM!</v>
      </c>
    </row>
    <row r="382" spans="1:44" x14ac:dyDescent="0.25">
      <c r="F382" t="e">
        <f t="array" ref="F382">SMALL(IF('Raw Data'!A:A=C367,ROW('Raw Data'!A:A)),ROW('Raw Data'!$15:$15))</f>
        <v>#NUM!</v>
      </c>
      <c r="G382" t="e">
        <f t="array" ref="G382">INDEX('Raw Data'!A:A,F382,9)</f>
        <v>#NUM!</v>
      </c>
      <c r="H382" t="e">
        <f t="array" ref="H382">INDEX('Raw Data'!A:A,F382,10)</f>
        <v>#NUM!</v>
      </c>
      <c r="I382" t="e">
        <f t="array" ref="I382">INDEX('Raw Data'!$A:A,$F382,11)</f>
        <v>#NUM!</v>
      </c>
      <c r="J382" t="e">
        <f t="array" ref="J382">INDEX('Raw Data'!$A:A,F382,12)</f>
        <v>#NUM!</v>
      </c>
      <c r="K382" t="e">
        <f t="array" ref="K382">(--INDEX('Raw Data'!$A$4:B$998,F382,4))</f>
        <v>#NUM!</v>
      </c>
      <c r="L382" t="e">
        <f t="array" ref="L382">(--INDEX('Raw Data'!$A$4:B$998,F382,5))</f>
        <v>#NUM!</v>
      </c>
      <c r="M382" t="e">
        <f t="array" ref="M382">(--INDEX('Raw Data'!$A$4:D$998,$F382,6))</f>
        <v>#NUM!</v>
      </c>
      <c r="N382" t="e">
        <f t="array" ref="N382">(--INDEX('Raw Data'!$A$4:D$998,$F382,7))</f>
        <v>#NUM!</v>
      </c>
      <c r="O382" t="e">
        <f t="array" ref="O382">IF(--INDEX('Raw Data'!$A$4:E$998,$F382,8)= 0, 1, 0)</f>
        <v>#NUM!</v>
      </c>
      <c r="P382" t="e">
        <f t="array" ref="P382">IF(--INDEX('Raw Data'!$A$4:F$998,$F382,8)= 1, 1, 0)</f>
        <v>#NUM!</v>
      </c>
      <c r="Q382" t="e">
        <f t="array" ref="Q382">IF(--INDEX('Raw Data'!$A$4:G$998,$F382,13)= 1, 1, 0)</f>
        <v>#NUM!</v>
      </c>
      <c r="R382" t="e">
        <f t="array" ref="R382">IF(--INDEX('Raw Data'!$A$4:H$998,$F382,14)= 1, 1, 0)</f>
        <v>#NUM!</v>
      </c>
      <c r="S382" t="e">
        <f t="array" ref="S382">IF(--INDEX('Raw Data'!$A$4:I$998,$F382,15)= 1, 1, 0)</f>
        <v>#NUM!</v>
      </c>
      <c r="T382" t="e">
        <f t="array" ref="T382">IF(--INDEX('Raw Data'!$A$4:I$998,$F382,15)= 1, 1, 0)</f>
        <v>#NUM!</v>
      </c>
      <c r="U382" t="e">
        <f t="array" ref="U382">IF(--INDEX('Raw Data'!$A$4:J$998,$F382,16)= 1, 1, 0)</f>
        <v>#NUM!</v>
      </c>
      <c r="V382" t="e">
        <f t="array" ref="V382">IF(--INDEX('Raw Data'!$A$4:K$998,$F382,17)= 1, 1, 0)</f>
        <v>#NUM!</v>
      </c>
      <c r="W382" t="e">
        <f t="array" ref="W382">INDEX('Raw Data'!$A:$O,$F382,19)</f>
        <v>#NUM!</v>
      </c>
      <c r="X382" t="e">
        <f t="array" ref="X382">INDEX('Raw Data'!$A:$O,$F382,20)</f>
        <v>#NUM!</v>
      </c>
      <c r="Y382" t="e">
        <f t="array" ref="Y382">INDEX('Raw Data'!$A:$O,F382,21)</f>
        <v>#NUM!</v>
      </c>
      <c r="Z382" t="e">
        <f t="array" ref="Z382">INDEX('Raw Data'!$A:$O,$F382,3)</f>
        <v>#NUM!</v>
      </c>
      <c r="AA382" t="e">
        <f t="array" ref="AA382">INDEX('Raw Data'!$A:$O,$F382,22)</f>
        <v>#NUM!</v>
      </c>
      <c r="AB382" t="e">
        <f t="array" ref="AB382">INDEX('Raw Data'!$A:$O,$F382,23)</f>
        <v>#NUM!</v>
      </c>
    </row>
    <row r="383" spans="1:44" x14ac:dyDescent="0.25">
      <c r="A383" t="s">
        <v>55</v>
      </c>
      <c r="C383" s="2" t="e">
        <f>B373/B372</f>
        <v>#DIV/0!</v>
      </c>
      <c r="F383">
        <f t="array" ref="F383">COUNTIF(F368:F382,"&gt;0")</f>
        <v>0</v>
      </c>
      <c r="G383">
        <f t="array" ref="G383">SUMIF(G368:G382,"&gt;0")</f>
        <v>0</v>
      </c>
      <c r="H383">
        <f t="array" ref="H383">SUMIF(H368:H382,"&gt;0")</f>
        <v>0</v>
      </c>
      <c r="I383">
        <f t="array" ref="I383">SUMIF(I368:I382,"&gt;0")</f>
        <v>0</v>
      </c>
      <c r="J383">
        <f t="array" ref="J383">SUMIF(J368:J382,"&gt;0")</f>
        <v>0</v>
      </c>
      <c r="K383">
        <f t="array" ref="K383">SUMIF(K368:K382,"&gt;0")</f>
        <v>0</v>
      </c>
      <c r="L383">
        <f t="array" ref="L383">SUMIF(L368:L382,"&gt;0")</f>
        <v>0</v>
      </c>
      <c r="M383">
        <f t="array" ref="M383">SUMIF(M368:M382,"&gt;0")</f>
        <v>0</v>
      </c>
      <c r="N383">
        <f t="array" ref="N383">SUMIF(N368:N382,"&gt;0")</f>
        <v>0</v>
      </c>
      <c r="O383">
        <f t="array" ref="O383">SUMIF(O368:O382,"&gt;0")</f>
        <v>0</v>
      </c>
      <c r="P383">
        <f t="array" ref="P383">SUMIF(P368:P382,"&gt;0")</f>
        <v>0</v>
      </c>
      <c r="Q383">
        <f t="array" ref="Q383">SUMIF(Q368:Q382,"&gt;0")</f>
        <v>0</v>
      </c>
      <c r="R383">
        <f t="array" ref="R383">SUMIF(R368:R382,"&gt;0")</f>
        <v>0</v>
      </c>
      <c r="S383">
        <f t="array" ref="S383">SUMIF(S368:S382,"&gt;0")</f>
        <v>0</v>
      </c>
      <c r="T383">
        <f t="array" ref="T383">SUMIF(T368:T382,"&gt;0")</f>
        <v>0</v>
      </c>
      <c r="U383">
        <f t="array" ref="U383">SUMIF(U368:U382,"&gt;0")</f>
        <v>0</v>
      </c>
      <c r="V383">
        <f t="array" ref="V383">SUMIF(V368:V382,"&gt;0")</f>
        <v>0</v>
      </c>
      <c r="W383">
        <f t="array" ref="W383">SUMIF(W368:W382,"&gt;0")</f>
        <v>0</v>
      </c>
      <c r="X383">
        <f t="array" ref="X383">SUMIF(X368:X382,"&gt;0")</f>
        <v>0</v>
      </c>
      <c r="Y383">
        <f t="array" ref="Y383">SUMIF(Y368:Y382,"&gt;0")</f>
        <v>0</v>
      </c>
      <c r="Z383">
        <f t="array" ref="Z383">SUMIF(Z368:Z382,"&gt;0")</f>
        <v>0</v>
      </c>
      <c r="AA383">
        <f t="array" ref="AA383">SUMIF(AA368:AA382,"&gt;0")</f>
        <v>0</v>
      </c>
      <c r="AB383">
        <f t="array" ref="AB383">SUMIF(AB368:AB382,"&gt;0")</f>
        <v>0</v>
      </c>
    </row>
    <row r="384" spans="1:44" x14ac:dyDescent="0.25">
      <c r="A384" t="s">
        <v>58</v>
      </c>
      <c r="C384" s="2">
        <f t="array" ref="C384">IF((K383+L383)&lt;&gt;0, (L383/(K383+L383)),0)</f>
        <v>0</v>
      </c>
      <c r="J384" s="6">
        <f t="array" ref="J384">J383*10</f>
        <v>0</v>
      </c>
      <c r="K384" s="6"/>
      <c r="P384" t="s">
        <v>95</v>
      </c>
      <c r="Q384" s="2" t="e">
        <f t="array" ref="Q384">Q383/$F383</f>
        <v>#DIV/0!</v>
      </c>
      <c r="R384" s="2" t="e">
        <f t="array" ref="R384">R383/$F383</f>
        <v>#DIV/0!</v>
      </c>
      <c r="S384" s="2" t="e">
        <f t="array" ref="S384">S383/$F383</f>
        <v>#DIV/0!</v>
      </c>
      <c r="T384" s="2" t="e">
        <f t="array" ref="T384">T383/$F383</f>
        <v>#DIV/0!</v>
      </c>
      <c r="U384" s="2" t="e">
        <f t="array" ref="U384">U383/$F383</f>
        <v>#DIV/0!</v>
      </c>
      <c r="V384" s="2" t="e">
        <f t="array" ref="V384">V383/$F383</f>
        <v>#DIV/0!</v>
      </c>
      <c r="W384" s="2" t="e">
        <f t="array" ref="W384">W383/$F383</f>
        <v>#DIV/0!</v>
      </c>
      <c r="X384" s="2" t="e">
        <f t="array" ref="X384">X383/$F383</f>
        <v>#DIV/0!</v>
      </c>
      <c r="Z384" s="2" t="e">
        <f t="array" ref="Z384">Z383/F383</f>
        <v>#DIV/0!</v>
      </c>
    </row>
    <row r="385" spans="1:44" x14ac:dyDescent="0.25">
      <c r="A385" t="s">
        <v>60</v>
      </c>
      <c r="C385" s="2">
        <f t="array" ref="C385">IF((M383+N383)&lt;&gt;0, (N383/(M383+N383)),0)</f>
        <v>0</v>
      </c>
      <c r="J385" s="6"/>
      <c r="K385" s="6"/>
      <c r="AR385" s="25"/>
    </row>
    <row r="386" spans="1:44" ht="28.5" x14ac:dyDescent="0.45">
      <c r="A386" t="s">
        <v>61</v>
      </c>
      <c r="C386" s="2">
        <f t="array" ref="C386">IF(((K383+N383+L383+M383)&lt;&gt;0), ((L383+N383)/(K383+N383+L383+M383)),0)</f>
        <v>0</v>
      </c>
      <c r="F386" s="17" t="s">
        <v>106</v>
      </c>
      <c r="G386" s="17" t="e">
        <f t="array" ref="G386">'Weighting &amp; Ranking Sheet'!$B$3*Math!$C384+'Weighting &amp; Ranking Sheet'!$B$4*Math!$C385+'Weighting &amp; Ranking Sheet'!$B$5*Math!$C386+'Weighting &amp; Ranking Sheet'!$B$6*Math!$C387+'Weighting &amp; Ranking Sheet'!$B$7*Math!$C371+'Weighting &amp; Ranking Sheet'!$B$8*Math!$C383+'Weighting &amp; Ranking Sheet'!$B$9*Math!$C390+'Weighting &amp; Ranking Sheet'!$B$10*Math!$C388+'Weighting &amp; Ranking Sheet'!$B$11*Math!$C389+'Weighting &amp; Ranking Sheet'!$B$12*Math!$C391*0.01+'Weighting &amp; Ranking Sheet'!$B$13*Math!$Q384+'Weighting &amp; Ranking Sheet'!$B$14*Math!$R384+'Weighting &amp; Ranking Sheet'!$B$15*Math!$S384+'Weighting &amp; Ranking Sheet'!$B$16*Math!$T384+'Weighting &amp; Ranking Sheet'!$B$17*Math!$U384+'Weighting &amp; Ranking Sheet'!$B$18*Math!$V384+'Weighting &amp; Ranking Sheet'!$B$2*Math!$Z384</f>
        <v>#DIV/0!</v>
      </c>
      <c r="J386"/>
      <c r="K386"/>
      <c r="AR386" s="25"/>
    </row>
    <row r="387" spans="1:44" x14ac:dyDescent="0.25">
      <c r="A387" t="s">
        <v>62</v>
      </c>
      <c r="C387" s="2">
        <f t="array" ref="C387">IF((O383+P383&lt;&gt;0),(P383/(O383+P383)), 0)</f>
        <v>0</v>
      </c>
      <c r="J387"/>
      <c r="K387"/>
      <c r="AR387" s="25"/>
    </row>
    <row r="388" spans="1:44" x14ac:dyDescent="0.25">
      <c r="A388" t="s">
        <v>77</v>
      </c>
      <c r="C388" s="8" t="e">
        <f t="array" ref="C388">W383/F383</f>
        <v>#DIV/0!</v>
      </c>
      <c r="J388"/>
      <c r="K388"/>
      <c r="AR388" s="23"/>
    </row>
    <row r="389" spans="1:44" x14ac:dyDescent="0.25">
      <c r="A389" t="s">
        <v>78</v>
      </c>
      <c r="C389" s="8" t="e">
        <f t="array" ref="C389">X383/F383</f>
        <v>#DIV/0!</v>
      </c>
      <c r="J389"/>
      <c r="K389"/>
    </row>
    <row r="390" spans="1:44" x14ac:dyDescent="0.25">
      <c r="A390" t="s">
        <v>91</v>
      </c>
      <c r="C390" s="2" t="e">
        <f t="array" ref="C390">(C371+C383)/2</f>
        <v>#DIV/0!</v>
      </c>
      <c r="J390"/>
      <c r="K390"/>
    </row>
    <row r="391" spans="1:44" x14ac:dyDescent="0.25">
      <c r="A391" t="s">
        <v>92</v>
      </c>
      <c r="C391" s="8" t="e">
        <f t="array" ref="C391">Y383/F383</f>
        <v>#DIV/0!</v>
      </c>
      <c r="J391"/>
      <c r="K391"/>
    </row>
    <row r="392" spans="1:44" x14ac:dyDescent="0.25">
      <c r="C392" s="8"/>
      <c r="J392" s="6"/>
      <c r="K392" s="6"/>
    </row>
    <row r="393" spans="1:44" x14ac:dyDescent="0.25">
      <c r="C393" s="8"/>
      <c r="J393" s="6"/>
      <c r="K393" s="6"/>
    </row>
    <row r="394" spans="1:44" x14ac:dyDescent="0.25">
      <c r="C394" s="2"/>
      <c r="J394" s="6"/>
      <c r="K394" s="6"/>
    </row>
    <row r="395" spans="1:44" x14ac:dyDescent="0.25">
      <c r="A395" t="s">
        <v>3</v>
      </c>
      <c r="C395" s="5">
        <v>484</v>
      </c>
      <c r="F395" t="s">
        <v>18</v>
      </c>
    </row>
    <row r="396" spans="1:44" x14ac:dyDescent="0.25">
      <c r="F396" t="e">
        <f t="array" ref="F396">SMALL(IF('Raw Data'!A:A=C395,ROW('Raw Data'!A:A)),ROW('Raw Data'!$1:$1))</f>
        <v>#NUM!</v>
      </c>
      <c r="G396" t="e">
        <f t="array" ref="G396">INDEX('Raw Data'!A:A,F396,9)</f>
        <v>#NUM!</v>
      </c>
      <c r="H396" t="e">
        <f t="array" ref="H396">INDEX('Raw Data'!A:A,F396,10)</f>
        <v>#NUM!</v>
      </c>
      <c r="I396" t="e">
        <f t="array" ref="I396">INDEX('Raw Data'!$A:A,$F396,11)</f>
        <v>#NUM!</v>
      </c>
      <c r="J396" t="e">
        <f t="array" ref="J396">INDEX('Raw Data'!$A:A,F396,12)</f>
        <v>#NUM!</v>
      </c>
      <c r="K396" t="e">
        <f>(--INDEX('Raw Data'!$A$4:B$993,F396,4))</f>
        <v>#NUM!</v>
      </c>
      <c r="L396" t="e">
        <f t="array" ref="L396">(--INDEX('Raw Data'!$A$4:B$993,F396,5))</f>
        <v>#NUM!</v>
      </c>
      <c r="M396" t="e">
        <f t="array" ref="M396">(--INDEX('Raw Data'!$A$4:D$993,$F396,6))</f>
        <v>#NUM!</v>
      </c>
      <c r="N396" t="e">
        <f t="array" ref="N396">(--INDEX('Raw Data'!$A$4:D$993,$F396,7))</f>
        <v>#NUM!</v>
      </c>
      <c r="O396" t="e">
        <f t="array" ref="O396">IF(--INDEX('Raw Data'!$A$4:E$993,$F396,8)= 0, 1, 0)</f>
        <v>#NUM!</v>
      </c>
      <c r="P396" t="e">
        <f t="array" ref="P396">IF(--INDEX('Raw Data'!$A$4:F$993,$F396,8)= 1, 1, 0)</f>
        <v>#NUM!</v>
      </c>
      <c r="Q396" t="e">
        <f t="array" ref="Q396">IF(--INDEX('Raw Data'!$A$4:G$993,$F396,13)= 1, 1, 0)</f>
        <v>#NUM!</v>
      </c>
      <c r="R396" t="e">
        <f t="array" ref="R396">IF(--INDEX('Raw Data'!$A$4:H$993,$F396,14)= 1, 1, 0)</f>
        <v>#NUM!</v>
      </c>
      <c r="S396" t="e">
        <f t="array" ref="S396">IF(--INDEX('Raw Data'!$A$4:I$993,$F396,15)= 1, 1, 0)</f>
        <v>#NUM!</v>
      </c>
      <c r="T396" t="e">
        <f t="array" ref="T396">IF(--INDEX('Raw Data'!$A$4:I$993,$F396,15)= 1, 1, 0)</f>
        <v>#NUM!</v>
      </c>
      <c r="U396" t="e">
        <f t="array" ref="U396">IF(--INDEX('Raw Data'!$A$4:J$993,$F396,16)= 1, 1, 0)</f>
        <v>#NUM!</v>
      </c>
      <c r="V396" t="e">
        <f t="array" ref="V396">IF(--INDEX('Raw Data'!$A$4:K$993,$F396,17)= 1, 1, 0)</f>
        <v>#NUM!</v>
      </c>
      <c r="W396" t="e">
        <f t="array" ref="W396">INDEX('Raw Data'!$A:$O,$F396,19)</f>
        <v>#NUM!</v>
      </c>
      <c r="X396" t="e">
        <f t="array" ref="X396">INDEX('Raw Data'!$A:$O,$F396,20)</f>
        <v>#NUM!</v>
      </c>
      <c r="Y396" t="e">
        <f t="array" ref="Y396">INDEX('Raw Data'!$A:$O,F396,21)</f>
        <v>#NUM!</v>
      </c>
      <c r="Z396" t="e">
        <f t="array" ref="Z396">INDEX('Raw Data'!$A:$O,$F396,3)</f>
        <v>#NUM!</v>
      </c>
      <c r="AA396" t="e">
        <f t="array" ref="AA396">INDEX('Raw Data'!$A:$O,$F396,22)</f>
        <v>#NUM!</v>
      </c>
      <c r="AB396" t="e">
        <f t="array" ref="AB396">INDEX('Raw Data'!$A:$O,$F396,23)</f>
        <v>#NUM!</v>
      </c>
    </row>
    <row r="397" spans="1:44" x14ac:dyDescent="0.25">
      <c r="A397" t="s">
        <v>0</v>
      </c>
      <c r="B397">
        <f>G411</f>
        <v>0</v>
      </c>
      <c r="F397" t="e">
        <f t="array" ref="F397">SMALL(IF('Raw Data'!A:A=C395,ROW('Raw Data'!A:A)),ROW('Raw Data'!$2:$2))</f>
        <v>#NUM!</v>
      </c>
      <c r="G397" t="e">
        <f t="array" ref="G397">INDEX('Raw Data'!A:A,F397,9)</f>
        <v>#NUM!</v>
      </c>
      <c r="H397" t="e">
        <f t="array" ref="H397">INDEX('Raw Data'!A:A,F397,10)</f>
        <v>#NUM!</v>
      </c>
      <c r="I397" t="e">
        <f t="array" ref="I397">INDEX('Raw Data'!$A:A,$F397,11)</f>
        <v>#NUM!</v>
      </c>
      <c r="J397" t="e">
        <f t="array" ref="J397">INDEX('Raw Data'!$A:A,F397,12)</f>
        <v>#NUM!</v>
      </c>
      <c r="K397" t="e">
        <f>(--INDEX('Raw Data'!$A$4:B$993,F397,4))</f>
        <v>#NUM!</v>
      </c>
      <c r="L397" t="e">
        <f t="array" ref="L397">(--INDEX('Raw Data'!$A$4:B$993,F397,5))</f>
        <v>#NUM!</v>
      </c>
      <c r="M397" t="e">
        <f t="array" ref="M397">(--INDEX('Raw Data'!$A$4:D$993,$F397,6))</f>
        <v>#NUM!</v>
      </c>
      <c r="N397" t="e">
        <f t="array" ref="N397">(--INDEX('Raw Data'!$A$4:D$993,$F397,7))</f>
        <v>#NUM!</v>
      </c>
      <c r="O397" t="e">
        <f t="array" ref="O397">IF(--INDEX('Raw Data'!$A$4:E$993,$F397,8)= 0, 1, 0)</f>
        <v>#NUM!</v>
      </c>
      <c r="P397" t="e">
        <f t="array" ref="P397">IF(--INDEX('Raw Data'!$A$4:F$993,$F397,8)= 1, 1, 0)</f>
        <v>#NUM!</v>
      </c>
      <c r="Q397" t="e">
        <f t="array" ref="Q397">IF(--INDEX('Raw Data'!$A$4:G$993,$F397,13)= 1, 1, 0)</f>
        <v>#NUM!</v>
      </c>
      <c r="R397" t="e">
        <f t="array" ref="R397">IF(--INDEX('Raw Data'!$A$4:H$993,$F397,14)= 1, 1, 0)</f>
        <v>#NUM!</v>
      </c>
      <c r="S397" t="e">
        <f t="array" ref="S397">IF(--INDEX('Raw Data'!$A$4:I$993,$F397,15)= 1, 1, 0)</f>
        <v>#NUM!</v>
      </c>
      <c r="T397" t="e">
        <f t="array" ref="T397">IF(--INDEX('Raw Data'!$A$4:I$993,$F397,15)= 1, 1, 0)</f>
        <v>#NUM!</v>
      </c>
      <c r="U397" t="e">
        <f t="array" ref="U397">IF(--INDEX('Raw Data'!$A$4:J$993,$F397,16)= 1, 1, 0)</f>
        <v>#NUM!</v>
      </c>
      <c r="V397" t="e">
        <f t="array" ref="V397">IF(--INDEX('Raw Data'!$A$4:K$993,$F397,17)= 1, 1, 0)</f>
        <v>#NUM!</v>
      </c>
      <c r="W397" t="e">
        <f t="array" ref="W397">INDEX('Raw Data'!$A:$O,$F397,19)</f>
        <v>#NUM!</v>
      </c>
      <c r="X397" t="e">
        <f t="array" ref="X397">INDEX('Raw Data'!$A:$O,$F397,20)</f>
        <v>#NUM!</v>
      </c>
      <c r="Y397" t="e">
        <f t="array" ref="Y397">INDEX('Raw Data'!$A:$O,F397,21)</f>
        <v>#NUM!</v>
      </c>
      <c r="Z397" t="e">
        <f t="array" ref="Z397">INDEX('Raw Data'!$A:$O,$F397,3)</f>
        <v>#NUM!</v>
      </c>
      <c r="AA397" t="e">
        <f t="array" ref="AA397">INDEX('Raw Data'!$A:$O,$F397,22)</f>
        <v>#NUM!</v>
      </c>
      <c r="AB397" t="e">
        <f t="array" ref="AB397">INDEX('Raw Data'!$A:$O,$F397,23)</f>
        <v>#NUM!</v>
      </c>
    </row>
    <row r="398" spans="1:44" x14ac:dyDescent="0.25">
      <c r="A398" t="s">
        <v>1</v>
      </c>
      <c r="B398">
        <f>H411</f>
        <v>0</v>
      </c>
      <c r="F398" t="e">
        <f t="array" ref="F398">SMALL(IF('Raw Data'!A:A=C395,ROW('Raw Data'!A:A)),ROW('Raw Data'!$3:$3))</f>
        <v>#NUM!</v>
      </c>
      <c r="G398" t="e">
        <f t="array" ref="G398">INDEX('Raw Data'!A:A,F398,9)</f>
        <v>#NUM!</v>
      </c>
      <c r="H398" t="e">
        <f t="array" ref="H398">INDEX('Raw Data'!A:A,F398,10)</f>
        <v>#NUM!</v>
      </c>
      <c r="I398" t="e">
        <f t="array" ref="I398">INDEX('Raw Data'!$A:A,$F398,11)</f>
        <v>#NUM!</v>
      </c>
      <c r="J398" t="e">
        <f t="array" ref="J398">INDEX('Raw Data'!$A:A,F398,12)</f>
        <v>#NUM!</v>
      </c>
      <c r="K398" t="e">
        <f>(--INDEX('Raw Data'!$A$4:B$993,F398,4))</f>
        <v>#NUM!</v>
      </c>
      <c r="L398" t="e">
        <f t="array" ref="L398">(--INDEX('Raw Data'!$A$4:B$993,F398,5))</f>
        <v>#NUM!</v>
      </c>
      <c r="M398" t="e">
        <f t="array" ref="M398">(--INDEX('Raw Data'!$A$4:D$993,$F398,6))</f>
        <v>#NUM!</v>
      </c>
      <c r="N398" t="e">
        <f t="array" ref="N398">(--INDEX('Raw Data'!$A$4:D$993,$F398,7))</f>
        <v>#NUM!</v>
      </c>
      <c r="O398" t="e">
        <f t="array" ref="O398">IF(--INDEX('Raw Data'!$A$4:E$993,$F398,8)= 0, 1, 0)</f>
        <v>#NUM!</v>
      </c>
      <c r="P398" t="e">
        <f t="array" ref="P398">IF(--INDEX('Raw Data'!$A$4:F$993,$F398,8)= 1, 1, 0)</f>
        <v>#NUM!</v>
      </c>
      <c r="Q398" t="e">
        <f t="array" ref="Q398">IF(--INDEX('Raw Data'!$A$4:G$993,$F398,13)= 1, 1, 0)</f>
        <v>#NUM!</v>
      </c>
      <c r="R398" t="e">
        <f t="array" ref="R398">IF(--INDEX('Raw Data'!$A$4:H$993,$F398,14)= 1, 1, 0)</f>
        <v>#NUM!</v>
      </c>
      <c r="S398" t="e">
        <f t="array" ref="S398">IF(--INDEX('Raw Data'!$A$4:I$993,$F398,15)= 1, 1, 0)</f>
        <v>#NUM!</v>
      </c>
      <c r="T398" t="e">
        <f t="array" ref="T398">IF(--INDEX('Raw Data'!$A$4:I$993,$F398,15)= 1, 1, 0)</f>
        <v>#NUM!</v>
      </c>
      <c r="U398" t="e">
        <f t="array" ref="U398">IF(--INDEX('Raw Data'!$A$4:J$993,$F398,16)= 1, 1, 0)</f>
        <v>#NUM!</v>
      </c>
      <c r="V398" t="e">
        <f t="array" ref="V398">IF(--INDEX('Raw Data'!$A$4:K$993,$F398,17)= 1, 1, 0)</f>
        <v>#NUM!</v>
      </c>
      <c r="W398" t="e">
        <f t="array" ref="W398">INDEX('Raw Data'!$A:$O,$F398,19)</f>
        <v>#NUM!</v>
      </c>
      <c r="X398" t="e">
        <f t="array" ref="X398">INDEX('Raw Data'!$A:$O,$F398,20)</f>
        <v>#NUM!</v>
      </c>
      <c r="Y398" t="e">
        <f t="array" ref="Y398">INDEX('Raw Data'!$A:$O,F398,21)</f>
        <v>#NUM!</v>
      </c>
      <c r="Z398" t="e">
        <f t="array" ref="Z398">INDEX('Raw Data'!$A:$O,$F398,3)</f>
        <v>#NUM!</v>
      </c>
      <c r="AA398" t="e">
        <f t="array" ref="AA398">INDEX('Raw Data'!$A:$O,$F398,22)</f>
        <v>#NUM!</v>
      </c>
      <c r="AB398" t="e">
        <f t="array" ref="AB398">INDEX('Raw Data'!$A:$O,$F398,23)</f>
        <v>#NUM!</v>
      </c>
    </row>
    <row r="399" spans="1:44" x14ac:dyDescent="0.25">
      <c r="A399" t="s">
        <v>2</v>
      </c>
      <c r="C399" s="3" t="e">
        <f>B398/B397</f>
        <v>#DIV/0!</v>
      </c>
      <c r="F399" t="e">
        <f t="array" ref="F399">SMALL(IF('Raw Data'!A:A=C395,ROW('Raw Data'!A:A)),ROW('Raw Data'!$4:$4))</f>
        <v>#NUM!</v>
      </c>
      <c r="G399" t="e">
        <f t="array" ref="G399">INDEX('Raw Data'!A:A,F399,9)</f>
        <v>#NUM!</v>
      </c>
      <c r="H399" t="e">
        <f t="array" ref="H399">INDEX('Raw Data'!A:A,F399,10)</f>
        <v>#NUM!</v>
      </c>
      <c r="I399" t="e">
        <f t="array" ref="I399">INDEX('Raw Data'!$A:A,$F399,11)</f>
        <v>#NUM!</v>
      </c>
      <c r="J399" t="e">
        <f t="array" ref="J399">INDEX('Raw Data'!$A:A,F399,12)</f>
        <v>#NUM!</v>
      </c>
      <c r="K399" t="e">
        <f>(--INDEX('Raw Data'!$A$4:B$993,F399,4))</f>
        <v>#NUM!</v>
      </c>
      <c r="L399" t="e">
        <f t="array" ref="L399">(--INDEX('Raw Data'!$A$4:B$993,F399,5))</f>
        <v>#NUM!</v>
      </c>
      <c r="M399" t="e">
        <f t="array" ref="M399">(--INDEX('Raw Data'!$A$4:D$993,$F399,6))</f>
        <v>#NUM!</v>
      </c>
      <c r="N399" t="e">
        <f t="array" ref="N399">(--INDEX('Raw Data'!$A$4:D$993,$F399,7))</f>
        <v>#NUM!</v>
      </c>
      <c r="O399" t="e">
        <f t="array" ref="O399">IF(--INDEX('Raw Data'!$A$4:E$993,$F399,8)= 0, 1, 0)</f>
        <v>#NUM!</v>
      </c>
      <c r="P399" t="e">
        <f t="array" ref="P399">IF(--INDEX('Raw Data'!$A$4:F$993,$F399,8)= 1, 1, 0)</f>
        <v>#NUM!</v>
      </c>
      <c r="Q399" t="e">
        <f t="array" ref="Q399">IF(--INDEX('Raw Data'!$A$4:G$993,$F399,13)= 1, 1, 0)</f>
        <v>#NUM!</v>
      </c>
      <c r="R399" t="e">
        <f t="array" ref="R399">IF(--INDEX('Raw Data'!$A$4:H$993,$F399,14)= 1, 1, 0)</f>
        <v>#NUM!</v>
      </c>
      <c r="S399" t="e">
        <f t="array" ref="S399">IF(--INDEX('Raw Data'!$A$4:I$993,$F399,15)= 1, 1, 0)</f>
        <v>#NUM!</v>
      </c>
      <c r="T399" t="e">
        <f t="array" ref="T399">IF(--INDEX('Raw Data'!$A$4:I$993,$F399,15)= 1, 1, 0)</f>
        <v>#NUM!</v>
      </c>
      <c r="U399" t="e">
        <f t="array" ref="U399">IF(--INDEX('Raw Data'!$A$4:J$993,$F399,16)= 1, 1, 0)</f>
        <v>#NUM!</v>
      </c>
      <c r="V399" t="e">
        <f t="array" ref="V399">IF(--INDEX('Raw Data'!$A$4:K$993,$F399,17)= 1, 1, 0)</f>
        <v>#NUM!</v>
      </c>
      <c r="W399" t="e">
        <f t="array" ref="W399">INDEX('Raw Data'!$A:$O,$F399,19)</f>
        <v>#NUM!</v>
      </c>
      <c r="X399" t="e">
        <f t="array" ref="X399">INDEX('Raw Data'!$A:$O,$F399,20)</f>
        <v>#NUM!</v>
      </c>
      <c r="Y399" t="e">
        <f t="array" ref="Y399">INDEX('Raw Data'!$A:$O,F399,21)</f>
        <v>#NUM!</v>
      </c>
      <c r="Z399" t="e">
        <f t="array" ref="Z399">INDEX('Raw Data'!$A:$O,$F399,3)</f>
        <v>#NUM!</v>
      </c>
      <c r="AA399" t="e">
        <f t="array" ref="AA399">INDEX('Raw Data'!$A:$O,$F399,22)</f>
        <v>#NUM!</v>
      </c>
      <c r="AB399" t="e">
        <f t="array" ref="AB399">INDEX('Raw Data'!$A:$O,$F399,23)</f>
        <v>#NUM!</v>
      </c>
    </row>
    <row r="400" spans="1:44" x14ac:dyDescent="0.25">
      <c r="A400" t="s">
        <v>54</v>
      </c>
      <c r="B400">
        <f>I411</f>
        <v>0</v>
      </c>
      <c r="F400" t="e">
        <f t="array" ref="F400">SMALL(IF('Raw Data'!A:A=C395,ROW('Raw Data'!A:A)),ROW('Raw Data'!$5:$5))</f>
        <v>#NUM!</v>
      </c>
      <c r="G400" t="e">
        <f t="array" ref="G400">INDEX('Raw Data'!A:A,F400,9)</f>
        <v>#NUM!</v>
      </c>
      <c r="H400" t="e">
        <f t="array" ref="H400">INDEX('Raw Data'!A:A,F400,10)</f>
        <v>#NUM!</v>
      </c>
      <c r="I400" t="e">
        <f t="array" ref="I400">INDEX('Raw Data'!$A:A,$F400,11)</f>
        <v>#NUM!</v>
      </c>
      <c r="J400" t="e">
        <f t="array" ref="J400">INDEX('Raw Data'!$A:A,F400,12)</f>
        <v>#NUM!</v>
      </c>
      <c r="K400" t="e">
        <f>(--INDEX('Raw Data'!$A$4:B$993,F400,4))</f>
        <v>#NUM!</v>
      </c>
      <c r="L400" t="e">
        <f t="array" ref="L400">(--INDEX('Raw Data'!$A$4:B$993,F400,5))</f>
        <v>#NUM!</v>
      </c>
      <c r="M400" t="e">
        <f t="array" ref="M400">(--INDEX('Raw Data'!$A$4:D$993,$F400,6))</f>
        <v>#NUM!</v>
      </c>
      <c r="N400" t="e">
        <f t="array" ref="N400">(--INDEX('Raw Data'!$A$4:D$993,$F400,7))</f>
        <v>#NUM!</v>
      </c>
      <c r="O400" t="e">
        <f t="array" ref="O400">IF(--INDEX('Raw Data'!$A$4:E$993,$F400,8)= 0, 1, 0)</f>
        <v>#NUM!</v>
      </c>
      <c r="P400" t="e">
        <f t="array" ref="P400">IF(--INDEX('Raw Data'!$A$4:F$993,$F400,8)= 1, 1, 0)</f>
        <v>#NUM!</v>
      </c>
      <c r="Q400" t="e">
        <f t="array" ref="Q400">IF(--INDEX('Raw Data'!$A$4:G$993,$F400,13)= 1, 1, 0)</f>
        <v>#NUM!</v>
      </c>
      <c r="R400" t="e">
        <f t="array" ref="R400">IF(--INDEX('Raw Data'!$A$4:H$993,$F400,14)= 1, 1, 0)</f>
        <v>#NUM!</v>
      </c>
      <c r="S400" t="e">
        <f t="array" ref="S400">IF(--INDEX('Raw Data'!$A$4:I$993,$F400,15)= 1, 1, 0)</f>
        <v>#NUM!</v>
      </c>
      <c r="T400" t="e">
        <f t="array" ref="T400">IF(--INDEX('Raw Data'!$A$4:I$993,$F400,15)= 1, 1, 0)</f>
        <v>#NUM!</v>
      </c>
      <c r="U400" t="e">
        <f t="array" ref="U400">IF(--INDEX('Raw Data'!$A$4:J$993,$F400,16)= 1, 1, 0)</f>
        <v>#NUM!</v>
      </c>
      <c r="V400" t="e">
        <f t="array" ref="V400">IF(--INDEX('Raw Data'!$A$4:K$993,$F400,17)= 1, 1, 0)</f>
        <v>#NUM!</v>
      </c>
      <c r="W400" t="e">
        <f t="array" ref="W400">INDEX('Raw Data'!$A:$O,$F400,19)</f>
        <v>#NUM!</v>
      </c>
      <c r="X400" t="e">
        <f t="array" ref="X400">INDEX('Raw Data'!$A:$O,$F400,20)</f>
        <v>#NUM!</v>
      </c>
      <c r="Y400" t="e">
        <f t="array" ref="Y400">INDEX('Raw Data'!$A:$O,F400,21)</f>
        <v>#NUM!</v>
      </c>
      <c r="Z400" t="e">
        <f t="array" ref="Z400">INDEX('Raw Data'!$A:$O,$F400,3)</f>
        <v>#NUM!</v>
      </c>
      <c r="AA400" t="e">
        <f t="array" ref="AA400">INDEX('Raw Data'!$A:$O,$F400,22)</f>
        <v>#NUM!</v>
      </c>
      <c r="AB400" t="e">
        <f t="array" ref="AB400">INDEX('Raw Data'!$A:$O,$F400,23)</f>
        <v>#NUM!</v>
      </c>
      <c r="AR400" s="25"/>
    </row>
    <row r="401" spans="1:44" x14ac:dyDescent="0.25">
      <c r="A401" t="s">
        <v>35</v>
      </c>
      <c r="B401">
        <f>J411</f>
        <v>0</v>
      </c>
      <c r="F401" t="e">
        <f t="array" ref="F401">SMALL(IF('Raw Data'!A:A=C395,ROW('Raw Data'!A:A)),ROW('Raw Data'!$6:$6))</f>
        <v>#NUM!</v>
      </c>
      <c r="G401" t="e">
        <f t="array" ref="G401">INDEX('Raw Data'!A:A,F401,9)</f>
        <v>#NUM!</v>
      </c>
      <c r="H401" t="e">
        <f t="array" ref="H401">INDEX('Raw Data'!A:A,F401,10)</f>
        <v>#NUM!</v>
      </c>
      <c r="I401" t="e">
        <f t="array" ref="I401">INDEX('Raw Data'!$A:A,$F401,11)</f>
        <v>#NUM!</v>
      </c>
      <c r="J401" t="e">
        <f t="array" ref="J401">INDEX('Raw Data'!$A:A,F401,12)</f>
        <v>#NUM!</v>
      </c>
      <c r="K401" t="e">
        <f>(--INDEX('Raw Data'!$A$4:B$993,F401,4))</f>
        <v>#NUM!</v>
      </c>
      <c r="L401" t="e">
        <f t="array" ref="L401">(--INDEX('Raw Data'!$A$4:B$998,F401,5))</f>
        <v>#NUM!</v>
      </c>
      <c r="M401" t="e">
        <f t="array" ref="M401">(--INDEX('Raw Data'!$A$4:D$998,$F401,6))</f>
        <v>#NUM!</v>
      </c>
      <c r="N401" t="e">
        <f t="array" ref="N401">(--INDEX('Raw Data'!$A$4:D$993,$F401,7))</f>
        <v>#NUM!</v>
      </c>
      <c r="O401" t="e">
        <f t="array" ref="O401">IF(--INDEX('Raw Data'!$A$4:E$993,$F401,8)= 0, 1, 0)</f>
        <v>#NUM!</v>
      </c>
      <c r="P401" t="e">
        <f t="array" ref="P401">IF(--INDEX('Raw Data'!$A$4:F$998,$F401,8)= 1, 1, 0)</f>
        <v>#NUM!</v>
      </c>
      <c r="Q401" t="e">
        <f t="array" ref="Q401">IF(--INDEX('Raw Data'!$A$4:G$998,$F401,13)= 1, 1, 0)</f>
        <v>#NUM!</v>
      </c>
      <c r="R401" t="e">
        <f t="array" ref="R401">IF(--INDEX('Raw Data'!$A$4:H$998,$F401,14)= 1, 1, 0)</f>
        <v>#NUM!</v>
      </c>
      <c r="S401" t="e">
        <f t="array" ref="S401">IF(--INDEX('Raw Data'!$A$4:I$993,$F401,15)= 1, 1, 0)</f>
        <v>#NUM!</v>
      </c>
      <c r="T401" t="e">
        <f t="array" ref="T401">IF(--INDEX('Raw Data'!$A$4:I$998,$F401,15)= 1, 1, 0)</f>
        <v>#NUM!</v>
      </c>
      <c r="U401" t="e">
        <f t="array" ref="U401">IF(--INDEX('Raw Data'!$A$4:J$998,$F401,16)= 1, 1, 0)</f>
        <v>#NUM!</v>
      </c>
      <c r="V401" t="e">
        <f t="array" ref="V401">IF(--INDEX('Raw Data'!$A$4:K$993,$F401,17)= 1, 1, 0)</f>
        <v>#NUM!</v>
      </c>
      <c r="W401" t="e">
        <f t="array" ref="W401">INDEX('Raw Data'!$A:$O,$F401,19)</f>
        <v>#NUM!</v>
      </c>
      <c r="X401" t="e">
        <f t="array" ref="X401">INDEX('Raw Data'!$A:$O,$F401,20)</f>
        <v>#NUM!</v>
      </c>
      <c r="Y401" t="e">
        <f t="array" ref="Y401">INDEX('Raw Data'!$A:$O,F401,21)</f>
        <v>#NUM!</v>
      </c>
      <c r="Z401" t="e">
        <f t="array" ref="Z401">INDEX('Raw Data'!$A:$O,$F401,3)</f>
        <v>#NUM!</v>
      </c>
      <c r="AA401" t="e">
        <f t="array" ref="AA401">INDEX('Raw Data'!$A:$O,$F401,22)</f>
        <v>#NUM!</v>
      </c>
      <c r="AB401" t="e">
        <f t="array" ref="AB401">INDEX('Raw Data'!$A:$O,$F401,23)</f>
        <v>#NUM!</v>
      </c>
      <c r="AR401" s="25"/>
    </row>
    <row r="402" spans="1:44" ht="28.5" x14ac:dyDescent="0.45">
      <c r="F402" t="e">
        <f t="array" ref="F402">SMALL(IF('Raw Data'!A:A=C395,ROW('Raw Data'!A:A)),ROW('Raw Data'!$7:$7))</f>
        <v>#NUM!</v>
      </c>
      <c r="G402" t="e">
        <f t="array" ref="G402">INDEX('Raw Data'!A:A,F402,9)</f>
        <v>#NUM!</v>
      </c>
      <c r="H402" t="e">
        <f t="array" ref="H402">INDEX('Raw Data'!A:A,F402,10)</f>
        <v>#NUM!</v>
      </c>
      <c r="I402" t="e">
        <f t="array" ref="I402">INDEX('Raw Data'!$A:A,$F402,11)</f>
        <v>#NUM!</v>
      </c>
      <c r="J402" t="e">
        <f t="array" ref="J402">INDEX('Raw Data'!$A:A,F402,12)</f>
        <v>#NUM!</v>
      </c>
      <c r="K402" t="e">
        <f t="array" ref="K402">(--INDEX('Raw Data'!$A$4:B$998,F402,4))</f>
        <v>#NUM!</v>
      </c>
      <c r="L402" t="e">
        <f t="array" ref="L402">(--INDEX('Raw Data'!$A$4:B$998,F402,5))</f>
        <v>#NUM!</v>
      </c>
      <c r="M402" t="e">
        <f t="array" ref="M402">(--INDEX('Raw Data'!$A$4:D$998,$F402,6))</f>
        <v>#NUM!</v>
      </c>
      <c r="N402" t="e">
        <f t="array" ref="N402">(--INDEX('Raw Data'!$A$4:D$998,$F402,7))</f>
        <v>#NUM!</v>
      </c>
      <c r="O402" t="e">
        <f t="array" ref="O402">IF(--INDEX('Raw Data'!$A$4:E$998,$F402,8)= 0, 1, 0)</f>
        <v>#NUM!</v>
      </c>
      <c r="P402" t="e">
        <f t="array" ref="P402">IF(--INDEX('Raw Data'!$A$4:F$998,$F402,8)= 1, 1, 0)</f>
        <v>#NUM!</v>
      </c>
      <c r="Q402" t="e">
        <f t="array" ref="Q402">IF(--INDEX('Raw Data'!$A$4:G$998,$F402,13)= 1, 1, 0)</f>
        <v>#NUM!</v>
      </c>
      <c r="R402" t="e">
        <f t="array" ref="R402">IF(--INDEX('Raw Data'!$A$4:H$998,$F402,14)= 1, 1, 0)</f>
        <v>#NUM!</v>
      </c>
      <c r="S402" t="e">
        <f t="array" ref="S402">IF(--INDEX('Raw Data'!$A$4:I$998,$F402,15)= 1, 1, 0)</f>
        <v>#NUM!</v>
      </c>
      <c r="T402" t="e">
        <f t="array" ref="T402">IF(--INDEX('Raw Data'!$A$4:I$998,$F402,15)= 1, 1, 0)</f>
        <v>#NUM!</v>
      </c>
      <c r="U402" t="e">
        <f t="array" ref="U402">IF(--INDEX('Raw Data'!$A$4:J$998,$F402,16)= 1, 1, 0)</f>
        <v>#NUM!</v>
      </c>
      <c r="V402" t="e">
        <f t="array" ref="V402">IF(--INDEX('Raw Data'!$A$4:K$998,$F402,17)= 1, 1, 0)</f>
        <v>#NUM!</v>
      </c>
      <c r="W402" t="e">
        <f t="array" ref="W402">INDEX('Raw Data'!$A:$O,$F402,19)</f>
        <v>#NUM!</v>
      </c>
      <c r="X402" t="e">
        <f t="array" ref="X402">INDEX('Raw Data'!$A:$O,$F402,20)</f>
        <v>#NUM!</v>
      </c>
      <c r="Y402" t="e">
        <f t="array" ref="Y402">INDEX('Raw Data'!$A:$O,F402,21)</f>
        <v>#NUM!</v>
      </c>
      <c r="Z402" t="e">
        <f t="array" ref="Z402">INDEX('Raw Data'!$A:$O,$F402,3)</f>
        <v>#NUM!</v>
      </c>
      <c r="AA402" t="e">
        <f t="array" ref="AA402">INDEX('Raw Data'!$A:$O,$F402,22)</f>
        <v>#NUM!</v>
      </c>
      <c r="AB402" t="e">
        <f t="array" ref="AB402">INDEX('Raw Data'!$A:$O,$F402,23)</f>
        <v>#NUM!</v>
      </c>
      <c r="AM402" s="21"/>
    </row>
    <row r="403" spans="1:44" x14ac:dyDescent="0.25">
      <c r="F403" t="e">
        <f t="array" ref="F403">SMALL(IF('Raw Data'!A:A=C395,ROW('Raw Data'!A:A)),ROW('Raw Data'!$8:$8))</f>
        <v>#NUM!</v>
      </c>
      <c r="G403" t="e">
        <f t="array" ref="G403">INDEX('Raw Data'!A:A,F403,9)</f>
        <v>#NUM!</v>
      </c>
      <c r="H403" t="e">
        <f t="array" ref="H403">INDEX('Raw Data'!A:A,F403,10)</f>
        <v>#NUM!</v>
      </c>
      <c r="I403" t="e">
        <f t="array" ref="I403">INDEX('Raw Data'!$A:A,$F403,11)</f>
        <v>#NUM!</v>
      </c>
      <c r="J403" t="e">
        <f t="array" ref="J403">INDEX('Raw Data'!$A:A,F403,12)</f>
        <v>#NUM!</v>
      </c>
      <c r="K403" t="e">
        <f t="array" ref="K403">(--INDEX('Raw Data'!$A$4:B$998,F403,4))</f>
        <v>#NUM!</v>
      </c>
      <c r="L403" t="e">
        <f t="array" ref="L403">(--INDEX('Raw Data'!$A$4:B$998,F403,5))</f>
        <v>#NUM!</v>
      </c>
      <c r="M403" t="e">
        <f t="array" ref="M403">(--INDEX('Raw Data'!$A$4:D$998,$F403,6))</f>
        <v>#NUM!</v>
      </c>
      <c r="N403" t="e">
        <f t="array" ref="N403">(--INDEX('Raw Data'!$A$4:D$998,$F403,7))</f>
        <v>#NUM!</v>
      </c>
      <c r="O403" t="e">
        <f t="array" ref="O403">IF(--INDEX('Raw Data'!$A$4:E$998,$F403,8)= 0, 1, 0)</f>
        <v>#NUM!</v>
      </c>
      <c r="P403" t="e">
        <f t="array" ref="P403">IF(--INDEX('Raw Data'!$A$4:F$998,$F403,8)= 1, 1, 0)</f>
        <v>#NUM!</v>
      </c>
      <c r="Q403" t="e">
        <f t="array" ref="Q403">IF(--INDEX('Raw Data'!$A$4:G$998,$F403,13)= 1, 1, 0)</f>
        <v>#NUM!</v>
      </c>
      <c r="R403" t="e">
        <f t="array" ref="R403">IF(--INDEX('Raw Data'!$A$4:H$998,$F403,14)= 1, 1, 0)</f>
        <v>#NUM!</v>
      </c>
      <c r="S403" t="e">
        <f t="array" ref="S403">IF(--INDEX('Raw Data'!$A$4:I$998,$F403,15)= 1, 1, 0)</f>
        <v>#NUM!</v>
      </c>
      <c r="T403" t="e">
        <f t="array" ref="T403">IF(--INDEX('Raw Data'!$A$4:I$998,$F403,15)= 1, 1, 0)</f>
        <v>#NUM!</v>
      </c>
      <c r="U403" t="e">
        <f t="array" ref="U403">IF(--INDEX('Raw Data'!$A$4:J$998,$F403,16)= 1, 1, 0)</f>
        <v>#NUM!</v>
      </c>
      <c r="V403" t="e">
        <f t="array" ref="V403">IF(--INDEX('Raw Data'!$A$4:K$998,$F403,17)= 1, 1, 0)</f>
        <v>#NUM!</v>
      </c>
      <c r="W403" t="e">
        <f t="array" ref="W403">INDEX('Raw Data'!$A:$O,$F403,19)</f>
        <v>#NUM!</v>
      </c>
      <c r="X403" t="e">
        <f t="array" ref="X403">INDEX('Raw Data'!$A:$O,$F403,20)</f>
        <v>#NUM!</v>
      </c>
      <c r="Y403" t="e">
        <f t="array" ref="Y403">INDEX('Raw Data'!$A:$O,F403,21)</f>
        <v>#NUM!</v>
      </c>
      <c r="Z403" t="e">
        <f t="array" ref="Z403">INDEX('Raw Data'!$A:$O,$F403,3)</f>
        <v>#NUM!</v>
      </c>
      <c r="AA403" t="e">
        <f t="array" ref="AA403">INDEX('Raw Data'!$A:$O,$F403,22)</f>
        <v>#NUM!</v>
      </c>
      <c r="AB403" t="e">
        <f t="array" ref="AB403">INDEX('Raw Data'!$A:$O,$F403,23)</f>
        <v>#NUM!</v>
      </c>
    </row>
    <row r="404" spans="1:44" x14ac:dyDescent="0.25">
      <c r="F404" t="e">
        <f t="array" ref="F404">SMALL(IF('Raw Data'!A:A=C395,ROW('Raw Data'!A:A)),ROW('Raw Data'!$9:$9))</f>
        <v>#NUM!</v>
      </c>
      <c r="G404" t="e">
        <f t="array" ref="G404">INDEX('Raw Data'!A:A,F404,9)</f>
        <v>#NUM!</v>
      </c>
      <c r="H404" t="e">
        <f t="array" ref="H404">INDEX('Raw Data'!A:A,F404,10)</f>
        <v>#NUM!</v>
      </c>
      <c r="I404" t="e">
        <f t="array" ref="I404">INDEX('Raw Data'!$A:A,$F404,11)</f>
        <v>#NUM!</v>
      </c>
      <c r="J404" t="e">
        <f t="array" ref="J404">INDEX('Raw Data'!$A:A,F404,12)</f>
        <v>#NUM!</v>
      </c>
      <c r="K404" t="e">
        <f t="array" ref="K404">(--INDEX('Raw Data'!$A$4:B$998,F404,4))</f>
        <v>#NUM!</v>
      </c>
      <c r="L404" t="e">
        <f t="array" ref="L404">(--INDEX('Raw Data'!$A$4:B$998,F404,5))</f>
        <v>#NUM!</v>
      </c>
      <c r="M404" t="e">
        <f t="array" ref="M404">(--INDEX('Raw Data'!$A$4:D$998,$F404,6))</f>
        <v>#NUM!</v>
      </c>
      <c r="N404" t="e">
        <f t="array" ref="N404">(--INDEX('Raw Data'!$A$4:D$998,$F404,7))</f>
        <v>#NUM!</v>
      </c>
      <c r="O404" t="e">
        <f t="array" ref="O404">IF(--INDEX('Raw Data'!$A$4:E$998,$F404,8)= 0, 1, 0)</f>
        <v>#NUM!</v>
      </c>
      <c r="P404" t="e">
        <f t="array" ref="P404">IF(--INDEX('Raw Data'!$A$4:F$998,$F404,8)= 1, 1, 0)</f>
        <v>#NUM!</v>
      </c>
      <c r="Q404" t="e">
        <f t="array" ref="Q404">IF(--INDEX('Raw Data'!$A$4:G$998,$F404,13)= 1, 1, 0)</f>
        <v>#NUM!</v>
      </c>
      <c r="R404" t="e">
        <f t="array" ref="R404">IF(--INDEX('Raw Data'!$A$4:H$998,$F404,14)= 1, 1, 0)</f>
        <v>#NUM!</v>
      </c>
      <c r="S404" t="e">
        <f t="array" ref="S404">IF(--INDEX('Raw Data'!$A$4:I$998,$F404,15)= 1, 1, 0)</f>
        <v>#NUM!</v>
      </c>
      <c r="T404" t="e">
        <f t="array" ref="T404">IF(--INDEX('Raw Data'!$A$4:I$998,$F404,15)= 1, 1, 0)</f>
        <v>#NUM!</v>
      </c>
      <c r="U404" t="e">
        <f t="array" ref="U404">IF(--INDEX('Raw Data'!$A$4:J$998,$F404,16)= 1, 1, 0)</f>
        <v>#NUM!</v>
      </c>
      <c r="V404" t="e">
        <f t="array" ref="V404">IF(--INDEX('Raw Data'!$A$4:K$998,$F404,17)= 1, 1, 0)</f>
        <v>#NUM!</v>
      </c>
      <c r="W404" t="e">
        <f t="array" ref="W404">INDEX('Raw Data'!$A:$O,$F404,19)</f>
        <v>#NUM!</v>
      </c>
      <c r="X404" t="e">
        <f t="array" ref="X404">INDEX('Raw Data'!$A:$O,$F404,20)</f>
        <v>#NUM!</v>
      </c>
      <c r="Y404" t="e">
        <f t="array" ref="Y404">INDEX('Raw Data'!$A:$O,F404,21)</f>
        <v>#NUM!</v>
      </c>
      <c r="Z404" t="e">
        <f t="array" ref="Z404">INDEX('Raw Data'!$A:$O,$F404,3)</f>
        <v>#NUM!</v>
      </c>
      <c r="AA404" t="e">
        <f t="array" ref="AA404">INDEX('Raw Data'!$A:$O,$F404,22)</f>
        <v>#NUM!</v>
      </c>
      <c r="AB404" t="e">
        <f t="array" ref="AB404">INDEX('Raw Data'!$A:$O,$F404,23)</f>
        <v>#NUM!</v>
      </c>
    </row>
    <row r="405" spans="1:44" x14ac:dyDescent="0.25">
      <c r="F405" t="e">
        <f t="array" ref="F405">SMALL(IF('Raw Data'!A:A=C395,ROW('Raw Data'!A:A)),ROW('Raw Data'!$10:$10))</f>
        <v>#NUM!</v>
      </c>
      <c r="G405" t="e">
        <f t="array" ref="G405">INDEX('Raw Data'!A:A,F405,9)</f>
        <v>#NUM!</v>
      </c>
      <c r="H405" t="e">
        <f t="array" ref="H405">INDEX('Raw Data'!A:A,F405,10)</f>
        <v>#NUM!</v>
      </c>
      <c r="I405" t="e">
        <f t="array" ref="I405">INDEX('Raw Data'!$A:A,$F405,11)</f>
        <v>#NUM!</v>
      </c>
      <c r="J405" t="e">
        <f t="array" ref="J405">INDEX('Raw Data'!$A:A,F405,12)</f>
        <v>#NUM!</v>
      </c>
      <c r="K405" t="e">
        <f t="array" ref="K405">(--INDEX('Raw Data'!$A$4:B$998,F405,4))</f>
        <v>#NUM!</v>
      </c>
      <c r="L405" t="e">
        <f t="array" ref="L405">(--INDEX('Raw Data'!$A$4:B$998,F405,5))</f>
        <v>#NUM!</v>
      </c>
      <c r="M405" t="e">
        <f t="array" ref="M405">(--INDEX('Raw Data'!$A$4:D$998,$F405,6))</f>
        <v>#NUM!</v>
      </c>
      <c r="N405" t="e">
        <f t="array" ref="N405">(--INDEX('Raw Data'!$A$4:D$998,$F405,7))</f>
        <v>#NUM!</v>
      </c>
      <c r="O405" t="e">
        <f t="array" ref="O405">IF(--INDEX('Raw Data'!$A$4:E$998,$F405,8)= 0, 1, 0)</f>
        <v>#NUM!</v>
      </c>
      <c r="P405" t="e">
        <f t="array" ref="P405">IF(--INDEX('Raw Data'!$A$4:F$998,$F405,8)= 1, 1, 0)</f>
        <v>#NUM!</v>
      </c>
      <c r="Q405" t="e">
        <f t="array" ref="Q405">IF(--INDEX('Raw Data'!$A$4:G$998,$F405,13)= 1, 1, 0)</f>
        <v>#NUM!</v>
      </c>
      <c r="R405" t="e">
        <f t="array" ref="R405">IF(--INDEX('Raw Data'!$A$4:H$998,$F405,14)= 1, 1, 0)</f>
        <v>#NUM!</v>
      </c>
      <c r="S405" t="e">
        <f t="array" ref="S405">IF(--INDEX('Raw Data'!$A$4:I$998,$F405,15)= 1, 1, 0)</f>
        <v>#NUM!</v>
      </c>
      <c r="T405" t="e">
        <f t="array" ref="T405">IF(--INDEX('Raw Data'!$A$4:I$998,$F405,15)= 1, 1, 0)</f>
        <v>#NUM!</v>
      </c>
      <c r="U405" t="e">
        <f t="array" ref="U405">IF(--INDEX('Raw Data'!$A$4:J$998,$F405,16)= 1, 1, 0)</f>
        <v>#NUM!</v>
      </c>
      <c r="V405" t="e">
        <f t="array" ref="V405">IF(--INDEX('Raw Data'!$A$4:K$998,$F405,17)= 1, 1, 0)</f>
        <v>#NUM!</v>
      </c>
      <c r="W405" t="e">
        <f t="array" ref="W405">INDEX('Raw Data'!$A:$O,$F405,19)</f>
        <v>#NUM!</v>
      </c>
      <c r="X405" t="e">
        <f t="array" ref="X405">INDEX('Raw Data'!$A:$O,$F405,20)</f>
        <v>#NUM!</v>
      </c>
      <c r="Y405" t="e">
        <f t="array" ref="Y405">INDEX('Raw Data'!$A:$O,F405,21)</f>
        <v>#NUM!</v>
      </c>
      <c r="Z405" t="e">
        <f t="array" ref="Z405">INDEX('Raw Data'!$A:$O,$F405,3)</f>
        <v>#NUM!</v>
      </c>
      <c r="AA405" t="e">
        <f t="array" ref="AA405">INDEX('Raw Data'!$A:$O,$F405,22)</f>
        <v>#NUM!</v>
      </c>
      <c r="AB405" t="e">
        <f t="array" ref="AB405">INDEX('Raw Data'!$A:$O,$F405,23)</f>
        <v>#NUM!</v>
      </c>
    </row>
    <row r="406" spans="1:44" x14ac:dyDescent="0.25">
      <c r="F406" t="e">
        <f t="array" ref="F406">SMALL(IF('Raw Data'!A:A=C395,ROW('Raw Data'!A:A)),ROW('Raw Data'!$11:$11))</f>
        <v>#NUM!</v>
      </c>
      <c r="G406" t="e">
        <f t="array" ref="G406">INDEX('Raw Data'!A:A,F406,9)</f>
        <v>#NUM!</v>
      </c>
      <c r="H406" t="e">
        <f t="array" ref="H406">INDEX('Raw Data'!A:A,F406,10)</f>
        <v>#NUM!</v>
      </c>
      <c r="I406" t="e">
        <f t="array" ref="I406">INDEX('Raw Data'!$A:A,$F406,11)</f>
        <v>#NUM!</v>
      </c>
      <c r="J406" t="e">
        <f t="array" ref="J406">INDEX('Raw Data'!$A:A,F406,12)</f>
        <v>#NUM!</v>
      </c>
      <c r="K406" t="e">
        <f t="array" ref="K406">(--INDEX('Raw Data'!$A$4:B$998,F406,4))</f>
        <v>#NUM!</v>
      </c>
      <c r="L406" t="e">
        <f t="array" ref="L406">(--INDEX('Raw Data'!$A$4:B$998,F406,5))</f>
        <v>#NUM!</v>
      </c>
      <c r="M406" t="e">
        <f t="array" ref="M406">(--INDEX('Raw Data'!$A$4:D$998,$F406,6))</f>
        <v>#NUM!</v>
      </c>
      <c r="N406" t="e">
        <f t="array" ref="N406">(--INDEX('Raw Data'!$A$4:D$998,$F406,7))</f>
        <v>#NUM!</v>
      </c>
      <c r="O406" t="e">
        <f t="array" ref="O406">IF(--INDEX('Raw Data'!$A$4:E$998,$F406,8)= 0, 1, 0)</f>
        <v>#NUM!</v>
      </c>
      <c r="P406" t="e">
        <f t="array" ref="P406">IF(--INDEX('Raw Data'!$A$4:F$998,$F406,8)= 1, 1, 0)</f>
        <v>#NUM!</v>
      </c>
      <c r="Q406" t="e">
        <f t="array" ref="Q406">IF(--INDEX('Raw Data'!$A$4:G$998,$F406,13)= 1, 1, 0)</f>
        <v>#NUM!</v>
      </c>
      <c r="R406" t="e">
        <f t="array" ref="R406">IF(--INDEX('Raw Data'!$A$4:H$998,$F406,14)= 1, 1, 0)</f>
        <v>#NUM!</v>
      </c>
      <c r="S406" t="e">
        <f t="array" ref="S406">IF(--INDEX('Raw Data'!$A$4:I$998,$F406,15)= 1, 1, 0)</f>
        <v>#NUM!</v>
      </c>
      <c r="T406" t="e">
        <f t="array" ref="T406">IF(--INDEX('Raw Data'!$A$4:I$998,$F406,15)= 1, 1, 0)</f>
        <v>#NUM!</v>
      </c>
      <c r="U406" t="e">
        <f t="array" ref="U406">IF(--INDEX('Raw Data'!$A$4:J$998,$F406,16)= 1, 1, 0)</f>
        <v>#NUM!</v>
      </c>
      <c r="V406" t="e">
        <f t="array" ref="V406">IF(--INDEX('Raw Data'!$A$4:K$998,$F406,17)= 1, 1, 0)</f>
        <v>#NUM!</v>
      </c>
      <c r="W406" t="e">
        <f t="array" ref="W406">INDEX('Raw Data'!$A:$O,$F406,19)</f>
        <v>#NUM!</v>
      </c>
      <c r="X406" t="e">
        <f t="array" ref="X406">INDEX('Raw Data'!$A:$O,$F406,20)</f>
        <v>#NUM!</v>
      </c>
      <c r="Y406" t="e">
        <f t="array" ref="Y406">INDEX('Raw Data'!$A:$O,F406,21)</f>
        <v>#NUM!</v>
      </c>
      <c r="Z406" t="e">
        <f t="array" ref="Z406">INDEX('Raw Data'!$A:$O,$F406,3)</f>
        <v>#NUM!</v>
      </c>
      <c r="AA406" t="e">
        <f t="array" ref="AA406">INDEX('Raw Data'!$A:$O,$F406,22)</f>
        <v>#NUM!</v>
      </c>
      <c r="AB406" t="e">
        <f t="array" ref="AB406">INDEX('Raw Data'!$A:$O,$F406,23)</f>
        <v>#NUM!</v>
      </c>
    </row>
    <row r="407" spans="1:44" x14ac:dyDescent="0.25">
      <c r="F407" t="e">
        <f t="array" ref="F407">SMALL(IF('Raw Data'!A:A=C395,ROW('Raw Data'!A:A)),ROW('Raw Data'!$12:$12))</f>
        <v>#NUM!</v>
      </c>
      <c r="G407" t="e">
        <f t="array" ref="G407">INDEX('Raw Data'!A:A,F407,9)</f>
        <v>#NUM!</v>
      </c>
      <c r="H407" t="e">
        <f t="array" ref="H407">INDEX('Raw Data'!A:A,F407,10)</f>
        <v>#NUM!</v>
      </c>
      <c r="I407" t="e">
        <f t="array" ref="I407">INDEX('Raw Data'!$A:A,$F407,11)</f>
        <v>#NUM!</v>
      </c>
      <c r="J407" t="e">
        <f t="array" ref="J407">INDEX('Raw Data'!$A:A,F407,12)</f>
        <v>#NUM!</v>
      </c>
      <c r="K407" t="e">
        <f t="array" ref="K407">(--INDEX('Raw Data'!$A$4:B$998,F407,4))</f>
        <v>#NUM!</v>
      </c>
      <c r="L407" t="e">
        <f t="array" ref="L407">(--INDEX('Raw Data'!$A$4:B$998,F407,5))</f>
        <v>#NUM!</v>
      </c>
      <c r="M407" t="e">
        <f t="array" ref="M407">(--INDEX('Raw Data'!$A$4:D$998,$F407,6))</f>
        <v>#NUM!</v>
      </c>
      <c r="N407" t="e">
        <f t="array" ref="N407">(--INDEX('Raw Data'!$A$4:D$998,$F407,7))</f>
        <v>#NUM!</v>
      </c>
      <c r="O407" t="e">
        <f t="array" ref="O407">IF(--INDEX('Raw Data'!$A$4:E$998,$F407,8)= 0, 1, 0)</f>
        <v>#NUM!</v>
      </c>
      <c r="P407" t="e">
        <f t="array" ref="P407">IF(--INDEX('Raw Data'!$A$4:F$998,$F407,8)= 1, 1, 0)</f>
        <v>#NUM!</v>
      </c>
      <c r="Q407" t="e">
        <f t="array" ref="Q407">IF(--INDEX('Raw Data'!$A$4:G$998,$F407,13)= 1, 1, 0)</f>
        <v>#NUM!</v>
      </c>
      <c r="R407" t="e">
        <f t="array" ref="R407">IF(--INDEX('Raw Data'!$A$4:H$998,$F407,14)= 1, 1, 0)</f>
        <v>#NUM!</v>
      </c>
      <c r="S407" t="e">
        <f t="array" ref="S407">IF(--INDEX('Raw Data'!$A$4:I$998,$F407,15)= 1, 1, 0)</f>
        <v>#NUM!</v>
      </c>
      <c r="T407" t="e">
        <f t="array" ref="T407">IF(--INDEX('Raw Data'!$A$4:I$998,$F407,15)= 1, 1, 0)</f>
        <v>#NUM!</v>
      </c>
      <c r="U407" t="e">
        <f t="array" ref="U407">IF(--INDEX('Raw Data'!$A$4:J$998,$F407,16)= 1, 1, 0)</f>
        <v>#NUM!</v>
      </c>
      <c r="V407" t="e">
        <f t="array" ref="V407">IF(--INDEX('Raw Data'!$A$4:K$998,$F407,17)= 1, 1, 0)</f>
        <v>#NUM!</v>
      </c>
      <c r="W407" t="e">
        <f t="array" ref="W407">INDEX('Raw Data'!$A:$O,$F407,19)</f>
        <v>#NUM!</v>
      </c>
      <c r="X407" t="e">
        <f t="array" ref="X407">INDEX('Raw Data'!$A:$O,$F407,20)</f>
        <v>#NUM!</v>
      </c>
      <c r="Y407" t="e">
        <f t="array" ref="Y407">INDEX('Raw Data'!$A:$O,F407,21)</f>
        <v>#NUM!</v>
      </c>
      <c r="Z407" t="e">
        <f t="array" ref="Z407">INDEX('Raw Data'!$A:$O,$F407,3)</f>
        <v>#NUM!</v>
      </c>
      <c r="AA407" t="e">
        <f t="array" ref="AA407">INDEX('Raw Data'!$A:$O,$F407,22)</f>
        <v>#NUM!</v>
      </c>
      <c r="AB407" t="e">
        <f t="array" ref="AB407">INDEX('Raw Data'!$A:$O,$F407,23)</f>
        <v>#NUM!</v>
      </c>
    </row>
    <row r="408" spans="1:44" x14ac:dyDescent="0.25">
      <c r="F408" t="e">
        <f t="array" ref="F408">SMALL(IF('Raw Data'!A:A=C395,ROW('Raw Data'!A:A)),ROW('Raw Data'!$13:$13))</f>
        <v>#NUM!</v>
      </c>
      <c r="G408" t="e">
        <f t="array" ref="G408">INDEX('Raw Data'!A:A,F408,9)</f>
        <v>#NUM!</v>
      </c>
      <c r="H408" t="e">
        <f t="array" ref="H408">INDEX('Raw Data'!A:A,F408,10)</f>
        <v>#NUM!</v>
      </c>
      <c r="I408" t="e">
        <f t="array" ref="I408">INDEX('Raw Data'!$A:A,$F408,11)</f>
        <v>#NUM!</v>
      </c>
      <c r="J408" t="e">
        <f t="array" ref="J408">INDEX('Raw Data'!$A:A,F408,12)</f>
        <v>#NUM!</v>
      </c>
      <c r="K408" t="e">
        <f t="array" ref="K408">(--INDEX('Raw Data'!$A$4:B$998,F408,4))</f>
        <v>#NUM!</v>
      </c>
      <c r="L408" t="e">
        <f t="array" ref="L408">(--INDEX('Raw Data'!$A$4:B$998,F408,5))</f>
        <v>#NUM!</v>
      </c>
      <c r="M408" t="e">
        <f t="array" ref="M408">(--INDEX('Raw Data'!$A$4:D$998,$F408,6))</f>
        <v>#NUM!</v>
      </c>
      <c r="N408" t="e">
        <f t="array" ref="N408">(--INDEX('Raw Data'!$A$4:D$998,$F408,7))</f>
        <v>#NUM!</v>
      </c>
      <c r="O408" t="e">
        <f t="array" ref="O408">IF(--INDEX('Raw Data'!$A$4:E$998,$F408,8)= 0, 1, 0)</f>
        <v>#NUM!</v>
      </c>
      <c r="P408" t="e">
        <f t="array" ref="P408">IF(--INDEX('Raw Data'!$A$4:F$998,$F408,8)= 1, 1, 0)</f>
        <v>#NUM!</v>
      </c>
      <c r="Q408" t="e">
        <f t="array" ref="Q408">IF(--INDEX('Raw Data'!$A$4:G$998,$F408,13)= 1, 1, 0)</f>
        <v>#NUM!</v>
      </c>
      <c r="R408" t="e">
        <f t="array" ref="R408">IF(--INDEX('Raw Data'!$A$4:H$998,$F408,14)= 1, 1, 0)</f>
        <v>#NUM!</v>
      </c>
      <c r="S408" t="e">
        <f t="array" ref="S408">IF(--INDEX('Raw Data'!$A$4:I$998,$F408,15)= 1, 1, 0)</f>
        <v>#NUM!</v>
      </c>
      <c r="T408" t="e">
        <f t="array" ref="T408">IF(--INDEX('Raw Data'!$A$4:I$998,$F408,15)= 1, 1, 0)</f>
        <v>#NUM!</v>
      </c>
      <c r="U408" t="e">
        <f t="array" ref="U408">IF(--INDEX('Raw Data'!$A$4:J$998,$F408,16)= 1, 1, 0)</f>
        <v>#NUM!</v>
      </c>
      <c r="V408" t="e">
        <f t="array" ref="V408">IF(--INDEX('Raw Data'!$A$4:K$998,$F408,17)= 1, 1, 0)</f>
        <v>#NUM!</v>
      </c>
      <c r="W408" t="e">
        <f t="array" ref="W408">INDEX('Raw Data'!$A:$O,$F408,19)</f>
        <v>#NUM!</v>
      </c>
      <c r="X408" t="e">
        <f t="array" ref="X408">INDEX('Raw Data'!$A:$O,$F408,20)</f>
        <v>#NUM!</v>
      </c>
      <c r="Y408" t="e">
        <f t="array" ref="Y408">INDEX('Raw Data'!$A:$O,F408,21)</f>
        <v>#NUM!</v>
      </c>
      <c r="Z408" t="e">
        <f t="array" ref="Z408">INDEX('Raw Data'!$A:$O,$F408,3)</f>
        <v>#NUM!</v>
      </c>
      <c r="AA408" t="e">
        <f t="array" ref="AA408">INDEX('Raw Data'!$A:$O,$F408,22)</f>
        <v>#NUM!</v>
      </c>
      <c r="AB408" t="e">
        <f t="array" ref="AB408">INDEX('Raw Data'!$A:$O,$F408,23)</f>
        <v>#NUM!</v>
      </c>
    </row>
    <row r="409" spans="1:44" x14ac:dyDescent="0.25">
      <c r="F409" t="e">
        <f t="array" ref="F409">SMALL(IF('Raw Data'!A:A=C395,ROW('Raw Data'!A:A)),ROW('Raw Data'!$14:$14))</f>
        <v>#NUM!</v>
      </c>
      <c r="G409" t="e">
        <f t="array" ref="G409">INDEX('Raw Data'!A:A,F409,9)</f>
        <v>#NUM!</v>
      </c>
      <c r="H409" t="e">
        <f t="array" ref="H409">INDEX('Raw Data'!A:A,F409,10)</f>
        <v>#NUM!</v>
      </c>
      <c r="I409" t="e">
        <f t="array" ref="I409">INDEX('Raw Data'!$A:A,$F409,11)</f>
        <v>#NUM!</v>
      </c>
      <c r="J409" t="e">
        <f t="array" ref="J409">INDEX('Raw Data'!$A:A,F409,12)</f>
        <v>#NUM!</v>
      </c>
      <c r="K409" t="e">
        <f t="array" ref="K409">(--INDEX('Raw Data'!$A$4:B$998,F409,4))</f>
        <v>#NUM!</v>
      </c>
      <c r="L409" t="e">
        <f t="array" ref="L409">(--INDEX('Raw Data'!$A$4:B$998,F409,5))</f>
        <v>#NUM!</v>
      </c>
      <c r="M409" t="e">
        <f t="array" ref="M409">(--INDEX('Raw Data'!$A$4:D$998,$F409,6))</f>
        <v>#NUM!</v>
      </c>
      <c r="N409" t="e">
        <f t="array" ref="N409">(--INDEX('Raw Data'!$A$4:D$998,$F409,7))</f>
        <v>#NUM!</v>
      </c>
      <c r="O409" t="e">
        <f t="array" ref="O409">IF(--INDEX('Raw Data'!$A$4:E$998,$F409,8)= 0, 1, 0)</f>
        <v>#NUM!</v>
      </c>
      <c r="P409" t="e">
        <f t="array" ref="P409">IF(--INDEX('Raw Data'!$A$4:F$998,$F409,8)= 1, 1, 0)</f>
        <v>#NUM!</v>
      </c>
      <c r="Q409" t="e">
        <f t="array" ref="Q409">IF(--INDEX('Raw Data'!$A$4:G$998,$F409,13)= 1, 1, 0)</f>
        <v>#NUM!</v>
      </c>
      <c r="R409" t="e">
        <f t="array" ref="R409">IF(--INDEX('Raw Data'!$A$4:H$998,$F409,14)= 1, 1, 0)</f>
        <v>#NUM!</v>
      </c>
      <c r="S409" t="e">
        <f t="array" ref="S409">IF(--INDEX('Raw Data'!$A$4:I$998,$F409,15)= 1, 1, 0)</f>
        <v>#NUM!</v>
      </c>
      <c r="T409" t="e">
        <f t="array" ref="T409">IF(--INDEX('Raw Data'!$A$4:I$998,$F409,15)= 1, 1, 0)</f>
        <v>#NUM!</v>
      </c>
      <c r="U409" t="e">
        <f t="array" ref="U409">IF(--INDEX('Raw Data'!$A$4:J$998,$F409,16)= 1, 1, 0)</f>
        <v>#NUM!</v>
      </c>
      <c r="V409" t="e">
        <f t="array" ref="V409">IF(--INDEX('Raw Data'!$A$4:K$998,$F409,17)= 1, 1, 0)</f>
        <v>#NUM!</v>
      </c>
      <c r="W409" t="e">
        <f t="array" ref="W409">INDEX('Raw Data'!$A:$O,$F409,19)</f>
        <v>#NUM!</v>
      </c>
      <c r="X409" t="e">
        <f t="array" ref="X409">INDEX('Raw Data'!$A:$O,$F409,20)</f>
        <v>#NUM!</v>
      </c>
      <c r="Y409" t="e">
        <f t="array" ref="Y409">INDEX('Raw Data'!$A:$O,F409,21)</f>
        <v>#NUM!</v>
      </c>
      <c r="Z409" t="e">
        <f t="array" ref="Z409">INDEX('Raw Data'!$A:$O,$F409,3)</f>
        <v>#NUM!</v>
      </c>
      <c r="AA409" t="e">
        <f t="array" ref="AA409">INDEX('Raw Data'!$A:$O,$F409,22)</f>
        <v>#NUM!</v>
      </c>
      <c r="AB409" t="e">
        <f t="array" ref="AB409">INDEX('Raw Data'!$A:$O,$F409,23)</f>
        <v>#NUM!</v>
      </c>
    </row>
    <row r="410" spans="1:44" x14ac:dyDescent="0.25">
      <c r="F410" t="e">
        <f t="array" ref="F410">SMALL(IF('Raw Data'!A:A=C395,ROW('Raw Data'!A:A)),ROW('Raw Data'!$15:$15))</f>
        <v>#NUM!</v>
      </c>
      <c r="G410" t="e">
        <f t="array" ref="G410">INDEX('Raw Data'!A:A,F410,9)</f>
        <v>#NUM!</v>
      </c>
      <c r="H410" t="e">
        <f t="array" ref="H410">INDEX('Raw Data'!A:A,F410,10)</f>
        <v>#NUM!</v>
      </c>
      <c r="I410" t="e">
        <f t="array" ref="I410">INDEX('Raw Data'!$A:A,$F410,11)</f>
        <v>#NUM!</v>
      </c>
      <c r="J410" t="e">
        <f t="array" ref="J410">INDEX('Raw Data'!$A:A,F410,12)</f>
        <v>#NUM!</v>
      </c>
      <c r="K410" t="e">
        <f t="array" ref="K410">(--INDEX('Raw Data'!$A$4:B$998,F410,4))</f>
        <v>#NUM!</v>
      </c>
      <c r="L410" t="e">
        <f t="array" ref="L410">(--INDEX('Raw Data'!$A$4:B$998,F410,5))</f>
        <v>#NUM!</v>
      </c>
      <c r="M410" t="e">
        <f t="array" ref="M410">(--INDEX('Raw Data'!$A$4:D$998,$F410,6))</f>
        <v>#NUM!</v>
      </c>
      <c r="N410" t="e">
        <f t="array" ref="N410">(--INDEX('Raw Data'!$A$4:D$998,$F410,7))</f>
        <v>#NUM!</v>
      </c>
      <c r="O410" t="e">
        <f t="array" ref="O410">IF(--INDEX('Raw Data'!$A$4:E$998,$F410,8)= 0, 1, 0)</f>
        <v>#NUM!</v>
      </c>
      <c r="P410" t="e">
        <f t="array" ref="P410">IF(--INDEX('Raw Data'!$A$4:F$998,$F410,8)= 1, 1, 0)</f>
        <v>#NUM!</v>
      </c>
      <c r="Q410" t="e">
        <f t="array" ref="Q410">IF(--INDEX('Raw Data'!$A$4:G$998,$F410,13)= 1, 1, 0)</f>
        <v>#NUM!</v>
      </c>
      <c r="R410" t="e">
        <f t="array" ref="R410">IF(--INDEX('Raw Data'!$A$4:H$998,$F410,14)= 1, 1, 0)</f>
        <v>#NUM!</v>
      </c>
      <c r="S410" t="e">
        <f t="array" ref="S410">IF(--INDEX('Raw Data'!$A$4:I$998,$F410,15)= 1, 1, 0)</f>
        <v>#NUM!</v>
      </c>
      <c r="T410" t="e">
        <f t="array" ref="T410">IF(--INDEX('Raw Data'!$A$4:I$998,$F410,15)= 1, 1, 0)</f>
        <v>#NUM!</v>
      </c>
      <c r="U410" t="e">
        <f t="array" ref="U410">IF(--INDEX('Raw Data'!$A$4:J$998,$F410,16)= 1, 1, 0)</f>
        <v>#NUM!</v>
      </c>
      <c r="V410" t="e">
        <f t="array" ref="V410">IF(--INDEX('Raw Data'!$A$4:K$998,$F410,17)= 1, 1, 0)</f>
        <v>#NUM!</v>
      </c>
      <c r="W410" t="e">
        <f t="array" ref="W410">INDEX('Raw Data'!$A:$O,$F410,19)</f>
        <v>#NUM!</v>
      </c>
      <c r="X410" t="e">
        <f t="array" ref="X410">INDEX('Raw Data'!$A:$O,$F410,20)</f>
        <v>#NUM!</v>
      </c>
      <c r="Y410" t="e">
        <f t="array" ref="Y410">INDEX('Raw Data'!$A:$O,F410,21)</f>
        <v>#NUM!</v>
      </c>
      <c r="Z410" t="e">
        <f t="array" ref="Z410">INDEX('Raw Data'!$A:$O,$F410,3)</f>
        <v>#NUM!</v>
      </c>
      <c r="AA410" t="e">
        <f t="array" ref="AA410">INDEX('Raw Data'!$A:$O,$F410,22)</f>
        <v>#NUM!</v>
      </c>
      <c r="AB410" t="e">
        <f t="array" ref="AB410">INDEX('Raw Data'!$A:$O,$F410,23)</f>
        <v>#NUM!</v>
      </c>
    </row>
    <row r="411" spans="1:44" x14ac:dyDescent="0.25">
      <c r="A411" t="s">
        <v>55</v>
      </c>
      <c r="C411" s="2" t="e">
        <f>B401/B400</f>
        <v>#DIV/0!</v>
      </c>
      <c r="F411">
        <f t="array" ref="F411">COUNTIF(F396:F410,"&gt;0")</f>
        <v>0</v>
      </c>
      <c r="G411">
        <f t="array" ref="G411">SUMIF(G396:G410,"&gt;0")</f>
        <v>0</v>
      </c>
      <c r="H411">
        <f t="array" ref="H411">SUMIF(H396:H410,"&gt;0")</f>
        <v>0</v>
      </c>
      <c r="I411">
        <f t="array" ref="I411">SUMIF(I396:I410,"&gt;0")</f>
        <v>0</v>
      </c>
      <c r="J411">
        <f t="array" ref="J411">SUMIF(J396:J410,"&gt;0")</f>
        <v>0</v>
      </c>
      <c r="K411">
        <f t="array" ref="K411">SUMIF(K396:K410,"&gt;0")</f>
        <v>0</v>
      </c>
      <c r="L411">
        <f t="array" ref="L411">SUMIF(L396:L410,"&gt;0")</f>
        <v>0</v>
      </c>
      <c r="M411">
        <f t="array" ref="M411">SUMIF(M396:M410,"&gt;0")</f>
        <v>0</v>
      </c>
      <c r="N411">
        <f t="array" ref="N411">SUMIF(N396:N410,"&gt;0")</f>
        <v>0</v>
      </c>
      <c r="O411">
        <f t="array" ref="O411">SUMIF(O396:O410,"&gt;0")</f>
        <v>0</v>
      </c>
      <c r="P411">
        <f t="array" ref="P411">SUMIF(P396:P410,"&gt;0")</f>
        <v>0</v>
      </c>
      <c r="Q411">
        <f t="array" ref="Q411">SUMIF(Q396:Q410,"&gt;0")</f>
        <v>0</v>
      </c>
      <c r="R411">
        <f t="array" ref="R411">SUMIF(R396:R410,"&gt;0")</f>
        <v>0</v>
      </c>
      <c r="S411">
        <f t="array" ref="S411">SUMIF(S396:S410,"&gt;0")</f>
        <v>0</v>
      </c>
      <c r="T411">
        <f t="array" ref="T411">SUMIF(T396:T410,"&gt;0")</f>
        <v>0</v>
      </c>
      <c r="U411">
        <f t="array" ref="U411">SUMIF(U396:U410,"&gt;0")</f>
        <v>0</v>
      </c>
      <c r="V411">
        <f t="array" ref="V411">SUMIF(V396:V410,"&gt;0")</f>
        <v>0</v>
      </c>
      <c r="W411">
        <f t="array" ref="W411">SUMIF(W396:W410,"&gt;0")</f>
        <v>0</v>
      </c>
      <c r="X411">
        <f t="array" ref="X411">SUMIF(X396:X410,"&gt;0")</f>
        <v>0</v>
      </c>
      <c r="Y411">
        <f t="array" ref="Y411">SUMIF(Y396:Y410,"&gt;0")</f>
        <v>0</v>
      </c>
      <c r="Z411">
        <f t="array" ref="Z411">SUMIF(Z396:Z410,"&gt;0")</f>
        <v>0</v>
      </c>
      <c r="AA411">
        <f t="array" ref="AA411">SUMIF(AA396:AA410,"&gt;0")</f>
        <v>0</v>
      </c>
      <c r="AB411">
        <f t="array" ref="AB411">SUMIF(AB396:AB410,"&gt;0")</f>
        <v>0</v>
      </c>
    </row>
    <row r="412" spans="1:44" x14ac:dyDescent="0.25">
      <c r="A412" t="s">
        <v>58</v>
      </c>
      <c r="C412" s="2">
        <f t="array" ref="C412">IF((K411+L411)&lt;&gt;0, (L411/(K411+L411)),0)</f>
        <v>0</v>
      </c>
      <c r="J412" s="6">
        <f t="array" ref="J412">J411*10</f>
        <v>0</v>
      </c>
      <c r="K412" s="6"/>
      <c r="P412" t="s">
        <v>95</v>
      </c>
      <c r="Q412" s="2" t="e">
        <f t="array" ref="Q412">Q411/$F411</f>
        <v>#DIV/0!</v>
      </c>
      <c r="R412" s="2" t="e">
        <f t="array" ref="R412">R411/$F411</f>
        <v>#DIV/0!</v>
      </c>
      <c r="S412" s="2" t="e">
        <f t="array" ref="S412">S411/$F411</f>
        <v>#DIV/0!</v>
      </c>
      <c r="T412" s="2" t="e">
        <f t="array" ref="T412">T411/$F411</f>
        <v>#DIV/0!</v>
      </c>
      <c r="U412" s="2" t="e">
        <f t="array" ref="U412">U411/$F411</f>
        <v>#DIV/0!</v>
      </c>
      <c r="V412" s="2" t="e">
        <f t="array" ref="V412">V411/$F411</f>
        <v>#DIV/0!</v>
      </c>
      <c r="W412" s="2" t="e">
        <f t="array" ref="W412">W411/$F411</f>
        <v>#DIV/0!</v>
      </c>
      <c r="X412" s="2" t="e">
        <f t="array" ref="X412">X411/$F411</f>
        <v>#DIV/0!</v>
      </c>
      <c r="Z412" s="2" t="e">
        <f t="array" ref="Z412">Z411/F411</f>
        <v>#DIV/0!</v>
      </c>
    </row>
    <row r="413" spans="1:44" x14ac:dyDescent="0.25">
      <c r="A413" t="s">
        <v>60</v>
      </c>
      <c r="C413" s="2">
        <f t="array" ref="C413">IF((M411+N411)&lt;&gt;0, (N411/(M411+N411)),0)</f>
        <v>0</v>
      </c>
      <c r="J413" s="6"/>
      <c r="K413" s="6"/>
      <c r="AR413" s="25"/>
    </row>
    <row r="414" spans="1:44" ht="28.5" x14ac:dyDescent="0.45">
      <c r="A414" t="s">
        <v>61</v>
      </c>
      <c r="C414" s="2">
        <f t="array" ref="C414">IF(((K411+N411+L411+M411)&lt;&gt;0), ((L411+N411)/(K411+N411+L411+M411)),0)</f>
        <v>0</v>
      </c>
      <c r="F414" s="17" t="s">
        <v>106</v>
      </c>
      <c r="G414" s="17" t="e">
        <f t="array" ref="G414">'Weighting &amp; Ranking Sheet'!$B$3*Math!$C412+'Weighting &amp; Ranking Sheet'!$B$4*Math!$C413+'Weighting &amp; Ranking Sheet'!$B$5*Math!$C414+'Weighting &amp; Ranking Sheet'!$B$6*Math!$C415+'Weighting &amp; Ranking Sheet'!$B$7*Math!$C399+'Weighting &amp; Ranking Sheet'!$B$8*Math!$C411+'Weighting &amp; Ranking Sheet'!$B$9*Math!$C418+'Weighting &amp; Ranking Sheet'!$B$10*Math!$C416+'Weighting &amp; Ranking Sheet'!$B$11*Math!$C417+'Weighting &amp; Ranking Sheet'!$B$12*Math!$C419*0.01+'Weighting &amp; Ranking Sheet'!$B$13*Math!$Q412+'Weighting &amp; Ranking Sheet'!$B$14*Math!$R412+'Weighting &amp; Ranking Sheet'!$B$15*Math!$S412+'Weighting &amp; Ranking Sheet'!$B$16*Math!$T412+'Weighting &amp; Ranking Sheet'!$B$17*Math!$U412+'Weighting &amp; Ranking Sheet'!$B$18*Math!$V412+'Weighting &amp; Ranking Sheet'!$B$2*Math!$Z412</f>
        <v>#DIV/0!</v>
      </c>
      <c r="J414"/>
      <c r="K414"/>
      <c r="AR414" s="25"/>
    </row>
    <row r="415" spans="1:44" x14ac:dyDescent="0.25">
      <c r="A415" t="s">
        <v>62</v>
      </c>
      <c r="C415" s="2">
        <f t="array" ref="C415">IF((O411+P411&lt;&gt;0),(P411/(O411+P411)), 0)</f>
        <v>0</v>
      </c>
      <c r="J415"/>
      <c r="K415"/>
      <c r="AR415" s="25"/>
    </row>
    <row r="416" spans="1:44" x14ac:dyDescent="0.25">
      <c r="A416" t="s">
        <v>77</v>
      </c>
      <c r="C416" s="8" t="e">
        <f t="array" ref="C416">W411/F411</f>
        <v>#DIV/0!</v>
      </c>
      <c r="J416"/>
      <c r="K416"/>
      <c r="AR416" s="23"/>
    </row>
    <row r="417" spans="1:44" x14ac:dyDescent="0.25">
      <c r="A417" t="s">
        <v>78</v>
      </c>
      <c r="C417" s="8" t="e">
        <f t="array" ref="C417">X411/F411</f>
        <v>#DIV/0!</v>
      </c>
      <c r="J417"/>
      <c r="K417"/>
    </row>
    <row r="418" spans="1:44" x14ac:dyDescent="0.25">
      <c r="A418" t="s">
        <v>91</v>
      </c>
      <c r="C418" s="2" t="e">
        <f t="array" ref="C418">(C399+C411)/2</f>
        <v>#DIV/0!</v>
      </c>
      <c r="J418"/>
      <c r="K418"/>
    </row>
    <row r="419" spans="1:44" x14ac:dyDescent="0.25">
      <c r="A419" t="s">
        <v>92</v>
      </c>
      <c r="C419" s="8" t="e">
        <f t="array" ref="C419">Y411/F411</f>
        <v>#DIV/0!</v>
      </c>
      <c r="J419"/>
      <c r="K419"/>
    </row>
    <row r="420" spans="1:44" x14ac:dyDescent="0.25">
      <c r="C420" s="8"/>
      <c r="J420"/>
      <c r="K420"/>
    </row>
    <row r="421" spans="1:44" x14ac:dyDescent="0.25">
      <c r="C421" s="8"/>
      <c r="J421" s="6"/>
      <c r="K421" s="6"/>
    </row>
    <row r="422" spans="1:44" x14ac:dyDescent="0.25">
      <c r="J422" s="6"/>
      <c r="K422" s="6"/>
    </row>
    <row r="423" spans="1:44" x14ac:dyDescent="0.25">
      <c r="A423" t="s">
        <v>3</v>
      </c>
      <c r="C423" s="5">
        <v>708</v>
      </c>
      <c r="F423" t="s">
        <v>19</v>
      </c>
    </row>
    <row r="424" spans="1:44" x14ac:dyDescent="0.25">
      <c r="F424" t="e">
        <f t="array" ref="F424">SMALL(IF('Raw Data'!A:A=C423,ROW('Raw Data'!A:A)),ROW('Raw Data'!$1:$1))</f>
        <v>#NUM!</v>
      </c>
      <c r="G424" t="e">
        <f t="array" ref="G424">INDEX('Raw Data'!A:A,F424,9)</f>
        <v>#NUM!</v>
      </c>
      <c r="H424" t="e">
        <f t="array" ref="H424">INDEX('Raw Data'!A:A,F424,10)</f>
        <v>#NUM!</v>
      </c>
      <c r="I424" t="e">
        <f t="array" ref="I424">INDEX('Raw Data'!$A:A,$F424,11)</f>
        <v>#NUM!</v>
      </c>
      <c r="J424" t="e">
        <f t="array" ref="J424">INDEX('Raw Data'!$A:A,F424,12)</f>
        <v>#NUM!</v>
      </c>
      <c r="K424" t="e">
        <f>(--INDEX('Raw Data'!$A$4:B$993,F424,4))</f>
        <v>#NUM!</v>
      </c>
      <c r="L424" t="e">
        <f t="array" ref="L424">(--INDEX('Raw Data'!$A$4:B$993,F424,5))</f>
        <v>#NUM!</v>
      </c>
      <c r="M424" t="e">
        <f t="array" ref="M424">(--INDEX('Raw Data'!$A$4:D$993,$F424,6))</f>
        <v>#NUM!</v>
      </c>
      <c r="N424" t="e">
        <f t="array" ref="N424">(--INDEX('Raw Data'!$A$4:D$993,$F424,7))</f>
        <v>#NUM!</v>
      </c>
      <c r="O424" t="e">
        <f t="array" ref="O424">IF(--INDEX('Raw Data'!$A$4:E$993,$F424,8)= 0, 1, 0)</f>
        <v>#NUM!</v>
      </c>
      <c r="P424" t="e">
        <f t="array" ref="P424">IF(--INDEX('Raw Data'!$A$4:F$993,$F424,8)= 1, 1, 0)</f>
        <v>#NUM!</v>
      </c>
      <c r="Q424" t="e">
        <f t="array" ref="Q424">IF(--INDEX('Raw Data'!$A$4:G$993,$F424,13)= 1, 1, 0)</f>
        <v>#NUM!</v>
      </c>
      <c r="R424" t="e">
        <f t="array" ref="R424">IF(--INDEX('Raw Data'!$A$4:H$993,$F424,14)= 1, 1, 0)</f>
        <v>#NUM!</v>
      </c>
      <c r="S424" t="e">
        <f t="array" ref="S424">IF(--INDEX('Raw Data'!$A$4:I$993,$F424,15)= 1, 1, 0)</f>
        <v>#NUM!</v>
      </c>
      <c r="T424" t="e">
        <f t="array" ref="T424">IF(--INDEX('Raw Data'!$A$4:I$993,$F424,15)= 1, 1, 0)</f>
        <v>#NUM!</v>
      </c>
      <c r="U424" t="e">
        <f t="array" ref="U424">IF(--INDEX('Raw Data'!$A$4:J$993,$F424,16)= 1, 1, 0)</f>
        <v>#NUM!</v>
      </c>
      <c r="V424" t="e">
        <f t="array" ref="V424">IF(--INDEX('Raw Data'!$A$4:K$993,$F424,17)= 1, 1, 0)</f>
        <v>#NUM!</v>
      </c>
      <c r="W424" t="e">
        <f t="array" ref="W424">INDEX('Raw Data'!$A:$O,$F424,19)</f>
        <v>#NUM!</v>
      </c>
      <c r="X424" t="e">
        <f t="array" ref="X424">INDEX('Raw Data'!$A:$O,$F424,20)</f>
        <v>#NUM!</v>
      </c>
      <c r="Y424" t="e">
        <f t="array" ref="Y424">INDEX('Raw Data'!$A:$O,F424,21)</f>
        <v>#NUM!</v>
      </c>
      <c r="Z424" t="e">
        <f t="array" ref="Z424">INDEX('Raw Data'!$A:$O,$F424,3)</f>
        <v>#NUM!</v>
      </c>
      <c r="AA424" t="e">
        <f t="array" ref="AA424">INDEX('Raw Data'!$A:$O,$F424,22)</f>
        <v>#NUM!</v>
      </c>
      <c r="AB424" t="e">
        <f t="array" ref="AB424">INDEX('Raw Data'!$A:$O,$F424,23)</f>
        <v>#NUM!</v>
      </c>
    </row>
    <row r="425" spans="1:44" x14ac:dyDescent="0.25">
      <c r="A425" t="s">
        <v>0</v>
      </c>
      <c r="B425">
        <f>G439</f>
        <v>0</v>
      </c>
      <c r="F425" t="e">
        <f t="array" ref="F425">SMALL(IF('Raw Data'!A:A=C423,ROW('Raw Data'!A:A)),ROW('Raw Data'!$2:$2))</f>
        <v>#NUM!</v>
      </c>
      <c r="G425" t="e">
        <f t="array" ref="G425">INDEX('Raw Data'!A:A,F425,9)</f>
        <v>#NUM!</v>
      </c>
      <c r="H425" t="e">
        <f t="array" ref="H425">INDEX('Raw Data'!A:A,F425,10)</f>
        <v>#NUM!</v>
      </c>
      <c r="I425" t="e">
        <f t="array" ref="I425">INDEX('Raw Data'!$A:A,$F425,11)</f>
        <v>#NUM!</v>
      </c>
      <c r="J425" t="e">
        <f t="array" ref="J425">INDEX('Raw Data'!$A:A,F425,12)</f>
        <v>#NUM!</v>
      </c>
      <c r="K425" t="e">
        <f>(--INDEX('Raw Data'!$A$4:B$993,F425,4))</f>
        <v>#NUM!</v>
      </c>
      <c r="L425" t="e">
        <f t="array" ref="L425">(--INDEX('Raw Data'!$A$4:B$993,F425,5))</f>
        <v>#NUM!</v>
      </c>
      <c r="M425" t="e">
        <f t="array" ref="M425">(--INDEX('Raw Data'!$A$4:D$993,$F425,6))</f>
        <v>#NUM!</v>
      </c>
      <c r="N425" t="e">
        <f t="array" ref="N425">(--INDEX('Raw Data'!$A$4:D$993,$F425,7))</f>
        <v>#NUM!</v>
      </c>
      <c r="O425" t="e">
        <f t="array" ref="O425">IF(--INDEX('Raw Data'!$A$4:E$993,$F425,8)= 0, 1, 0)</f>
        <v>#NUM!</v>
      </c>
      <c r="P425" t="e">
        <f t="array" ref="P425">IF(--INDEX('Raw Data'!$A$4:F$993,$F425,8)= 1, 1, 0)</f>
        <v>#NUM!</v>
      </c>
      <c r="Q425" t="e">
        <f t="array" ref="Q425">IF(--INDEX('Raw Data'!$A$4:G$993,$F425,13)= 1, 1, 0)</f>
        <v>#NUM!</v>
      </c>
      <c r="R425" t="e">
        <f t="array" ref="R425">IF(--INDEX('Raw Data'!$A$4:H$993,$F425,14)= 1, 1, 0)</f>
        <v>#NUM!</v>
      </c>
      <c r="S425" t="e">
        <f t="array" ref="S425">IF(--INDEX('Raw Data'!$A$4:I$993,$F425,15)= 1, 1, 0)</f>
        <v>#NUM!</v>
      </c>
      <c r="T425" t="e">
        <f t="array" ref="T425">IF(--INDEX('Raw Data'!$A$4:I$993,$F425,15)= 1, 1, 0)</f>
        <v>#NUM!</v>
      </c>
      <c r="U425" t="e">
        <f t="array" ref="U425">IF(--INDEX('Raw Data'!$A$4:J$993,$F425,16)= 1, 1, 0)</f>
        <v>#NUM!</v>
      </c>
      <c r="V425" t="e">
        <f t="array" ref="V425">IF(--INDEX('Raw Data'!$A$4:K$993,$F425,17)= 1, 1, 0)</f>
        <v>#NUM!</v>
      </c>
      <c r="W425" t="e">
        <f t="array" ref="W425">INDEX('Raw Data'!$A:$O,$F425,19)</f>
        <v>#NUM!</v>
      </c>
      <c r="X425" t="e">
        <f t="array" ref="X425">INDEX('Raw Data'!$A:$O,$F425,20)</f>
        <v>#NUM!</v>
      </c>
      <c r="Y425" t="e">
        <f t="array" ref="Y425">INDEX('Raw Data'!$A:$O,F425,21)</f>
        <v>#NUM!</v>
      </c>
      <c r="Z425" t="e">
        <f t="array" ref="Z425">INDEX('Raw Data'!$A:$O,$F425,3)</f>
        <v>#NUM!</v>
      </c>
      <c r="AA425" t="e">
        <f t="array" ref="AA425">INDEX('Raw Data'!$A:$O,$F425,22)</f>
        <v>#NUM!</v>
      </c>
      <c r="AB425" t="e">
        <f t="array" ref="AB425">INDEX('Raw Data'!$A:$O,$F425,23)</f>
        <v>#NUM!</v>
      </c>
    </row>
    <row r="426" spans="1:44" x14ac:dyDescent="0.25">
      <c r="A426" t="s">
        <v>1</v>
      </c>
      <c r="B426">
        <f>H439</f>
        <v>0</v>
      </c>
      <c r="F426" t="e">
        <f t="array" ref="F426">SMALL(IF('Raw Data'!A:A=C423,ROW('Raw Data'!A:A)),ROW('Raw Data'!$3:$3))</f>
        <v>#NUM!</v>
      </c>
      <c r="G426" t="e">
        <f t="array" ref="G426">INDEX('Raw Data'!A:A,F426,9)</f>
        <v>#NUM!</v>
      </c>
      <c r="H426" t="e">
        <f t="array" ref="H426">INDEX('Raw Data'!A:A,F426,10)</f>
        <v>#NUM!</v>
      </c>
      <c r="I426" t="e">
        <f t="array" ref="I426">INDEX('Raw Data'!$A:A,$F426,11)</f>
        <v>#NUM!</v>
      </c>
      <c r="J426" t="e">
        <f t="array" ref="J426">INDEX('Raw Data'!$A:A,F426,12)</f>
        <v>#NUM!</v>
      </c>
      <c r="K426" t="e">
        <f>(--INDEX('Raw Data'!$A$4:B$993,F426,4))</f>
        <v>#NUM!</v>
      </c>
      <c r="L426" t="e">
        <f t="array" ref="L426">(--INDEX('Raw Data'!$A$4:B$993,F426,5))</f>
        <v>#NUM!</v>
      </c>
      <c r="M426" t="e">
        <f t="array" ref="M426">(--INDEX('Raw Data'!$A$4:D$993,$F426,6))</f>
        <v>#NUM!</v>
      </c>
      <c r="N426" t="e">
        <f t="array" ref="N426">(--INDEX('Raw Data'!$A$4:D$993,$F426,7))</f>
        <v>#NUM!</v>
      </c>
      <c r="O426" t="e">
        <f t="array" ref="O426">IF(--INDEX('Raw Data'!$A$4:E$993,$F426,8)= 0, 1, 0)</f>
        <v>#NUM!</v>
      </c>
      <c r="P426" t="e">
        <f t="array" ref="P426">IF(--INDEX('Raw Data'!$A$4:F$993,$F426,8)= 1, 1, 0)</f>
        <v>#NUM!</v>
      </c>
      <c r="Q426" t="e">
        <f t="array" ref="Q426">IF(--INDEX('Raw Data'!$A$4:G$993,$F426,13)= 1, 1, 0)</f>
        <v>#NUM!</v>
      </c>
      <c r="R426" t="e">
        <f t="array" ref="R426">IF(--INDEX('Raw Data'!$A$4:H$993,$F426,14)= 1, 1, 0)</f>
        <v>#NUM!</v>
      </c>
      <c r="S426" t="e">
        <f t="array" ref="S426">IF(--INDEX('Raw Data'!$A$4:I$993,$F426,15)= 1, 1, 0)</f>
        <v>#NUM!</v>
      </c>
      <c r="T426" t="e">
        <f t="array" ref="T426">IF(--INDEX('Raw Data'!$A$4:I$993,$F426,15)= 1, 1, 0)</f>
        <v>#NUM!</v>
      </c>
      <c r="U426" t="e">
        <f t="array" ref="U426">IF(--INDEX('Raw Data'!$A$4:J$993,$F426,16)= 1, 1, 0)</f>
        <v>#NUM!</v>
      </c>
      <c r="V426" t="e">
        <f t="array" ref="V426">IF(--INDEX('Raw Data'!$A$4:K$993,$F426,17)= 1, 1, 0)</f>
        <v>#NUM!</v>
      </c>
      <c r="W426" t="e">
        <f t="array" ref="W426">INDEX('Raw Data'!$A:$O,$F426,19)</f>
        <v>#NUM!</v>
      </c>
      <c r="X426" t="e">
        <f t="array" ref="X426">INDEX('Raw Data'!$A:$O,$F426,20)</f>
        <v>#NUM!</v>
      </c>
      <c r="Y426" t="e">
        <f t="array" ref="Y426">INDEX('Raw Data'!$A:$O,F426,21)</f>
        <v>#NUM!</v>
      </c>
      <c r="Z426" t="e">
        <f t="array" ref="Z426">INDEX('Raw Data'!$A:$O,$F426,3)</f>
        <v>#NUM!</v>
      </c>
      <c r="AA426" t="e">
        <f t="array" ref="AA426">INDEX('Raw Data'!$A:$O,$F426,22)</f>
        <v>#NUM!</v>
      </c>
      <c r="AB426" t="e">
        <f t="array" ref="AB426">INDEX('Raw Data'!$A:$O,$F426,23)</f>
        <v>#NUM!</v>
      </c>
    </row>
    <row r="427" spans="1:44" x14ac:dyDescent="0.25">
      <c r="A427" t="s">
        <v>2</v>
      </c>
      <c r="C427" s="3" t="e">
        <f>B426/B425</f>
        <v>#DIV/0!</v>
      </c>
      <c r="F427" t="e">
        <f t="array" ref="F427">SMALL(IF('Raw Data'!A:A=C423,ROW('Raw Data'!A:A)),ROW('Raw Data'!$4:$4))</f>
        <v>#NUM!</v>
      </c>
      <c r="G427" t="e">
        <f t="array" ref="G427">INDEX('Raw Data'!A:A,F427,9)</f>
        <v>#NUM!</v>
      </c>
      <c r="H427" t="e">
        <f t="array" ref="H427">INDEX('Raw Data'!A:A,F427,10)</f>
        <v>#NUM!</v>
      </c>
      <c r="I427" t="e">
        <f t="array" ref="I427">INDEX('Raw Data'!$A:A,$F427,11)</f>
        <v>#NUM!</v>
      </c>
      <c r="J427" t="e">
        <f t="array" ref="J427">INDEX('Raw Data'!$A:A,F427,12)</f>
        <v>#NUM!</v>
      </c>
      <c r="K427" t="e">
        <f>(--INDEX('Raw Data'!$A$4:B$993,F427,4))</f>
        <v>#NUM!</v>
      </c>
      <c r="L427" t="e">
        <f t="array" ref="L427">(--INDEX('Raw Data'!$A$4:B$993,F427,5))</f>
        <v>#NUM!</v>
      </c>
      <c r="M427" t="e">
        <f t="array" ref="M427">(--INDEX('Raw Data'!$A$4:D$993,$F427,6))</f>
        <v>#NUM!</v>
      </c>
      <c r="N427" t="e">
        <f t="array" ref="N427">(--INDEX('Raw Data'!$A$4:D$993,$F427,7))</f>
        <v>#NUM!</v>
      </c>
      <c r="O427" t="e">
        <f t="array" ref="O427">IF(--INDEX('Raw Data'!$A$4:E$993,$F427,8)= 0, 1, 0)</f>
        <v>#NUM!</v>
      </c>
      <c r="P427" t="e">
        <f t="array" ref="P427">IF(--INDEX('Raw Data'!$A$4:F$993,$F427,8)= 1, 1, 0)</f>
        <v>#NUM!</v>
      </c>
      <c r="Q427" t="e">
        <f t="array" ref="Q427">IF(--INDEX('Raw Data'!$A$4:G$993,$F427,13)= 1, 1, 0)</f>
        <v>#NUM!</v>
      </c>
      <c r="R427" t="e">
        <f t="array" ref="R427">IF(--INDEX('Raw Data'!$A$4:H$993,$F427,14)= 1, 1, 0)</f>
        <v>#NUM!</v>
      </c>
      <c r="S427" t="e">
        <f t="array" ref="S427">IF(--INDEX('Raw Data'!$A$4:I$993,$F427,15)= 1, 1, 0)</f>
        <v>#NUM!</v>
      </c>
      <c r="T427" t="e">
        <f t="array" ref="T427">IF(--INDEX('Raw Data'!$A$4:I$993,$F427,15)= 1, 1, 0)</f>
        <v>#NUM!</v>
      </c>
      <c r="U427" t="e">
        <f t="array" ref="U427">IF(--INDEX('Raw Data'!$A$4:J$993,$F427,16)= 1, 1, 0)</f>
        <v>#NUM!</v>
      </c>
      <c r="V427" t="e">
        <f t="array" ref="V427">IF(--INDEX('Raw Data'!$A$4:K$993,$F427,17)= 1, 1, 0)</f>
        <v>#NUM!</v>
      </c>
      <c r="W427" t="e">
        <f t="array" ref="W427">INDEX('Raw Data'!$A:$O,$F427,19)</f>
        <v>#NUM!</v>
      </c>
      <c r="X427" t="e">
        <f t="array" ref="X427">INDEX('Raw Data'!$A:$O,$F427,20)</f>
        <v>#NUM!</v>
      </c>
      <c r="Y427" t="e">
        <f t="array" ref="Y427">INDEX('Raw Data'!$A:$O,F427,21)</f>
        <v>#NUM!</v>
      </c>
      <c r="Z427" t="e">
        <f t="array" ref="Z427">INDEX('Raw Data'!$A:$O,$F427,3)</f>
        <v>#NUM!</v>
      </c>
      <c r="AA427" t="e">
        <f t="array" ref="AA427">INDEX('Raw Data'!$A:$O,$F427,22)</f>
        <v>#NUM!</v>
      </c>
      <c r="AB427" t="e">
        <f t="array" ref="AB427">INDEX('Raw Data'!$A:$O,$F427,23)</f>
        <v>#NUM!</v>
      </c>
    </row>
    <row r="428" spans="1:44" x14ac:dyDescent="0.25">
      <c r="A428" t="s">
        <v>54</v>
      </c>
      <c r="B428">
        <f>I439</f>
        <v>0</v>
      </c>
      <c r="F428" t="e">
        <f t="array" ref="F428">SMALL(IF('Raw Data'!A:A=C423,ROW('Raw Data'!A:A)),ROW('Raw Data'!$5:$5))</f>
        <v>#NUM!</v>
      </c>
      <c r="G428" t="e">
        <f t="array" ref="G428">INDEX('Raw Data'!A:A,F428,9)</f>
        <v>#NUM!</v>
      </c>
      <c r="H428" t="e">
        <f t="array" ref="H428">INDEX('Raw Data'!A:A,F428,10)</f>
        <v>#NUM!</v>
      </c>
      <c r="I428" t="e">
        <f t="array" ref="I428">INDEX('Raw Data'!$A:A,$F428,11)</f>
        <v>#NUM!</v>
      </c>
      <c r="J428" t="e">
        <f t="array" ref="J428">INDEX('Raw Data'!$A:A,F428,12)</f>
        <v>#NUM!</v>
      </c>
      <c r="K428" t="e">
        <f>(--INDEX('Raw Data'!$A$4:B$993,F428,4))</f>
        <v>#NUM!</v>
      </c>
      <c r="L428" t="e">
        <f t="array" ref="L428">(--INDEX('Raw Data'!$A$4:B$993,F428,5))</f>
        <v>#NUM!</v>
      </c>
      <c r="M428" t="e">
        <f t="array" ref="M428">(--INDEX('Raw Data'!$A$4:D$993,$F428,6))</f>
        <v>#NUM!</v>
      </c>
      <c r="N428" t="e">
        <f t="array" ref="N428">(--INDEX('Raw Data'!$A$4:D$993,$F428,7))</f>
        <v>#NUM!</v>
      </c>
      <c r="O428" t="e">
        <f t="array" ref="O428">IF(--INDEX('Raw Data'!$A$4:E$993,$F428,8)= 0, 1, 0)</f>
        <v>#NUM!</v>
      </c>
      <c r="P428" t="e">
        <f t="array" ref="P428">IF(--INDEX('Raw Data'!$A$4:F$993,$F428,8)= 1, 1, 0)</f>
        <v>#NUM!</v>
      </c>
      <c r="Q428" t="e">
        <f t="array" ref="Q428">IF(--INDEX('Raw Data'!$A$4:G$993,$F428,13)= 1, 1, 0)</f>
        <v>#NUM!</v>
      </c>
      <c r="R428" t="e">
        <f t="array" ref="R428">IF(--INDEX('Raw Data'!$A$4:H$993,$F428,14)= 1, 1, 0)</f>
        <v>#NUM!</v>
      </c>
      <c r="S428" t="e">
        <f t="array" ref="S428">IF(--INDEX('Raw Data'!$A$4:I$993,$F428,15)= 1, 1, 0)</f>
        <v>#NUM!</v>
      </c>
      <c r="T428" t="e">
        <f t="array" ref="T428">IF(--INDEX('Raw Data'!$A$4:I$993,$F428,15)= 1, 1, 0)</f>
        <v>#NUM!</v>
      </c>
      <c r="U428" t="e">
        <f t="array" ref="U428">IF(--INDEX('Raw Data'!$A$4:J$993,$F428,16)= 1, 1, 0)</f>
        <v>#NUM!</v>
      </c>
      <c r="V428" t="e">
        <f t="array" ref="V428">IF(--INDEX('Raw Data'!$A$4:K$993,$F428,17)= 1, 1, 0)</f>
        <v>#NUM!</v>
      </c>
      <c r="W428" t="e">
        <f t="array" ref="W428">INDEX('Raw Data'!$A:$O,$F428,19)</f>
        <v>#NUM!</v>
      </c>
      <c r="X428" t="e">
        <f t="array" ref="X428">INDEX('Raw Data'!$A:$O,$F428,20)</f>
        <v>#NUM!</v>
      </c>
      <c r="Y428" t="e">
        <f t="array" ref="Y428">INDEX('Raw Data'!$A:$O,F428,21)</f>
        <v>#NUM!</v>
      </c>
      <c r="Z428" t="e">
        <f t="array" ref="Z428">INDEX('Raw Data'!$A:$O,$F428,3)</f>
        <v>#NUM!</v>
      </c>
      <c r="AA428" t="e">
        <f t="array" ref="AA428">INDEX('Raw Data'!$A:$O,$F428,22)</f>
        <v>#NUM!</v>
      </c>
      <c r="AB428" t="e">
        <f t="array" ref="AB428">INDEX('Raw Data'!$A:$O,$F428,23)</f>
        <v>#NUM!</v>
      </c>
      <c r="AR428" s="25"/>
    </row>
    <row r="429" spans="1:44" x14ac:dyDescent="0.25">
      <c r="A429" t="s">
        <v>35</v>
      </c>
      <c r="B429">
        <f>J439</f>
        <v>0</v>
      </c>
      <c r="F429" t="e">
        <f t="array" ref="F429">SMALL(IF('Raw Data'!A:A=C423,ROW('Raw Data'!A:A)),ROW('Raw Data'!$6:$6))</f>
        <v>#NUM!</v>
      </c>
      <c r="G429" t="e">
        <f t="array" ref="G429">INDEX('Raw Data'!A:A,F429,9)</f>
        <v>#NUM!</v>
      </c>
      <c r="H429" t="e">
        <f t="array" ref="H429">INDEX('Raw Data'!A:A,F429,10)</f>
        <v>#NUM!</v>
      </c>
      <c r="I429" t="e">
        <f t="array" ref="I429">INDEX('Raw Data'!$A:A,$F429,11)</f>
        <v>#NUM!</v>
      </c>
      <c r="J429" t="e">
        <f t="array" ref="J429">INDEX('Raw Data'!$A:A,F429,12)</f>
        <v>#NUM!</v>
      </c>
      <c r="K429" t="e">
        <f>(--INDEX('Raw Data'!$A$4:B$993,F429,4))</f>
        <v>#NUM!</v>
      </c>
      <c r="L429" t="e">
        <f t="array" ref="L429">(--INDEX('Raw Data'!$A$4:B$998,F429,5))</f>
        <v>#NUM!</v>
      </c>
      <c r="M429" t="e">
        <f t="array" ref="M429">(--INDEX('Raw Data'!$A$4:D$998,$F429,6))</f>
        <v>#NUM!</v>
      </c>
      <c r="N429" t="e">
        <f t="array" ref="N429">(--INDEX('Raw Data'!$A$4:D$993,$F429,7))</f>
        <v>#NUM!</v>
      </c>
      <c r="O429" t="e">
        <f t="array" ref="O429">IF(--INDEX('Raw Data'!$A$4:E$993,$F429,8)= 0, 1, 0)</f>
        <v>#NUM!</v>
      </c>
      <c r="P429" t="e">
        <f t="array" ref="P429">IF(--INDEX('Raw Data'!$A$4:F$998,$F429,8)= 1, 1, 0)</f>
        <v>#NUM!</v>
      </c>
      <c r="Q429" t="e">
        <f t="array" ref="Q429">IF(--INDEX('Raw Data'!$A$4:G$998,$F429,13)= 1, 1, 0)</f>
        <v>#NUM!</v>
      </c>
      <c r="R429" t="e">
        <f t="array" ref="R429">IF(--INDEX('Raw Data'!$A$4:H$998,$F429,14)= 1, 1, 0)</f>
        <v>#NUM!</v>
      </c>
      <c r="S429" t="e">
        <f t="array" ref="S429">IF(--INDEX('Raw Data'!$A$4:I$993,$F429,15)= 1, 1, 0)</f>
        <v>#NUM!</v>
      </c>
      <c r="T429" t="e">
        <f t="array" ref="T429">IF(--INDEX('Raw Data'!$A$4:I$998,$F429,15)= 1, 1, 0)</f>
        <v>#NUM!</v>
      </c>
      <c r="U429" t="e">
        <f t="array" ref="U429">IF(--INDEX('Raw Data'!$A$4:J$998,$F429,16)= 1, 1, 0)</f>
        <v>#NUM!</v>
      </c>
      <c r="V429" t="e">
        <f t="array" ref="V429">IF(--INDEX('Raw Data'!$A$4:K$993,$F429,17)= 1, 1, 0)</f>
        <v>#NUM!</v>
      </c>
      <c r="W429" t="e">
        <f t="array" ref="W429">INDEX('Raw Data'!$A:$O,$F429,19)</f>
        <v>#NUM!</v>
      </c>
      <c r="X429" t="e">
        <f t="array" ref="X429">INDEX('Raw Data'!$A:$O,$F429,20)</f>
        <v>#NUM!</v>
      </c>
      <c r="Y429" t="e">
        <f t="array" ref="Y429">INDEX('Raw Data'!$A:$O,F429,21)</f>
        <v>#NUM!</v>
      </c>
      <c r="Z429" t="e">
        <f t="array" ref="Z429">INDEX('Raw Data'!$A:$O,$F429,3)</f>
        <v>#NUM!</v>
      </c>
      <c r="AA429" t="e">
        <f t="array" ref="AA429">INDEX('Raw Data'!$A:$O,$F429,22)</f>
        <v>#NUM!</v>
      </c>
      <c r="AB429" t="e">
        <f t="array" ref="AB429">INDEX('Raw Data'!$A:$O,$F429,23)</f>
        <v>#NUM!</v>
      </c>
      <c r="AR429" s="25"/>
    </row>
    <row r="430" spans="1:44" ht="28.5" x14ac:dyDescent="0.45">
      <c r="F430" t="e">
        <f t="array" ref="F430">SMALL(IF('Raw Data'!A:A=C423,ROW('Raw Data'!A:A)),ROW('Raw Data'!$7:$7))</f>
        <v>#NUM!</v>
      </c>
      <c r="G430" t="e">
        <f t="array" ref="G430">INDEX('Raw Data'!A:A,F430,9)</f>
        <v>#NUM!</v>
      </c>
      <c r="H430" t="e">
        <f t="array" ref="H430">INDEX('Raw Data'!A:A,F430,10)</f>
        <v>#NUM!</v>
      </c>
      <c r="I430" t="e">
        <f t="array" ref="I430">INDEX('Raw Data'!$A:A,$F430,11)</f>
        <v>#NUM!</v>
      </c>
      <c r="J430" t="e">
        <f t="array" ref="J430">INDEX('Raw Data'!$A:A,F430,12)</f>
        <v>#NUM!</v>
      </c>
      <c r="K430" t="e">
        <f t="array" ref="K430">(--INDEX('Raw Data'!$A$4:B$998,F430,4))</f>
        <v>#NUM!</v>
      </c>
      <c r="L430" t="e">
        <f t="array" ref="L430">(--INDEX('Raw Data'!$A$4:B$998,F430,5))</f>
        <v>#NUM!</v>
      </c>
      <c r="M430" t="e">
        <f t="array" ref="M430">(--INDEX('Raw Data'!$A$4:D$998,$F430,6))</f>
        <v>#NUM!</v>
      </c>
      <c r="N430" t="e">
        <f t="array" ref="N430">(--INDEX('Raw Data'!$A$4:D$998,$F430,7))</f>
        <v>#NUM!</v>
      </c>
      <c r="O430" t="e">
        <f t="array" ref="O430">IF(--INDEX('Raw Data'!$A$4:E$998,$F430,8)= 0, 1, 0)</f>
        <v>#NUM!</v>
      </c>
      <c r="P430" t="e">
        <f t="array" ref="P430">IF(--INDEX('Raw Data'!$A$4:F$998,$F430,8)= 1, 1, 0)</f>
        <v>#NUM!</v>
      </c>
      <c r="Q430" t="e">
        <f t="array" ref="Q430">IF(--INDEX('Raw Data'!$A$4:G$998,$F430,13)= 1, 1, 0)</f>
        <v>#NUM!</v>
      </c>
      <c r="R430" t="e">
        <f t="array" ref="R430">IF(--INDEX('Raw Data'!$A$4:H$998,$F430,14)= 1, 1, 0)</f>
        <v>#NUM!</v>
      </c>
      <c r="S430" t="e">
        <f t="array" ref="S430">IF(--INDEX('Raw Data'!$A$4:I$998,$F430,15)= 1, 1, 0)</f>
        <v>#NUM!</v>
      </c>
      <c r="T430" t="e">
        <f t="array" ref="T430">IF(--INDEX('Raw Data'!$A$4:I$998,$F430,15)= 1, 1, 0)</f>
        <v>#NUM!</v>
      </c>
      <c r="U430" t="e">
        <f t="array" ref="U430">IF(--INDEX('Raw Data'!$A$4:J$998,$F430,16)= 1, 1, 0)</f>
        <v>#NUM!</v>
      </c>
      <c r="V430" t="e">
        <f t="array" ref="V430">IF(--INDEX('Raw Data'!$A$4:K$998,$F430,17)= 1, 1, 0)</f>
        <v>#NUM!</v>
      </c>
      <c r="W430" t="e">
        <f t="array" ref="W430">INDEX('Raw Data'!$A:$O,$F430,19)</f>
        <v>#NUM!</v>
      </c>
      <c r="X430" t="e">
        <f t="array" ref="X430">INDEX('Raw Data'!$A:$O,$F430,20)</f>
        <v>#NUM!</v>
      </c>
      <c r="Y430" t="e">
        <f t="array" ref="Y430">INDEX('Raw Data'!$A:$O,F430,21)</f>
        <v>#NUM!</v>
      </c>
      <c r="Z430" t="e">
        <f t="array" ref="Z430">INDEX('Raw Data'!$A:$O,$F430,3)</f>
        <v>#NUM!</v>
      </c>
      <c r="AA430" t="e">
        <f t="array" ref="AA430">INDEX('Raw Data'!$A:$O,$F430,22)</f>
        <v>#NUM!</v>
      </c>
      <c r="AB430" t="e">
        <f t="array" ref="AB430">INDEX('Raw Data'!$A:$O,$F430,23)</f>
        <v>#NUM!</v>
      </c>
      <c r="AM430" s="21"/>
    </row>
    <row r="431" spans="1:44" x14ac:dyDescent="0.25">
      <c r="F431" t="e">
        <f t="array" ref="F431">SMALL(IF('Raw Data'!A:A=C423,ROW('Raw Data'!A:A)),ROW('Raw Data'!$8:$8))</f>
        <v>#NUM!</v>
      </c>
      <c r="G431" t="e">
        <f t="array" ref="G431">INDEX('Raw Data'!A:A,F431,9)</f>
        <v>#NUM!</v>
      </c>
      <c r="H431" t="e">
        <f t="array" ref="H431">INDEX('Raw Data'!A:A,F431,10)</f>
        <v>#NUM!</v>
      </c>
      <c r="I431" t="e">
        <f t="array" ref="I431">INDEX('Raw Data'!$A:A,$F431,11)</f>
        <v>#NUM!</v>
      </c>
      <c r="J431" t="e">
        <f t="array" ref="J431">INDEX('Raw Data'!$A:A,F431,12)</f>
        <v>#NUM!</v>
      </c>
      <c r="K431" t="e">
        <f t="array" ref="K431">(--INDEX('Raw Data'!$A$4:B$998,F431,4))</f>
        <v>#NUM!</v>
      </c>
      <c r="L431" t="e">
        <f t="array" ref="L431">(--INDEX('Raw Data'!$A$4:B$998,F431,5))</f>
        <v>#NUM!</v>
      </c>
      <c r="M431" t="e">
        <f t="array" ref="M431">(--INDEX('Raw Data'!$A$4:D$998,$F431,6))</f>
        <v>#NUM!</v>
      </c>
      <c r="N431" t="e">
        <f t="array" ref="N431">(--INDEX('Raw Data'!$A$4:D$998,$F431,7))</f>
        <v>#NUM!</v>
      </c>
      <c r="O431" t="e">
        <f t="array" ref="O431">IF(--INDEX('Raw Data'!$A$4:E$998,$F431,8)= 0, 1, 0)</f>
        <v>#NUM!</v>
      </c>
      <c r="P431" t="e">
        <f t="array" ref="P431">IF(--INDEX('Raw Data'!$A$4:F$998,$F431,8)= 1, 1, 0)</f>
        <v>#NUM!</v>
      </c>
      <c r="Q431" t="e">
        <f t="array" ref="Q431">IF(--INDEX('Raw Data'!$A$4:G$998,$F431,13)= 1, 1, 0)</f>
        <v>#NUM!</v>
      </c>
      <c r="R431" t="e">
        <f t="array" ref="R431">IF(--INDEX('Raw Data'!$A$4:H$998,$F431,14)= 1, 1, 0)</f>
        <v>#NUM!</v>
      </c>
      <c r="S431" t="e">
        <f t="array" ref="S431">IF(--INDEX('Raw Data'!$A$4:I$998,$F431,15)= 1, 1, 0)</f>
        <v>#NUM!</v>
      </c>
      <c r="T431" t="e">
        <f t="array" ref="T431">IF(--INDEX('Raw Data'!$A$4:I$998,$F431,15)= 1, 1, 0)</f>
        <v>#NUM!</v>
      </c>
      <c r="U431" t="e">
        <f t="array" ref="U431">IF(--INDEX('Raw Data'!$A$4:J$998,$F431,16)= 1, 1, 0)</f>
        <v>#NUM!</v>
      </c>
      <c r="V431" t="e">
        <f t="array" ref="V431">IF(--INDEX('Raw Data'!$A$4:K$998,$F431,17)= 1, 1, 0)</f>
        <v>#NUM!</v>
      </c>
      <c r="W431" t="e">
        <f t="array" ref="W431">INDEX('Raw Data'!$A:$O,$F431,19)</f>
        <v>#NUM!</v>
      </c>
      <c r="X431" t="e">
        <f t="array" ref="X431">INDEX('Raw Data'!$A:$O,$F431,20)</f>
        <v>#NUM!</v>
      </c>
      <c r="Y431" t="e">
        <f t="array" ref="Y431">INDEX('Raw Data'!$A:$O,F431,21)</f>
        <v>#NUM!</v>
      </c>
      <c r="Z431" t="e">
        <f t="array" ref="Z431">INDEX('Raw Data'!$A:$O,$F431,3)</f>
        <v>#NUM!</v>
      </c>
      <c r="AA431" t="e">
        <f t="array" ref="AA431">INDEX('Raw Data'!$A:$O,$F431,22)</f>
        <v>#NUM!</v>
      </c>
      <c r="AB431" t="e">
        <f t="array" ref="AB431">INDEX('Raw Data'!$A:$O,$F431,23)</f>
        <v>#NUM!</v>
      </c>
    </row>
    <row r="432" spans="1:44" x14ac:dyDescent="0.25">
      <c r="F432" t="e">
        <f t="array" ref="F432">SMALL(IF('Raw Data'!A:A=C423,ROW('Raw Data'!A:A)),ROW('Raw Data'!$9:$9))</f>
        <v>#NUM!</v>
      </c>
      <c r="G432" t="e">
        <f t="array" ref="G432">INDEX('Raw Data'!A:A,F432,9)</f>
        <v>#NUM!</v>
      </c>
      <c r="H432" t="e">
        <f t="array" ref="H432">INDEX('Raw Data'!A:A,F432,10)</f>
        <v>#NUM!</v>
      </c>
      <c r="I432" t="e">
        <f t="array" ref="I432">INDEX('Raw Data'!$A:A,$F432,11)</f>
        <v>#NUM!</v>
      </c>
      <c r="J432" t="e">
        <f t="array" ref="J432">INDEX('Raw Data'!$A:A,F432,12)</f>
        <v>#NUM!</v>
      </c>
      <c r="K432" t="e">
        <f t="array" ref="K432">(--INDEX('Raw Data'!$A$4:B$998,F432,4))</f>
        <v>#NUM!</v>
      </c>
      <c r="L432" t="e">
        <f t="array" ref="L432">(--INDEX('Raw Data'!$A$4:B$998,F432,5))</f>
        <v>#NUM!</v>
      </c>
      <c r="M432" t="e">
        <f t="array" ref="M432">(--INDEX('Raw Data'!$A$4:D$998,$F432,6))</f>
        <v>#NUM!</v>
      </c>
      <c r="N432" t="e">
        <f t="array" ref="N432">(--INDEX('Raw Data'!$A$4:D$998,$F432,7))</f>
        <v>#NUM!</v>
      </c>
      <c r="O432" t="e">
        <f t="array" ref="O432">IF(--INDEX('Raw Data'!$A$4:E$998,$F432,8)= 0, 1, 0)</f>
        <v>#NUM!</v>
      </c>
      <c r="P432" t="e">
        <f t="array" ref="P432">IF(--INDEX('Raw Data'!$A$4:F$998,$F432,8)= 1, 1, 0)</f>
        <v>#NUM!</v>
      </c>
      <c r="Q432" t="e">
        <f t="array" ref="Q432">IF(--INDEX('Raw Data'!$A$4:G$998,$F432,13)= 1, 1, 0)</f>
        <v>#NUM!</v>
      </c>
      <c r="R432" t="e">
        <f t="array" ref="R432">IF(--INDEX('Raw Data'!$A$4:H$998,$F432,14)= 1, 1, 0)</f>
        <v>#NUM!</v>
      </c>
      <c r="S432" t="e">
        <f t="array" ref="S432">IF(--INDEX('Raw Data'!$A$4:I$998,$F432,15)= 1, 1, 0)</f>
        <v>#NUM!</v>
      </c>
      <c r="T432" t="e">
        <f t="array" ref="T432">IF(--INDEX('Raw Data'!$A$4:I$998,$F432,15)= 1, 1, 0)</f>
        <v>#NUM!</v>
      </c>
      <c r="U432" t="e">
        <f t="array" ref="U432">IF(--INDEX('Raw Data'!$A$4:J$998,$F432,16)= 1, 1, 0)</f>
        <v>#NUM!</v>
      </c>
      <c r="V432" t="e">
        <f t="array" ref="V432">IF(--INDEX('Raw Data'!$A$4:K$998,$F432,17)= 1, 1, 0)</f>
        <v>#NUM!</v>
      </c>
      <c r="W432" t="e">
        <f t="array" ref="W432">INDEX('Raw Data'!$A:$O,$F432,19)</f>
        <v>#NUM!</v>
      </c>
      <c r="X432" t="e">
        <f t="array" ref="X432">INDEX('Raw Data'!$A:$O,$F432,20)</f>
        <v>#NUM!</v>
      </c>
      <c r="Y432" t="e">
        <f t="array" ref="Y432">INDEX('Raw Data'!$A:$O,F432,21)</f>
        <v>#NUM!</v>
      </c>
      <c r="Z432" t="e">
        <f t="array" ref="Z432">INDEX('Raw Data'!$A:$O,$F432,3)</f>
        <v>#NUM!</v>
      </c>
      <c r="AA432" t="e">
        <f t="array" ref="AA432">INDEX('Raw Data'!$A:$O,$F432,22)</f>
        <v>#NUM!</v>
      </c>
      <c r="AB432" t="e">
        <f t="array" ref="AB432">INDEX('Raw Data'!$A:$O,$F432,23)</f>
        <v>#NUM!</v>
      </c>
    </row>
    <row r="433" spans="1:44" x14ac:dyDescent="0.25">
      <c r="F433" t="e">
        <f t="array" ref="F433">SMALL(IF('Raw Data'!A:A=C423,ROW('Raw Data'!A:A)),ROW('Raw Data'!$10:$10))</f>
        <v>#NUM!</v>
      </c>
      <c r="G433" t="e">
        <f t="array" ref="G433">INDEX('Raw Data'!A:A,F433,9)</f>
        <v>#NUM!</v>
      </c>
      <c r="H433" t="e">
        <f t="array" ref="H433">INDEX('Raw Data'!A:A,F433,10)</f>
        <v>#NUM!</v>
      </c>
      <c r="I433" t="e">
        <f t="array" ref="I433">INDEX('Raw Data'!$A:A,$F433,11)</f>
        <v>#NUM!</v>
      </c>
      <c r="J433" t="e">
        <f t="array" ref="J433">INDEX('Raw Data'!$A:A,F433,12)</f>
        <v>#NUM!</v>
      </c>
      <c r="K433" t="e">
        <f t="array" ref="K433">(--INDEX('Raw Data'!$A$4:B$998,F433,4))</f>
        <v>#NUM!</v>
      </c>
      <c r="L433" t="e">
        <f t="array" ref="L433">(--INDEX('Raw Data'!$A$4:B$998,F433,5))</f>
        <v>#NUM!</v>
      </c>
      <c r="M433" t="e">
        <f t="array" ref="M433">(--INDEX('Raw Data'!$A$4:D$998,$F433,6))</f>
        <v>#NUM!</v>
      </c>
      <c r="N433" t="e">
        <f t="array" ref="N433">(--INDEX('Raw Data'!$A$4:D$998,$F433,7))</f>
        <v>#NUM!</v>
      </c>
      <c r="O433" t="e">
        <f t="array" ref="O433">IF(--INDEX('Raw Data'!$A$4:E$998,$F433,8)= 0, 1, 0)</f>
        <v>#NUM!</v>
      </c>
      <c r="P433" t="e">
        <f t="array" ref="P433">IF(--INDEX('Raw Data'!$A$4:F$998,$F433,8)= 1, 1, 0)</f>
        <v>#NUM!</v>
      </c>
      <c r="Q433" t="e">
        <f t="array" ref="Q433">IF(--INDEX('Raw Data'!$A$4:G$998,$F433,13)= 1, 1, 0)</f>
        <v>#NUM!</v>
      </c>
      <c r="R433" t="e">
        <f t="array" ref="R433">IF(--INDEX('Raw Data'!$A$4:H$998,$F433,14)= 1, 1, 0)</f>
        <v>#NUM!</v>
      </c>
      <c r="S433" t="e">
        <f t="array" ref="S433">IF(--INDEX('Raw Data'!$A$4:I$998,$F433,15)= 1, 1, 0)</f>
        <v>#NUM!</v>
      </c>
      <c r="T433" t="e">
        <f t="array" ref="T433">IF(--INDEX('Raw Data'!$A$4:I$998,$F433,15)= 1, 1, 0)</f>
        <v>#NUM!</v>
      </c>
      <c r="U433" t="e">
        <f t="array" ref="U433">IF(--INDEX('Raw Data'!$A$4:J$998,$F433,16)= 1, 1, 0)</f>
        <v>#NUM!</v>
      </c>
      <c r="V433" t="e">
        <f t="array" ref="V433">IF(--INDEX('Raw Data'!$A$4:K$998,$F433,17)= 1, 1, 0)</f>
        <v>#NUM!</v>
      </c>
      <c r="W433" t="e">
        <f t="array" ref="W433">INDEX('Raw Data'!$A:$O,$F433,19)</f>
        <v>#NUM!</v>
      </c>
      <c r="X433" t="e">
        <f t="array" ref="X433">INDEX('Raw Data'!$A:$O,$F433,20)</f>
        <v>#NUM!</v>
      </c>
      <c r="Y433" t="e">
        <f t="array" ref="Y433">INDEX('Raw Data'!$A:$O,F433,21)</f>
        <v>#NUM!</v>
      </c>
      <c r="Z433" t="e">
        <f t="array" ref="Z433">INDEX('Raw Data'!$A:$O,$F433,3)</f>
        <v>#NUM!</v>
      </c>
      <c r="AA433" t="e">
        <f t="array" ref="AA433">INDEX('Raw Data'!$A:$O,$F433,22)</f>
        <v>#NUM!</v>
      </c>
      <c r="AB433" t="e">
        <f t="array" ref="AB433">INDEX('Raw Data'!$A:$O,$F433,23)</f>
        <v>#NUM!</v>
      </c>
    </row>
    <row r="434" spans="1:44" x14ac:dyDescent="0.25">
      <c r="F434" t="e">
        <f t="array" ref="F434">SMALL(IF('Raw Data'!A:A=C423,ROW('Raw Data'!A:A)),ROW('Raw Data'!$11:$11))</f>
        <v>#NUM!</v>
      </c>
      <c r="G434" t="e">
        <f t="array" ref="G434">INDEX('Raw Data'!A:A,F434,9)</f>
        <v>#NUM!</v>
      </c>
      <c r="H434" t="e">
        <f t="array" ref="H434">INDEX('Raw Data'!A:A,F434,10)</f>
        <v>#NUM!</v>
      </c>
      <c r="I434" t="e">
        <f t="array" ref="I434">INDEX('Raw Data'!$A:A,$F434,11)</f>
        <v>#NUM!</v>
      </c>
      <c r="J434" t="e">
        <f t="array" ref="J434">INDEX('Raw Data'!$A:A,F434,12)</f>
        <v>#NUM!</v>
      </c>
      <c r="K434" t="e">
        <f t="array" ref="K434">(--INDEX('Raw Data'!$A$4:B$998,F434,4))</f>
        <v>#NUM!</v>
      </c>
      <c r="L434" t="e">
        <f t="array" ref="L434">(--INDEX('Raw Data'!$A$4:B$998,F434,5))</f>
        <v>#NUM!</v>
      </c>
      <c r="M434" t="e">
        <f t="array" ref="M434">(--INDEX('Raw Data'!$A$4:D$998,$F434,6))</f>
        <v>#NUM!</v>
      </c>
      <c r="N434" t="e">
        <f t="array" ref="N434">(--INDEX('Raw Data'!$A$4:D$998,$F434,7))</f>
        <v>#NUM!</v>
      </c>
      <c r="O434" t="e">
        <f t="array" ref="O434">IF(--INDEX('Raw Data'!$A$4:E$998,$F434,8)= 0, 1, 0)</f>
        <v>#NUM!</v>
      </c>
      <c r="P434" t="e">
        <f t="array" ref="P434">IF(--INDEX('Raw Data'!$A$4:F$998,$F434,8)= 1, 1, 0)</f>
        <v>#NUM!</v>
      </c>
      <c r="Q434" t="e">
        <f t="array" ref="Q434">IF(--INDEX('Raw Data'!$A$4:G$998,$F434,13)= 1, 1, 0)</f>
        <v>#NUM!</v>
      </c>
      <c r="R434" t="e">
        <f t="array" ref="R434">IF(--INDEX('Raw Data'!$A$4:H$998,$F434,14)= 1, 1, 0)</f>
        <v>#NUM!</v>
      </c>
      <c r="S434" t="e">
        <f t="array" ref="S434">IF(--INDEX('Raw Data'!$A$4:I$998,$F434,15)= 1, 1, 0)</f>
        <v>#NUM!</v>
      </c>
      <c r="T434" t="e">
        <f t="array" ref="T434">IF(--INDEX('Raw Data'!$A$4:I$998,$F434,15)= 1, 1, 0)</f>
        <v>#NUM!</v>
      </c>
      <c r="U434" t="e">
        <f t="array" ref="U434">IF(--INDEX('Raw Data'!$A$4:J$998,$F434,16)= 1, 1, 0)</f>
        <v>#NUM!</v>
      </c>
      <c r="V434" t="e">
        <f t="array" ref="V434">IF(--INDEX('Raw Data'!$A$4:K$998,$F434,17)= 1, 1, 0)</f>
        <v>#NUM!</v>
      </c>
      <c r="W434" t="e">
        <f t="array" ref="W434">INDEX('Raw Data'!$A:$O,$F434,19)</f>
        <v>#NUM!</v>
      </c>
      <c r="X434" t="e">
        <f t="array" ref="X434">INDEX('Raw Data'!$A:$O,$F434,20)</f>
        <v>#NUM!</v>
      </c>
      <c r="Y434" t="e">
        <f t="array" ref="Y434">INDEX('Raw Data'!$A:$O,F434,21)</f>
        <v>#NUM!</v>
      </c>
      <c r="Z434" t="e">
        <f t="array" ref="Z434">INDEX('Raw Data'!$A:$O,$F434,3)</f>
        <v>#NUM!</v>
      </c>
      <c r="AA434" t="e">
        <f t="array" ref="AA434">INDEX('Raw Data'!$A:$O,$F434,22)</f>
        <v>#NUM!</v>
      </c>
      <c r="AB434" t="e">
        <f t="array" ref="AB434">INDEX('Raw Data'!$A:$O,$F434,23)</f>
        <v>#NUM!</v>
      </c>
    </row>
    <row r="435" spans="1:44" x14ac:dyDescent="0.25">
      <c r="F435" t="e">
        <f t="array" ref="F435">SMALL(IF('Raw Data'!A:A=C423,ROW('Raw Data'!A:A)),ROW('Raw Data'!$12:$12))</f>
        <v>#NUM!</v>
      </c>
      <c r="G435" t="e">
        <f t="array" ref="G435">INDEX('Raw Data'!A:A,F435,9)</f>
        <v>#NUM!</v>
      </c>
      <c r="H435" t="e">
        <f t="array" ref="H435">INDEX('Raw Data'!A:A,F435,10)</f>
        <v>#NUM!</v>
      </c>
      <c r="I435" t="e">
        <f t="array" ref="I435">INDEX('Raw Data'!$A:A,$F435,11)</f>
        <v>#NUM!</v>
      </c>
      <c r="J435" t="e">
        <f t="array" ref="J435">INDEX('Raw Data'!$A:A,F435,12)</f>
        <v>#NUM!</v>
      </c>
      <c r="K435" t="e">
        <f t="array" ref="K435">(--INDEX('Raw Data'!$A$4:B$998,F435,4))</f>
        <v>#NUM!</v>
      </c>
      <c r="L435" t="e">
        <f t="array" ref="L435">(--INDEX('Raw Data'!$A$4:B$998,F435,5))</f>
        <v>#NUM!</v>
      </c>
      <c r="M435" t="e">
        <f t="array" ref="M435">(--INDEX('Raw Data'!$A$4:D$998,$F435,6))</f>
        <v>#NUM!</v>
      </c>
      <c r="N435" t="e">
        <f t="array" ref="N435">(--INDEX('Raw Data'!$A$4:D$998,$F435,7))</f>
        <v>#NUM!</v>
      </c>
      <c r="O435" t="e">
        <f t="array" ref="O435">IF(--INDEX('Raw Data'!$A$4:E$998,$F435,8)= 0, 1, 0)</f>
        <v>#NUM!</v>
      </c>
      <c r="P435" t="e">
        <f t="array" ref="P435">IF(--INDEX('Raw Data'!$A$4:F$998,$F435,8)= 1, 1, 0)</f>
        <v>#NUM!</v>
      </c>
      <c r="Q435" t="e">
        <f t="array" ref="Q435">IF(--INDEX('Raw Data'!$A$4:G$998,$F435,13)= 1, 1, 0)</f>
        <v>#NUM!</v>
      </c>
      <c r="R435" t="e">
        <f t="array" ref="R435">IF(--INDEX('Raw Data'!$A$4:H$998,$F435,14)= 1, 1, 0)</f>
        <v>#NUM!</v>
      </c>
      <c r="S435" t="e">
        <f t="array" ref="S435">IF(--INDEX('Raw Data'!$A$4:I$998,$F435,15)= 1, 1, 0)</f>
        <v>#NUM!</v>
      </c>
      <c r="T435" t="e">
        <f t="array" ref="T435">IF(--INDEX('Raw Data'!$A$4:I$998,$F435,15)= 1, 1, 0)</f>
        <v>#NUM!</v>
      </c>
      <c r="U435" t="e">
        <f t="array" ref="U435">IF(--INDEX('Raw Data'!$A$4:J$998,$F435,16)= 1, 1, 0)</f>
        <v>#NUM!</v>
      </c>
      <c r="V435" t="e">
        <f t="array" ref="V435">IF(--INDEX('Raw Data'!$A$4:K$998,$F435,17)= 1, 1, 0)</f>
        <v>#NUM!</v>
      </c>
      <c r="W435" t="e">
        <f t="array" ref="W435">INDEX('Raw Data'!$A:$O,$F435,19)</f>
        <v>#NUM!</v>
      </c>
      <c r="X435" t="e">
        <f t="array" ref="X435">INDEX('Raw Data'!$A:$O,$F435,20)</f>
        <v>#NUM!</v>
      </c>
      <c r="Y435" t="e">
        <f t="array" ref="Y435">INDEX('Raw Data'!$A:$O,F435,21)</f>
        <v>#NUM!</v>
      </c>
      <c r="Z435" t="e">
        <f t="array" ref="Z435">INDEX('Raw Data'!$A:$O,$F435,3)</f>
        <v>#NUM!</v>
      </c>
      <c r="AA435" t="e">
        <f t="array" ref="AA435">INDEX('Raw Data'!$A:$O,$F435,22)</f>
        <v>#NUM!</v>
      </c>
      <c r="AB435" t="e">
        <f t="array" ref="AB435">INDEX('Raw Data'!$A:$O,$F435,23)</f>
        <v>#NUM!</v>
      </c>
    </row>
    <row r="436" spans="1:44" x14ac:dyDescent="0.25">
      <c r="F436" t="e">
        <f t="array" ref="F436">SMALL(IF('Raw Data'!A:A=C423,ROW('Raw Data'!A:A)),ROW('Raw Data'!$13:$13))</f>
        <v>#NUM!</v>
      </c>
      <c r="G436" t="e">
        <f t="array" ref="G436">INDEX('Raw Data'!A:A,F436,9)</f>
        <v>#NUM!</v>
      </c>
      <c r="H436" t="e">
        <f t="array" ref="H436">INDEX('Raw Data'!A:A,F436,10)</f>
        <v>#NUM!</v>
      </c>
      <c r="I436" t="e">
        <f t="array" ref="I436">INDEX('Raw Data'!$A:A,$F436,11)</f>
        <v>#NUM!</v>
      </c>
      <c r="J436" t="e">
        <f t="array" ref="J436">INDEX('Raw Data'!$A:A,F436,12)</f>
        <v>#NUM!</v>
      </c>
      <c r="K436" t="e">
        <f t="array" ref="K436">(--INDEX('Raw Data'!$A$4:B$998,F436,4))</f>
        <v>#NUM!</v>
      </c>
      <c r="L436" t="e">
        <f t="array" ref="L436">(--INDEX('Raw Data'!$A$4:B$998,F436,5))</f>
        <v>#NUM!</v>
      </c>
      <c r="M436" t="e">
        <f t="array" ref="M436">(--INDEX('Raw Data'!$A$4:D$998,$F436,6))</f>
        <v>#NUM!</v>
      </c>
      <c r="N436" t="e">
        <f t="array" ref="N436">(--INDEX('Raw Data'!$A$4:D$998,$F436,7))</f>
        <v>#NUM!</v>
      </c>
      <c r="O436" t="e">
        <f t="array" ref="O436">IF(--INDEX('Raw Data'!$A$4:E$998,$F436,8)= 0, 1, 0)</f>
        <v>#NUM!</v>
      </c>
      <c r="P436" t="e">
        <f t="array" ref="P436">IF(--INDEX('Raw Data'!$A$4:F$998,$F436,8)= 1, 1, 0)</f>
        <v>#NUM!</v>
      </c>
      <c r="Q436" t="e">
        <f t="array" ref="Q436">IF(--INDEX('Raw Data'!$A$4:G$998,$F436,13)= 1, 1, 0)</f>
        <v>#NUM!</v>
      </c>
      <c r="R436" t="e">
        <f t="array" ref="R436">IF(--INDEX('Raw Data'!$A$4:H$998,$F436,14)= 1, 1, 0)</f>
        <v>#NUM!</v>
      </c>
      <c r="S436" t="e">
        <f t="array" ref="S436">IF(--INDEX('Raw Data'!$A$4:I$998,$F436,15)= 1, 1, 0)</f>
        <v>#NUM!</v>
      </c>
      <c r="T436" t="e">
        <f t="array" ref="T436">IF(--INDEX('Raw Data'!$A$4:I$998,$F436,15)= 1, 1, 0)</f>
        <v>#NUM!</v>
      </c>
      <c r="U436" t="e">
        <f t="array" ref="U436">IF(--INDEX('Raw Data'!$A$4:J$998,$F436,16)= 1, 1, 0)</f>
        <v>#NUM!</v>
      </c>
      <c r="V436" t="e">
        <f t="array" ref="V436">IF(--INDEX('Raw Data'!$A$4:K$998,$F436,17)= 1, 1, 0)</f>
        <v>#NUM!</v>
      </c>
      <c r="W436" t="e">
        <f t="array" ref="W436">INDEX('Raw Data'!$A:$O,$F436,19)</f>
        <v>#NUM!</v>
      </c>
      <c r="X436" t="e">
        <f t="array" ref="X436">INDEX('Raw Data'!$A:$O,$F436,20)</f>
        <v>#NUM!</v>
      </c>
      <c r="Y436" t="e">
        <f t="array" ref="Y436">INDEX('Raw Data'!$A:$O,F436,21)</f>
        <v>#NUM!</v>
      </c>
      <c r="Z436" t="e">
        <f t="array" ref="Z436">INDEX('Raw Data'!$A:$O,$F436,3)</f>
        <v>#NUM!</v>
      </c>
      <c r="AA436" t="e">
        <f t="array" ref="AA436">INDEX('Raw Data'!$A:$O,$F436,22)</f>
        <v>#NUM!</v>
      </c>
      <c r="AB436" t="e">
        <f t="array" ref="AB436">INDEX('Raw Data'!$A:$O,$F436,23)</f>
        <v>#NUM!</v>
      </c>
    </row>
    <row r="437" spans="1:44" x14ac:dyDescent="0.25">
      <c r="F437" t="e">
        <f t="array" ref="F437">SMALL(IF('Raw Data'!A:A=C423,ROW('Raw Data'!A:A)),ROW('Raw Data'!$14:$14))</f>
        <v>#NUM!</v>
      </c>
      <c r="G437" t="e">
        <f t="array" ref="G437">INDEX('Raw Data'!A:A,F437,9)</f>
        <v>#NUM!</v>
      </c>
      <c r="H437" t="e">
        <f t="array" ref="H437">INDEX('Raw Data'!A:A,F437,10)</f>
        <v>#NUM!</v>
      </c>
      <c r="I437" t="e">
        <f t="array" ref="I437">INDEX('Raw Data'!$A:A,$F437,11)</f>
        <v>#NUM!</v>
      </c>
      <c r="J437" t="e">
        <f t="array" ref="J437">INDEX('Raw Data'!$A:A,F437,12)</f>
        <v>#NUM!</v>
      </c>
      <c r="K437" t="e">
        <f t="array" ref="K437">(--INDEX('Raw Data'!$A$4:B$998,F437,4))</f>
        <v>#NUM!</v>
      </c>
      <c r="L437" t="e">
        <f t="array" ref="L437">(--INDEX('Raw Data'!$A$4:B$998,F437,5))</f>
        <v>#NUM!</v>
      </c>
      <c r="M437" t="e">
        <f t="array" ref="M437">(--INDEX('Raw Data'!$A$4:D$998,$F437,6))</f>
        <v>#NUM!</v>
      </c>
      <c r="N437" t="e">
        <f t="array" ref="N437">(--INDEX('Raw Data'!$A$4:D$998,$F437,7))</f>
        <v>#NUM!</v>
      </c>
      <c r="O437" t="e">
        <f t="array" ref="O437">IF(--INDEX('Raw Data'!$A$4:E$998,$F437,8)= 0, 1, 0)</f>
        <v>#NUM!</v>
      </c>
      <c r="P437" t="e">
        <f t="array" ref="P437">IF(--INDEX('Raw Data'!$A$4:F$998,$F437,8)= 1, 1, 0)</f>
        <v>#NUM!</v>
      </c>
      <c r="Q437" t="e">
        <f t="array" ref="Q437">IF(--INDEX('Raw Data'!$A$4:G$998,$F437,13)= 1, 1, 0)</f>
        <v>#NUM!</v>
      </c>
      <c r="R437" t="e">
        <f t="array" ref="R437">IF(--INDEX('Raw Data'!$A$4:H$998,$F437,14)= 1, 1, 0)</f>
        <v>#NUM!</v>
      </c>
      <c r="S437" t="e">
        <f t="array" ref="S437">IF(--INDEX('Raw Data'!$A$4:I$998,$F437,15)= 1, 1, 0)</f>
        <v>#NUM!</v>
      </c>
      <c r="T437" t="e">
        <f t="array" ref="T437">IF(--INDEX('Raw Data'!$A$4:I$998,$F437,15)= 1, 1, 0)</f>
        <v>#NUM!</v>
      </c>
      <c r="U437" t="e">
        <f t="array" ref="U437">IF(--INDEX('Raw Data'!$A$4:J$998,$F437,16)= 1, 1, 0)</f>
        <v>#NUM!</v>
      </c>
      <c r="V437" t="e">
        <f t="array" ref="V437">IF(--INDEX('Raw Data'!$A$4:K$998,$F437,17)= 1, 1, 0)</f>
        <v>#NUM!</v>
      </c>
      <c r="W437" t="e">
        <f t="array" ref="W437">INDEX('Raw Data'!$A:$O,$F437,19)</f>
        <v>#NUM!</v>
      </c>
      <c r="X437" t="e">
        <f t="array" ref="X437">INDEX('Raw Data'!$A:$O,$F437,20)</f>
        <v>#NUM!</v>
      </c>
      <c r="Y437" t="e">
        <f t="array" ref="Y437">INDEX('Raw Data'!$A:$O,F437,21)</f>
        <v>#NUM!</v>
      </c>
      <c r="Z437" t="e">
        <f t="array" ref="Z437">INDEX('Raw Data'!$A:$O,$F437,3)</f>
        <v>#NUM!</v>
      </c>
      <c r="AA437" t="e">
        <f t="array" ref="AA437">INDEX('Raw Data'!$A:$O,$F437,22)</f>
        <v>#NUM!</v>
      </c>
      <c r="AB437" t="e">
        <f t="array" ref="AB437">INDEX('Raw Data'!$A:$O,$F437,23)</f>
        <v>#NUM!</v>
      </c>
    </row>
    <row r="438" spans="1:44" x14ac:dyDescent="0.25">
      <c r="F438" t="e">
        <f t="array" ref="F438">SMALL(IF('Raw Data'!A:A=C423,ROW('Raw Data'!A:A)),ROW('Raw Data'!$15:$15))</f>
        <v>#NUM!</v>
      </c>
      <c r="G438" t="e">
        <f t="array" ref="G438">INDEX('Raw Data'!A:A,F438,9)</f>
        <v>#NUM!</v>
      </c>
      <c r="H438" t="e">
        <f t="array" ref="H438">INDEX('Raw Data'!A:A,F438,10)</f>
        <v>#NUM!</v>
      </c>
      <c r="I438" t="e">
        <f t="array" ref="I438">INDEX('Raw Data'!$A:A,$F438,11)</f>
        <v>#NUM!</v>
      </c>
      <c r="J438" t="e">
        <f t="array" ref="J438">INDEX('Raw Data'!$A:A,F438,12)</f>
        <v>#NUM!</v>
      </c>
      <c r="K438" t="e">
        <f t="array" ref="K438">(--INDEX('Raw Data'!$A$4:B$998,F438,4))</f>
        <v>#NUM!</v>
      </c>
      <c r="L438" t="e">
        <f t="array" ref="L438">(--INDEX('Raw Data'!$A$4:B$998,F438,5))</f>
        <v>#NUM!</v>
      </c>
      <c r="M438" t="e">
        <f t="array" ref="M438">(--INDEX('Raw Data'!$A$4:D$998,$F438,6))</f>
        <v>#NUM!</v>
      </c>
      <c r="N438" t="e">
        <f t="array" ref="N438">(--INDEX('Raw Data'!$A$4:D$998,$F438,7))</f>
        <v>#NUM!</v>
      </c>
      <c r="O438" t="e">
        <f t="array" ref="O438">IF(--INDEX('Raw Data'!$A$4:E$998,$F438,8)= 0, 1, 0)</f>
        <v>#NUM!</v>
      </c>
      <c r="P438" t="e">
        <f t="array" ref="P438">IF(--INDEX('Raw Data'!$A$4:F$998,$F438,8)= 1, 1, 0)</f>
        <v>#NUM!</v>
      </c>
      <c r="Q438" t="e">
        <f t="array" ref="Q438">IF(--INDEX('Raw Data'!$A$4:G$998,$F438,13)= 1, 1, 0)</f>
        <v>#NUM!</v>
      </c>
      <c r="R438" t="e">
        <f t="array" ref="R438">IF(--INDEX('Raw Data'!$A$4:H$998,$F438,14)= 1, 1, 0)</f>
        <v>#NUM!</v>
      </c>
      <c r="S438" t="e">
        <f t="array" ref="S438">IF(--INDEX('Raw Data'!$A$4:I$998,$F438,15)= 1, 1, 0)</f>
        <v>#NUM!</v>
      </c>
      <c r="T438" t="e">
        <f t="array" ref="T438">IF(--INDEX('Raw Data'!$A$4:I$998,$F438,15)= 1, 1, 0)</f>
        <v>#NUM!</v>
      </c>
      <c r="U438" t="e">
        <f t="array" ref="U438">IF(--INDEX('Raw Data'!$A$4:J$998,$F438,16)= 1, 1, 0)</f>
        <v>#NUM!</v>
      </c>
      <c r="V438" t="e">
        <f t="array" ref="V438">IF(--INDEX('Raw Data'!$A$4:K$998,$F438,17)= 1, 1, 0)</f>
        <v>#NUM!</v>
      </c>
      <c r="W438" t="e">
        <f t="array" ref="W438">INDEX('Raw Data'!$A:$O,$F438,19)</f>
        <v>#NUM!</v>
      </c>
      <c r="X438" t="e">
        <f t="array" ref="X438">INDEX('Raw Data'!$A:$O,$F438,20)</f>
        <v>#NUM!</v>
      </c>
      <c r="Y438" t="e">
        <f t="array" ref="Y438">INDEX('Raw Data'!$A:$O,F438,21)</f>
        <v>#NUM!</v>
      </c>
      <c r="Z438" t="e">
        <f t="array" ref="Z438">INDEX('Raw Data'!$A:$O,$F438,3)</f>
        <v>#NUM!</v>
      </c>
      <c r="AA438" t="e">
        <f t="array" ref="AA438">INDEX('Raw Data'!$A:$O,$F438,22)</f>
        <v>#NUM!</v>
      </c>
      <c r="AB438" t="e">
        <f t="array" ref="AB438">INDEX('Raw Data'!$A:$O,$F438,23)</f>
        <v>#NUM!</v>
      </c>
    </row>
    <row r="439" spans="1:44" x14ac:dyDescent="0.25">
      <c r="A439" t="s">
        <v>55</v>
      </c>
      <c r="C439" s="2" t="e">
        <f>B429/B428</f>
        <v>#DIV/0!</v>
      </c>
      <c r="F439">
        <f t="array" ref="F439">COUNTIF(F424:F438,"&gt;0")</f>
        <v>0</v>
      </c>
      <c r="G439">
        <f t="array" ref="G439">SUMIF(G424:G438,"&gt;0")</f>
        <v>0</v>
      </c>
      <c r="H439">
        <f t="array" ref="H439">SUMIF(H424:H438,"&gt;0")</f>
        <v>0</v>
      </c>
      <c r="I439">
        <f t="array" ref="I439">SUMIF(I424:I438,"&gt;0")</f>
        <v>0</v>
      </c>
      <c r="J439">
        <f t="array" ref="J439">SUMIF(J424:J438,"&gt;0")</f>
        <v>0</v>
      </c>
      <c r="K439">
        <f t="array" ref="K439">SUMIF(K424:K438,"&gt;0")</f>
        <v>0</v>
      </c>
      <c r="L439">
        <f t="array" ref="L439">SUMIF(L424:L438,"&gt;0")</f>
        <v>0</v>
      </c>
      <c r="M439">
        <f t="array" ref="M439">SUMIF(M424:M438,"&gt;0")</f>
        <v>0</v>
      </c>
      <c r="N439">
        <f t="array" ref="N439">SUMIF(N424:N438,"&gt;0")</f>
        <v>0</v>
      </c>
      <c r="O439">
        <f t="array" ref="O439">SUMIF(O424:O438,"&gt;0")</f>
        <v>0</v>
      </c>
      <c r="P439">
        <f t="array" ref="P439">SUMIF(P424:P438,"&gt;0")</f>
        <v>0</v>
      </c>
      <c r="Q439">
        <f t="array" ref="Q439">SUMIF(Q424:Q438,"&gt;0")</f>
        <v>0</v>
      </c>
      <c r="R439">
        <f t="array" ref="R439">SUMIF(R424:R438,"&gt;0")</f>
        <v>0</v>
      </c>
      <c r="S439">
        <f t="array" ref="S439">SUMIF(S424:S438,"&gt;0")</f>
        <v>0</v>
      </c>
      <c r="T439">
        <f t="array" ref="T439">SUMIF(T424:T438,"&gt;0")</f>
        <v>0</v>
      </c>
      <c r="U439">
        <f t="array" ref="U439">SUMIF(U424:U438,"&gt;0")</f>
        <v>0</v>
      </c>
      <c r="V439">
        <f t="array" ref="V439">SUMIF(V424:V438,"&gt;0")</f>
        <v>0</v>
      </c>
      <c r="W439">
        <f t="array" ref="W439">SUMIF(W424:W438,"&gt;0")</f>
        <v>0</v>
      </c>
      <c r="X439">
        <f t="array" ref="X439">SUMIF(X424:X438,"&gt;0")</f>
        <v>0</v>
      </c>
      <c r="Y439">
        <f t="array" ref="Y439">SUMIF(Y424:Y438,"&gt;0")</f>
        <v>0</v>
      </c>
      <c r="Z439">
        <f t="array" ref="Z439">SUMIF(Z424:Z438,"&gt;0")</f>
        <v>0</v>
      </c>
      <c r="AA439">
        <f t="array" ref="AA439">SUMIF(AA424:AA438,"&gt;0")</f>
        <v>0</v>
      </c>
      <c r="AB439">
        <f t="array" ref="AB439">SUMIF(AB424:AB438,"&gt;0")</f>
        <v>0</v>
      </c>
    </row>
    <row r="440" spans="1:44" x14ac:dyDescent="0.25">
      <c r="A440" t="s">
        <v>58</v>
      </c>
      <c r="C440" s="2">
        <f t="array" ref="C440">IF((K439+L439)&lt;&gt;0, (L439/(K439+L439)),0)</f>
        <v>0</v>
      </c>
      <c r="J440" s="6">
        <f t="array" ref="J440">J439*10</f>
        <v>0</v>
      </c>
      <c r="K440" s="6"/>
      <c r="P440" t="s">
        <v>95</v>
      </c>
      <c r="Q440" s="2" t="e">
        <f t="array" ref="Q440">Q439/$F439</f>
        <v>#DIV/0!</v>
      </c>
      <c r="R440" s="2" t="e">
        <f t="array" ref="R440">R439/$F439</f>
        <v>#DIV/0!</v>
      </c>
      <c r="S440" s="2" t="e">
        <f t="array" ref="S440">S439/$F439</f>
        <v>#DIV/0!</v>
      </c>
      <c r="T440" s="2" t="e">
        <f t="array" ref="T440">T439/$F439</f>
        <v>#DIV/0!</v>
      </c>
      <c r="U440" s="2" t="e">
        <f t="array" ref="U440">U439/$F439</f>
        <v>#DIV/0!</v>
      </c>
      <c r="V440" s="2" t="e">
        <f t="array" ref="V440">V439/$F439</f>
        <v>#DIV/0!</v>
      </c>
      <c r="W440" s="2" t="e">
        <f t="array" ref="W440">W439/$F439</f>
        <v>#DIV/0!</v>
      </c>
      <c r="X440" s="2" t="e">
        <f t="array" ref="X440">X439/$F439</f>
        <v>#DIV/0!</v>
      </c>
      <c r="Z440" s="2" t="e">
        <f t="array" ref="Z440">Z439/F439</f>
        <v>#DIV/0!</v>
      </c>
    </row>
    <row r="441" spans="1:44" x14ac:dyDescent="0.25">
      <c r="A441" t="s">
        <v>60</v>
      </c>
      <c r="C441" s="2">
        <f t="array" ref="C441">IF((M439+N439)&lt;&gt;0, (N439/(M439+N439)),0)</f>
        <v>0</v>
      </c>
      <c r="J441" s="6"/>
      <c r="K441" s="6"/>
    </row>
    <row r="442" spans="1:44" ht="28.5" x14ac:dyDescent="0.45">
      <c r="A442" t="s">
        <v>61</v>
      </c>
      <c r="C442" s="2">
        <f t="array" ref="C442">IF(((K439+N439+L439+M439)&lt;&gt;0), ((L439+N439)/(K439+N439+L439+M439)),0)</f>
        <v>0</v>
      </c>
      <c r="F442" s="17" t="s">
        <v>106</v>
      </c>
      <c r="G442" s="17" t="e">
        <f t="array" ref="G442">'Weighting &amp; Ranking Sheet'!$B$3*Math!$C440+'Weighting &amp; Ranking Sheet'!$B$4*Math!$C441+'Weighting &amp; Ranking Sheet'!$B$5*Math!$C442+'Weighting &amp; Ranking Sheet'!$B$6*Math!$C443+'Weighting &amp; Ranking Sheet'!$B$7*Math!$C427+'Weighting &amp; Ranking Sheet'!$B$8*Math!$C439+'Weighting &amp; Ranking Sheet'!$B$9*Math!$C446+'Weighting &amp; Ranking Sheet'!$B$10*Math!$C444+'Weighting &amp; Ranking Sheet'!$B$11*Math!$C445+'Weighting &amp; Ranking Sheet'!$B$12*Math!$C447*0.01+'Weighting &amp; Ranking Sheet'!$B$13*Math!$Q440+'Weighting &amp; Ranking Sheet'!$B$14*Math!$R440+'Weighting &amp; Ranking Sheet'!$B$15*Math!$S440+'Weighting &amp; Ranking Sheet'!$B$16*Math!$T440+'Weighting &amp; Ranking Sheet'!$B$17*Math!$U440+'Weighting &amp; Ranking Sheet'!$B$18*Math!$V440+'Weighting &amp; Ranking Sheet'!$B$2*Math!$Z440</f>
        <v>#DIV/0!</v>
      </c>
      <c r="J442"/>
      <c r="K442"/>
      <c r="AR442" s="25"/>
    </row>
    <row r="443" spans="1:44" ht="28.5" x14ac:dyDescent="0.45">
      <c r="A443" t="s">
        <v>62</v>
      </c>
      <c r="C443" s="2">
        <f t="array" ref="C443">IF((O439+P439&lt;&gt;0),(P439/(O439+P439)), 0)</f>
        <v>0</v>
      </c>
      <c r="F443" s="10"/>
      <c r="G443" s="11"/>
      <c r="J443"/>
      <c r="K443"/>
      <c r="AR443" s="25"/>
    </row>
    <row r="444" spans="1:44" x14ac:dyDescent="0.25">
      <c r="A444" t="s">
        <v>77</v>
      </c>
      <c r="C444" s="8" t="e">
        <f t="array" ref="C444">W439/F439</f>
        <v>#DIV/0!</v>
      </c>
      <c r="J444"/>
      <c r="K444"/>
      <c r="AR444" s="23"/>
    </row>
    <row r="445" spans="1:44" x14ac:dyDescent="0.25">
      <c r="A445" t="s">
        <v>78</v>
      </c>
      <c r="C445" s="8" t="e">
        <f t="array" ref="C445">X439/F439</f>
        <v>#DIV/0!</v>
      </c>
      <c r="J445"/>
      <c r="K445"/>
    </row>
    <row r="446" spans="1:44" x14ac:dyDescent="0.25">
      <c r="A446" t="s">
        <v>91</v>
      </c>
      <c r="C446" s="2" t="e">
        <f t="array" ref="C446">(C427+C439)/2</f>
        <v>#DIV/0!</v>
      </c>
      <c r="J446"/>
      <c r="K446"/>
    </row>
    <row r="447" spans="1:44" x14ac:dyDescent="0.25">
      <c r="A447" t="s">
        <v>92</v>
      </c>
      <c r="C447" s="8" t="e">
        <f t="array" ref="C447">Y439/F439</f>
        <v>#DIV/0!</v>
      </c>
      <c r="J447"/>
      <c r="K447"/>
    </row>
    <row r="448" spans="1:44" x14ac:dyDescent="0.25">
      <c r="C448" s="8"/>
      <c r="J448" s="6"/>
      <c r="K448" s="6"/>
    </row>
    <row r="449" spans="1:44" x14ac:dyDescent="0.25">
      <c r="C449" s="8"/>
      <c r="J449" s="6"/>
      <c r="K449" s="6"/>
    </row>
    <row r="450" spans="1:44" x14ac:dyDescent="0.25">
      <c r="J450" s="6"/>
      <c r="K450" s="6"/>
    </row>
    <row r="451" spans="1:44" x14ac:dyDescent="0.25">
      <c r="A451" t="s">
        <v>3</v>
      </c>
      <c r="C451" s="5">
        <v>709</v>
      </c>
      <c r="F451" t="s">
        <v>20</v>
      </c>
    </row>
    <row r="452" spans="1:44" x14ac:dyDescent="0.25">
      <c r="F452" t="e">
        <f t="array" ref="F452">SMALL(IF('Raw Data'!A:A=C451,ROW('Raw Data'!A:A)),ROW('Raw Data'!$1:$1))</f>
        <v>#NUM!</v>
      </c>
      <c r="G452" t="e">
        <f t="array" ref="G452">INDEX('Raw Data'!A:A,F452,9)</f>
        <v>#NUM!</v>
      </c>
      <c r="H452" t="e">
        <f t="array" ref="H452">INDEX('Raw Data'!A:A,F452,10)</f>
        <v>#NUM!</v>
      </c>
      <c r="I452" t="e">
        <f t="array" ref="I452">INDEX('Raw Data'!$A:A,$F452,11)</f>
        <v>#NUM!</v>
      </c>
      <c r="J452" t="e">
        <f t="array" ref="J452">INDEX('Raw Data'!$A:A,F452,12)</f>
        <v>#NUM!</v>
      </c>
      <c r="K452" t="e">
        <f>(--INDEX('Raw Data'!$A$4:B$993,F452,4))</f>
        <v>#NUM!</v>
      </c>
      <c r="L452" t="e">
        <f t="array" ref="L452">(--INDEX('Raw Data'!$A$4:B$993,F452,5))</f>
        <v>#NUM!</v>
      </c>
      <c r="M452" t="e">
        <f t="array" ref="M452">(--INDEX('Raw Data'!$A$4:D$993,$F452,6))</f>
        <v>#NUM!</v>
      </c>
      <c r="N452" t="e">
        <f t="array" ref="N452">(--INDEX('Raw Data'!$A$4:D$993,$F452,7))</f>
        <v>#NUM!</v>
      </c>
      <c r="O452" t="e">
        <f t="array" ref="O452">IF(--INDEX('Raw Data'!$A$4:E$993,$F452,8)= 0, 1, 0)</f>
        <v>#NUM!</v>
      </c>
      <c r="P452" t="e">
        <f t="array" ref="P452">IF(--INDEX('Raw Data'!$A$4:F$993,$F452,8)= 1, 1, 0)</f>
        <v>#NUM!</v>
      </c>
      <c r="Q452" t="e">
        <f t="array" ref="Q452">IF(--INDEX('Raw Data'!$A$4:G$993,$F452,13)= 1, 1, 0)</f>
        <v>#NUM!</v>
      </c>
      <c r="R452" t="e">
        <f t="array" ref="R452">IF(--INDEX('Raw Data'!$A$4:H$993,$F452,14)= 1, 1, 0)</f>
        <v>#NUM!</v>
      </c>
      <c r="S452" t="e">
        <f t="array" ref="S452">IF(--INDEX('Raw Data'!$A$4:I$993,$F452,15)= 1, 1, 0)</f>
        <v>#NUM!</v>
      </c>
      <c r="T452" t="e">
        <f t="array" ref="T452">IF(--INDEX('Raw Data'!$A$4:I$993,$F452,15)= 1, 1, 0)</f>
        <v>#NUM!</v>
      </c>
      <c r="U452" t="e">
        <f t="array" ref="U452">IF(--INDEX('Raw Data'!$A$4:J$993,$F452,16)= 1, 1, 0)</f>
        <v>#NUM!</v>
      </c>
      <c r="V452" t="e">
        <f t="array" ref="V452">IF(--INDEX('Raw Data'!$A$4:K$993,$F452,17)= 1, 1, 0)</f>
        <v>#NUM!</v>
      </c>
      <c r="W452" t="e">
        <f t="array" ref="W452">INDEX('Raw Data'!$A:$O,$F452,19)</f>
        <v>#NUM!</v>
      </c>
      <c r="X452" t="e">
        <f t="array" ref="X452">INDEX('Raw Data'!$A:$O,$F452,20)</f>
        <v>#NUM!</v>
      </c>
      <c r="Y452" t="e">
        <f t="array" ref="Y452">INDEX('Raw Data'!$A:$O,F452,21)</f>
        <v>#NUM!</v>
      </c>
      <c r="Z452" t="e">
        <f t="array" ref="Z452">INDEX('Raw Data'!$A:$O,$F452,3)</f>
        <v>#NUM!</v>
      </c>
      <c r="AA452" t="e">
        <f t="array" ref="AA452">INDEX('Raw Data'!$A:$O,$F452,22)</f>
        <v>#NUM!</v>
      </c>
      <c r="AB452" t="e">
        <f t="array" ref="AB452">INDEX('Raw Data'!$A:$O,$F452,23)</f>
        <v>#NUM!</v>
      </c>
    </row>
    <row r="453" spans="1:44" x14ac:dyDescent="0.25">
      <c r="A453" t="s">
        <v>0</v>
      </c>
      <c r="B453">
        <f>G467</f>
        <v>0</v>
      </c>
      <c r="F453" t="e">
        <f t="array" ref="F453">SMALL(IF('Raw Data'!A:A=C451,ROW('Raw Data'!A:A)),ROW('Raw Data'!$2:$2))</f>
        <v>#NUM!</v>
      </c>
      <c r="G453" t="e">
        <f t="array" ref="G453">INDEX('Raw Data'!A:A,F453,9)</f>
        <v>#NUM!</v>
      </c>
      <c r="H453" t="e">
        <f t="array" ref="H453">INDEX('Raw Data'!A:A,F453,10)</f>
        <v>#NUM!</v>
      </c>
      <c r="I453" t="e">
        <f t="array" ref="I453">INDEX('Raw Data'!$A:A,$F453,11)</f>
        <v>#NUM!</v>
      </c>
      <c r="J453" t="e">
        <f t="array" ref="J453">INDEX('Raw Data'!$A:A,F453,12)</f>
        <v>#NUM!</v>
      </c>
      <c r="K453" t="e">
        <f>(--INDEX('Raw Data'!$A$4:B$993,F453,4))</f>
        <v>#NUM!</v>
      </c>
      <c r="L453" t="e">
        <f t="array" ref="L453">(--INDEX('Raw Data'!$A$4:B$993,F453,5))</f>
        <v>#NUM!</v>
      </c>
      <c r="M453" t="e">
        <f t="array" ref="M453">(--INDEX('Raw Data'!$A$4:D$993,$F453,6))</f>
        <v>#NUM!</v>
      </c>
      <c r="N453" t="e">
        <f t="array" ref="N453">(--INDEX('Raw Data'!$A$4:D$993,$F453,7))</f>
        <v>#NUM!</v>
      </c>
      <c r="O453" t="e">
        <f t="array" ref="O453">IF(--INDEX('Raw Data'!$A$4:E$993,$F453,8)= 0, 1, 0)</f>
        <v>#NUM!</v>
      </c>
      <c r="P453" t="e">
        <f t="array" ref="P453">IF(--INDEX('Raw Data'!$A$4:F$993,$F453,8)= 1, 1, 0)</f>
        <v>#NUM!</v>
      </c>
      <c r="Q453" t="e">
        <f t="array" ref="Q453">IF(--INDEX('Raw Data'!$A$4:G$993,$F453,13)= 1, 1, 0)</f>
        <v>#NUM!</v>
      </c>
      <c r="R453" t="e">
        <f t="array" ref="R453">IF(--INDEX('Raw Data'!$A$4:H$993,$F453,14)= 1, 1, 0)</f>
        <v>#NUM!</v>
      </c>
      <c r="S453" t="e">
        <f t="array" ref="S453">IF(--INDEX('Raw Data'!$A$4:I$993,$F453,15)= 1, 1, 0)</f>
        <v>#NUM!</v>
      </c>
      <c r="T453" t="e">
        <f t="array" ref="T453">IF(--INDEX('Raw Data'!$A$4:I$993,$F453,15)= 1, 1, 0)</f>
        <v>#NUM!</v>
      </c>
      <c r="U453" t="e">
        <f t="array" ref="U453">IF(--INDEX('Raw Data'!$A$4:J$993,$F453,16)= 1, 1, 0)</f>
        <v>#NUM!</v>
      </c>
      <c r="V453" t="e">
        <f t="array" ref="V453">IF(--INDEX('Raw Data'!$A$4:K$993,$F453,17)= 1, 1, 0)</f>
        <v>#NUM!</v>
      </c>
      <c r="W453" t="e">
        <f t="array" ref="W453">INDEX('Raw Data'!$A:$O,$F453,19)</f>
        <v>#NUM!</v>
      </c>
      <c r="X453" t="e">
        <f t="array" ref="X453">INDEX('Raw Data'!$A:$O,$F453,20)</f>
        <v>#NUM!</v>
      </c>
      <c r="Y453" t="e">
        <f t="array" ref="Y453">INDEX('Raw Data'!$A:$O,F453,21)</f>
        <v>#NUM!</v>
      </c>
      <c r="Z453" t="e">
        <f t="array" ref="Z453">INDEX('Raw Data'!$A:$O,$F453,3)</f>
        <v>#NUM!</v>
      </c>
      <c r="AA453" t="e">
        <f t="array" ref="AA453">INDEX('Raw Data'!$A:$O,$F453,22)</f>
        <v>#NUM!</v>
      </c>
      <c r="AB453" t="e">
        <f t="array" ref="AB453">INDEX('Raw Data'!$A:$O,$F453,23)</f>
        <v>#NUM!</v>
      </c>
    </row>
    <row r="454" spans="1:44" x14ac:dyDescent="0.25">
      <c r="A454" t="s">
        <v>1</v>
      </c>
      <c r="B454">
        <f>H467</f>
        <v>0</v>
      </c>
      <c r="F454" t="e">
        <f t="array" ref="F454">SMALL(IF('Raw Data'!A:A=C451,ROW('Raw Data'!A:A)),ROW('Raw Data'!$3:$3))</f>
        <v>#NUM!</v>
      </c>
      <c r="G454" t="e">
        <f t="array" ref="G454">INDEX('Raw Data'!A:A,F454,9)</f>
        <v>#NUM!</v>
      </c>
      <c r="H454" t="e">
        <f t="array" ref="H454">INDEX('Raw Data'!A:A,F454,10)</f>
        <v>#NUM!</v>
      </c>
      <c r="I454" t="e">
        <f t="array" ref="I454">INDEX('Raw Data'!$A:A,$F454,11)</f>
        <v>#NUM!</v>
      </c>
      <c r="J454" t="e">
        <f t="array" ref="J454">INDEX('Raw Data'!$A:A,F454,12)</f>
        <v>#NUM!</v>
      </c>
      <c r="K454" t="e">
        <f>(--INDEX('Raw Data'!$A$4:B$993,F454,4))</f>
        <v>#NUM!</v>
      </c>
      <c r="L454" t="e">
        <f t="array" ref="L454">(--INDEX('Raw Data'!$A$4:B$993,F454,5))</f>
        <v>#NUM!</v>
      </c>
      <c r="M454" t="e">
        <f t="array" ref="M454">(--INDEX('Raw Data'!$A$4:D$993,$F454,6))</f>
        <v>#NUM!</v>
      </c>
      <c r="N454" t="e">
        <f t="array" ref="N454">(--INDEX('Raw Data'!$A$4:D$993,$F454,7))</f>
        <v>#NUM!</v>
      </c>
      <c r="O454" t="e">
        <f t="array" ref="O454">IF(--INDEX('Raw Data'!$A$4:E$993,$F454,8)= 0, 1, 0)</f>
        <v>#NUM!</v>
      </c>
      <c r="P454" t="e">
        <f t="array" ref="P454">IF(--INDEX('Raw Data'!$A$4:F$993,$F454,8)= 1, 1, 0)</f>
        <v>#NUM!</v>
      </c>
      <c r="Q454" t="e">
        <f t="array" ref="Q454">IF(--INDEX('Raw Data'!$A$4:G$993,$F454,13)= 1, 1, 0)</f>
        <v>#NUM!</v>
      </c>
      <c r="R454" t="e">
        <f t="array" ref="R454">IF(--INDEX('Raw Data'!$A$4:H$993,$F454,14)= 1, 1, 0)</f>
        <v>#NUM!</v>
      </c>
      <c r="S454" t="e">
        <f t="array" ref="S454">IF(--INDEX('Raw Data'!$A$4:I$993,$F454,15)= 1, 1, 0)</f>
        <v>#NUM!</v>
      </c>
      <c r="T454" t="e">
        <f t="array" ref="T454">IF(--INDEX('Raw Data'!$A$4:I$993,$F454,15)= 1, 1, 0)</f>
        <v>#NUM!</v>
      </c>
      <c r="U454" t="e">
        <f t="array" ref="U454">IF(--INDEX('Raw Data'!$A$4:J$993,$F454,16)= 1, 1, 0)</f>
        <v>#NUM!</v>
      </c>
      <c r="V454" t="e">
        <f t="array" ref="V454">IF(--INDEX('Raw Data'!$A$4:K$993,$F454,17)= 1, 1, 0)</f>
        <v>#NUM!</v>
      </c>
      <c r="W454" t="e">
        <f t="array" ref="W454">INDEX('Raw Data'!$A:$O,$F454,19)</f>
        <v>#NUM!</v>
      </c>
      <c r="X454" t="e">
        <f t="array" ref="X454">INDEX('Raw Data'!$A:$O,$F454,20)</f>
        <v>#NUM!</v>
      </c>
      <c r="Y454" t="e">
        <f t="array" ref="Y454">INDEX('Raw Data'!$A:$O,F454,21)</f>
        <v>#NUM!</v>
      </c>
      <c r="Z454" t="e">
        <f t="array" ref="Z454">INDEX('Raw Data'!$A:$O,$F454,3)</f>
        <v>#NUM!</v>
      </c>
      <c r="AA454" t="e">
        <f t="array" ref="AA454">INDEX('Raw Data'!$A:$O,$F454,22)</f>
        <v>#NUM!</v>
      </c>
      <c r="AB454" t="e">
        <f t="array" ref="AB454">INDEX('Raw Data'!$A:$O,$F454,23)</f>
        <v>#NUM!</v>
      </c>
    </row>
    <row r="455" spans="1:44" x14ac:dyDescent="0.25">
      <c r="A455" t="s">
        <v>2</v>
      </c>
      <c r="C455" s="3" t="e">
        <f>B454/B453</f>
        <v>#DIV/0!</v>
      </c>
      <c r="F455" t="e">
        <f t="array" ref="F455">SMALL(IF('Raw Data'!A:A=C451,ROW('Raw Data'!A:A)),ROW('Raw Data'!$4:$4))</f>
        <v>#NUM!</v>
      </c>
      <c r="G455" t="e">
        <f t="array" ref="G455">INDEX('Raw Data'!A:A,F455,9)</f>
        <v>#NUM!</v>
      </c>
      <c r="H455" t="e">
        <f t="array" ref="H455">INDEX('Raw Data'!A:A,F455,10)</f>
        <v>#NUM!</v>
      </c>
      <c r="I455" t="e">
        <f t="array" ref="I455">INDEX('Raw Data'!$A:A,$F455,11)</f>
        <v>#NUM!</v>
      </c>
      <c r="J455" t="e">
        <f t="array" ref="J455">INDEX('Raw Data'!$A:A,F455,12)</f>
        <v>#NUM!</v>
      </c>
      <c r="K455" t="e">
        <f>(--INDEX('Raw Data'!$A$4:B$993,F455,4))</f>
        <v>#NUM!</v>
      </c>
      <c r="L455" t="e">
        <f t="array" ref="L455">(--INDEX('Raw Data'!$A$4:B$993,F455,5))</f>
        <v>#NUM!</v>
      </c>
      <c r="M455" t="e">
        <f t="array" ref="M455">(--INDEX('Raw Data'!$A$4:D$993,$F455,6))</f>
        <v>#NUM!</v>
      </c>
      <c r="N455" t="e">
        <f t="array" ref="N455">(--INDEX('Raw Data'!$A$4:D$993,$F455,7))</f>
        <v>#NUM!</v>
      </c>
      <c r="O455" t="e">
        <f t="array" ref="O455">IF(--INDEX('Raw Data'!$A$4:E$993,$F455,8)= 0, 1, 0)</f>
        <v>#NUM!</v>
      </c>
      <c r="P455" t="e">
        <f t="array" ref="P455">IF(--INDEX('Raw Data'!$A$4:F$993,$F455,8)= 1, 1, 0)</f>
        <v>#NUM!</v>
      </c>
      <c r="Q455" t="e">
        <f t="array" ref="Q455">IF(--INDEX('Raw Data'!$A$4:G$993,$F455,13)= 1, 1, 0)</f>
        <v>#NUM!</v>
      </c>
      <c r="R455" t="e">
        <f t="array" ref="R455">IF(--INDEX('Raw Data'!$A$4:H$993,$F455,14)= 1, 1, 0)</f>
        <v>#NUM!</v>
      </c>
      <c r="S455" t="e">
        <f t="array" ref="S455">IF(--INDEX('Raw Data'!$A$4:I$993,$F455,15)= 1, 1, 0)</f>
        <v>#NUM!</v>
      </c>
      <c r="T455" t="e">
        <f t="array" ref="T455">IF(--INDEX('Raw Data'!$A$4:I$993,$F455,15)= 1, 1, 0)</f>
        <v>#NUM!</v>
      </c>
      <c r="U455" t="e">
        <f t="array" ref="U455">IF(--INDEX('Raw Data'!$A$4:J$993,$F455,16)= 1, 1, 0)</f>
        <v>#NUM!</v>
      </c>
      <c r="V455" t="e">
        <f t="array" ref="V455">IF(--INDEX('Raw Data'!$A$4:K$993,$F455,17)= 1, 1, 0)</f>
        <v>#NUM!</v>
      </c>
      <c r="W455" t="e">
        <f t="array" ref="W455">INDEX('Raw Data'!$A:$O,$F455,19)</f>
        <v>#NUM!</v>
      </c>
      <c r="X455" t="e">
        <f t="array" ref="X455">INDEX('Raw Data'!$A:$O,$F455,20)</f>
        <v>#NUM!</v>
      </c>
      <c r="Y455" t="e">
        <f t="array" ref="Y455">INDEX('Raw Data'!$A:$O,F455,21)</f>
        <v>#NUM!</v>
      </c>
      <c r="Z455" t="e">
        <f t="array" ref="Z455">INDEX('Raw Data'!$A:$O,$F455,3)</f>
        <v>#NUM!</v>
      </c>
      <c r="AA455" t="e">
        <f t="array" ref="AA455">INDEX('Raw Data'!$A:$O,$F455,22)</f>
        <v>#NUM!</v>
      </c>
      <c r="AB455" t="e">
        <f t="array" ref="AB455">INDEX('Raw Data'!$A:$O,$F455,23)</f>
        <v>#NUM!</v>
      </c>
    </row>
    <row r="456" spans="1:44" x14ac:dyDescent="0.25">
      <c r="A456" t="s">
        <v>54</v>
      </c>
      <c r="B456">
        <f>I467</f>
        <v>0</v>
      </c>
      <c r="F456" t="e">
        <f t="array" ref="F456">SMALL(IF('Raw Data'!A:A=C451,ROW('Raw Data'!A:A)),ROW('Raw Data'!$5:$5))</f>
        <v>#NUM!</v>
      </c>
      <c r="G456" t="e">
        <f t="array" ref="G456">INDEX('Raw Data'!A:A,F456,9)</f>
        <v>#NUM!</v>
      </c>
      <c r="H456" t="e">
        <f t="array" ref="H456">INDEX('Raw Data'!A:A,F456,10)</f>
        <v>#NUM!</v>
      </c>
      <c r="I456" t="e">
        <f t="array" ref="I456">INDEX('Raw Data'!$A:A,$F456,11)</f>
        <v>#NUM!</v>
      </c>
      <c r="J456" t="e">
        <f t="array" ref="J456">INDEX('Raw Data'!$A:A,F456,12)</f>
        <v>#NUM!</v>
      </c>
      <c r="K456" t="e">
        <f>(--INDEX('Raw Data'!$A$4:B$993,F456,4))</f>
        <v>#NUM!</v>
      </c>
      <c r="L456" t="e">
        <f t="array" ref="L456">(--INDEX('Raw Data'!$A$4:B$993,F456,5))</f>
        <v>#NUM!</v>
      </c>
      <c r="M456" t="e">
        <f t="array" ref="M456">(--INDEX('Raw Data'!$A$4:D$993,$F456,6))</f>
        <v>#NUM!</v>
      </c>
      <c r="N456" t="e">
        <f t="array" ref="N456">(--INDEX('Raw Data'!$A$4:D$993,$F456,7))</f>
        <v>#NUM!</v>
      </c>
      <c r="O456" t="e">
        <f t="array" ref="O456">IF(--INDEX('Raw Data'!$A$4:E$993,$F456,8)= 0, 1, 0)</f>
        <v>#NUM!</v>
      </c>
      <c r="P456" t="e">
        <f t="array" ref="P456">IF(--INDEX('Raw Data'!$A$4:F$993,$F456,8)= 1, 1, 0)</f>
        <v>#NUM!</v>
      </c>
      <c r="Q456" t="e">
        <f t="array" ref="Q456">IF(--INDEX('Raw Data'!$A$4:G$993,$F456,13)= 1, 1, 0)</f>
        <v>#NUM!</v>
      </c>
      <c r="R456" t="e">
        <f t="array" ref="R456">IF(--INDEX('Raw Data'!$A$4:H$993,$F456,14)= 1, 1, 0)</f>
        <v>#NUM!</v>
      </c>
      <c r="S456" t="e">
        <f t="array" ref="S456">IF(--INDEX('Raw Data'!$A$4:I$993,$F456,15)= 1, 1, 0)</f>
        <v>#NUM!</v>
      </c>
      <c r="T456" t="e">
        <f t="array" ref="T456">IF(--INDEX('Raw Data'!$A$4:I$993,$F456,15)= 1, 1, 0)</f>
        <v>#NUM!</v>
      </c>
      <c r="U456" t="e">
        <f t="array" ref="U456">IF(--INDEX('Raw Data'!$A$4:J$993,$F456,16)= 1, 1, 0)</f>
        <v>#NUM!</v>
      </c>
      <c r="V456" t="e">
        <f t="array" ref="V456">IF(--INDEX('Raw Data'!$A$4:K$993,$F456,17)= 1, 1, 0)</f>
        <v>#NUM!</v>
      </c>
      <c r="W456" t="e">
        <f t="array" ref="W456">INDEX('Raw Data'!$A:$O,$F456,19)</f>
        <v>#NUM!</v>
      </c>
      <c r="X456" t="e">
        <f t="array" ref="X456">INDEX('Raw Data'!$A:$O,$F456,20)</f>
        <v>#NUM!</v>
      </c>
      <c r="Y456" t="e">
        <f t="array" ref="Y456">INDEX('Raw Data'!$A:$O,F456,21)</f>
        <v>#NUM!</v>
      </c>
      <c r="Z456" t="e">
        <f t="array" ref="Z456">INDEX('Raw Data'!$A:$O,$F456,3)</f>
        <v>#NUM!</v>
      </c>
      <c r="AA456" t="e">
        <f t="array" ref="AA456">INDEX('Raw Data'!$A:$O,$F456,22)</f>
        <v>#NUM!</v>
      </c>
      <c r="AB456" t="e">
        <f t="array" ref="AB456">INDEX('Raw Data'!$A:$O,$F456,23)</f>
        <v>#NUM!</v>
      </c>
      <c r="AR456" s="25"/>
    </row>
    <row r="457" spans="1:44" x14ac:dyDescent="0.25">
      <c r="A457" t="s">
        <v>35</v>
      </c>
      <c r="B457">
        <f>J467</f>
        <v>0</v>
      </c>
      <c r="F457" t="e">
        <f t="array" ref="F457">SMALL(IF('Raw Data'!A:A=C451,ROW('Raw Data'!A:A)),ROW('Raw Data'!$6:$6))</f>
        <v>#NUM!</v>
      </c>
      <c r="G457" t="e">
        <f t="array" ref="G457">INDEX('Raw Data'!A:A,F457,9)</f>
        <v>#NUM!</v>
      </c>
      <c r="H457" t="e">
        <f t="array" ref="H457">INDEX('Raw Data'!A:A,F457,10)</f>
        <v>#NUM!</v>
      </c>
      <c r="I457" t="e">
        <f t="array" ref="I457">INDEX('Raw Data'!$A:A,$F457,11)</f>
        <v>#NUM!</v>
      </c>
      <c r="J457" t="e">
        <f t="array" ref="J457">INDEX('Raw Data'!$A:A,F457,12)</f>
        <v>#NUM!</v>
      </c>
      <c r="K457" t="e">
        <f>(--INDEX('Raw Data'!$A$4:B$993,F457,4))</f>
        <v>#NUM!</v>
      </c>
      <c r="L457" t="e">
        <f t="array" ref="L457">(--INDEX('Raw Data'!$A$4:B$998,F457,5))</f>
        <v>#NUM!</v>
      </c>
      <c r="M457" t="e">
        <f t="array" ref="M457">(--INDEX('Raw Data'!$A$4:D$998,$F457,6))</f>
        <v>#NUM!</v>
      </c>
      <c r="N457" t="e">
        <f t="array" ref="N457">(--INDEX('Raw Data'!$A$4:D$993,$F457,7))</f>
        <v>#NUM!</v>
      </c>
      <c r="O457" t="e">
        <f t="array" ref="O457">IF(--INDEX('Raw Data'!$A$4:E$993,$F457,8)= 0, 1, 0)</f>
        <v>#NUM!</v>
      </c>
      <c r="P457" t="e">
        <f t="array" ref="P457">IF(--INDEX('Raw Data'!$A$4:F$998,$F457,8)= 1, 1, 0)</f>
        <v>#NUM!</v>
      </c>
      <c r="Q457" t="e">
        <f t="array" ref="Q457">IF(--INDEX('Raw Data'!$A$4:G$998,$F457,13)= 1, 1, 0)</f>
        <v>#NUM!</v>
      </c>
      <c r="R457" t="e">
        <f t="array" ref="R457">IF(--INDEX('Raw Data'!$A$4:H$998,$F457,14)= 1, 1, 0)</f>
        <v>#NUM!</v>
      </c>
      <c r="S457" t="e">
        <f t="array" ref="S457">IF(--INDEX('Raw Data'!$A$4:I$993,$F457,15)= 1, 1, 0)</f>
        <v>#NUM!</v>
      </c>
      <c r="T457" t="e">
        <f t="array" ref="T457">IF(--INDEX('Raw Data'!$A$4:I$998,$F457,15)= 1, 1, 0)</f>
        <v>#NUM!</v>
      </c>
      <c r="U457" t="e">
        <f t="array" ref="U457">IF(--INDEX('Raw Data'!$A$4:J$998,$F457,16)= 1, 1, 0)</f>
        <v>#NUM!</v>
      </c>
      <c r="V457" t="e">
        <f t="array" ref="V457">IF(--INDEX('Raw Data'!$A$4:K$993,$F457,17)= 1, 1, 0)</f>
        <v>#NUM!</v>
      </c>
      <c r="W457" t="e">
        <f t="array" ref="W457">INDEX('Raw Data'!$A:$O,$F457,19)</f>
        <v>#NUM!</v>
      </c>
      <c r="X457" t="e">
        <f t="array" ref="X457">INDEX('Raw Data'!$A:$O,$F457,20)</f>
        <v>#NUM!</v>
      </c>
      <c r="Y457" t="e">
        <f t="array" ref="Y457">INDEX('Raw Data'!$A:$O,F457,21)</f>
        <v>#NUM!</v>
      </c>
      <c r="Z457" t="e">
        <f t="array" ref="Z457">INDEX('Raw Data'!$A:$O,$F457,3)</f>
        <v>#NUM!</v>
      </c>
      <c r="AA457" t="e">
        <f t="array" ref="AA457">INDEX('Raw Data'!$A:$O,$F457,22)</f>
        <v>#NUM!</v>
      </c>
      <c r="AB457" t="e">
        <f t="array" ref="AB457">INDEX('Raw Data'!$A:$O,$F457,23)</f>
        <v>#NUM!</v>
      </c>
      <c r="AR457" s="25"/>
    </row>
    <row r="458" spans="1:44" ht="28.5" x14ac:dyDescent="0.45">
      <c r="F458" t="e">
        <f t="array" ref="F458">SMALL(IF('Raw Data'!A:A=C451,ROW('Raw Data'!A:A)),ROW('Raw Data'!$7:$7))</f>
        <v>#NUM!</v>
      </c>
      <c r="G458" t="e">
        <f t="array" ref="G458">INDEX('Raw Data'!A:A,F458,9)</f>
        <v>#NUM!</v>
      </c>
      <c r="H458" t="e">
        <f t="array" ref="H458">INDEX('Raw Data'!A:A,F458,10)</f>
        <v>#NUM!</v>
      </c>
      <c r="I458" t="e">
        <f t="array" ref="I458">INDEX('Raw Data'!$A:A,$F458,11)</f>
        <v>#NUM!</v>
      </c>
      <c r="J458" t="e">
        <f t="array" ref="J458">INDEX('Raw Data'!$A:A,F458,12)</f>
        <v>#NUM!</v>
      </c>
      <c r="K458" t="e">
        <f t="array" ref="K458">(--INDEX('Raw Data'!$A$4:B$998,F458,4))</f>
        <v>#NUM!</v>
      </c>
      <c r="L458" t="e">
        <f t="array" ref="L458">(--INDEX('Raw Data'!$A$4:B$998,F458,5))</f>
        <v>#NUM!</v>
      </c>
      <c r="M458" t="e">
        <f t="array" ref="M458">(--INDEX('Raw Data'!$A$4:D$998,$F458,6))</f>
        <v>#NUM!</v>
      </c>
      <c r="N458" t="e">
        <f t="array" ref="N458">(--INDEX('Raw Data'!$A$4:D$998,$F458,7))</f>
        <v>#NUM!</v>
      </c>
      <c r="O458" t="e">
        <f t="array" ref="O458">IF(--INDEX('Raw Data'!$A$4:E$998,$F458,8)= 0, 1, 0)</f>
        <v>#NUM!</v>
      </c>
      <c r="P458" t="e">
        <f t="array" ref="P458">IF(--INDEX('Raw Data'!$A$4:F$998,$F458,8)= 1, 1, 0)</f>
        <v>#NUM!</v>
      </c>
      <c r="Q458" t="e">
        <f t="array" ref="Q458">IF(--INDEX('Raw Data'!$A$4:G$998,$F458,13)= 1, 1, 0)</f>
        <v>#NUM!</v>
      </c>
      <c r="R458" t="e">
        <f t="array" ref="R458">IF(--INDEX('Raw Data'!$A$4:H$998,$F458,14)= 1, 1, 0)</f>
        <v>#NUM!</v>
      </c>
      <c r="S458" t="e">
        <f t="array" ref="S458">IF(--INDEX('Raw Data'!$A$4:I$998,$F458,15)= 1, 1, 0)</f>
        <v>#NUM!</v>
      </c>
      <c r="T458" t="e">
        <f t="array" ref="T458">IF(--INDEX('Raw Data'!$A$4:I$998,$F458,15)= 1, 1, 0)</f>
        <v>#NUM!</v>
      </c>
      <c r="U458" t="e">
        <f t="array" ref="U458">IF(--INDEX('Raw Data'!$A$4:J$998,$F458,16)= 1, 1, 0)</f>
        <v>#NUM!</v>
      </c>
      <c r="V458" t="e">
        <f t="array" ref="V458">IF(--INDEX('Raw Data'!$A$4:K$998,$F458,17)= 1, 1, 0)</f>
        <v>#NUM!</v>
      </c>
      <c r="W458" t="e">
        <f t="array" ref="W458">INDEX('Raw Data'!$A:$O,$F458,19)</f>
        <v>#NUM!</v>
      </c>
      <c r="X458" t="e">
        <f t="array" ref="X458">INDEX('Raw Data'!$A:$O,$F458,20)</f>
        <v>#NUM!</v>
      </c>
      <c r="Y458" t="e">
        <f t="array" ref="Y458">INDEX('Raw Data'!$A:$O,F458,21)</f>
        <v>#NUM!</v>
      </c>
      <c r="Z458" t="e">
        <f t="array" ref="Z458">INDEX('Raw Data'!$A:$O,$F458,3)</f>
        <v>#NUM!</v>
      </c>
      <c r="AA458" t="e">
        <f t="array" ref="AA458">INDEX('Raw Data'!$A:$O,$F458,22)</f>
        <v>#NUM!</v>
      </c>
      <c r="AB458" t="e">
        <f t="array" ref="AB458">INDEX('Raw Data'!$A:$O,$F458,23)</f>
        <v>#NUM!</v>
      </c>
      <c r="AM458" s="21"/>
    </row>
    <row r="459" spans="1:44" ht="28.5" x14ac:dyDescent="0.45">
      <c r="F459" t="e">
        <f t="array" ref="F459">SMALL(IF('Raw Data'!A:A=C451,ROW('Raw Data'!A:A)),ROW('Raw Data'!$8:$8))</f>
        <v>#NUM!</v>
      </c>
      <c r="G459" t="e">
        <f t="array" ref="G459">INDEX('Raw Data'!A:A,F459,9)</f>
        <v>#NUM!</v>
      </c>
      <c r="H459" t="e">
        <f t="array" ref="H459">INDEX('Raw Data'!A:A,F459,10)</f>
        <v>#NUM!</v>
      </c>
      <c r="I459" t="e">
        <f t="array" ref="I459">INDEX('Raw Data'!$A:A,$F459,11)</f>
        <v>#NUM!</v>
      </c>
      <c r="J459" t="e">
        <f t="array" ref="J459">INDEX('Raw Data'!$A:A,F459,12)</f>
        <v>#NUM!</v>
      </c>
      <c r="K459" t="e">
        <f t="array" ref="K459">(--INDEX('Raw Data'!$A$4:B$998,F459,4))</f>
        <v>#NUM!</v>
      </c>
      <c r="L459" t="e">
        <f t="array" ref="L459">(--INDEX('Raw Data'!$A$4:B$998,F459,5))</f>
        <v>#NUM!</v>
      </c>
      <c r="M459" t="e">
        <f t="array" ref="M459">(--INDEX('Raw Data'!$A$4:D$998,$F459,6))</f>
        <v>#NUM!</v>
      </c>
      <c r="N459" t="e">
        <f t="array" ref="N459">(--INDEX('Raw Data'!$A$4:D$998,$F459,7))</f>
        <v>#NUM!</v>
      </c>
      <c r="O459" t="e">
        <f t="array" ref="O459">IF(--INDEX('Raw Data'!$A$4:E$998,$F459,8)= 0, 1, 0)</f>
        <v>#NUM!</v>
      </c>
      <c r="P459" t="e">
        <f t="array" ref="P459">IF(--INDEX('Raw Data'!$A$4:F$998,$F459,8)= 1, 1, 0)</f>
        <v>#NUM!</v>
      </c>
      <c r="Q459" t="e">
        <f t="array" ref="Q459">IF(--INDEX('Raw Data'!$A$4:G$998,$F459,13)= 1, 1, 0)</f>
        <v>#NUM!</v>
      </c>
      <c r="R459" t="e">
        <f t="array" ref="R459">IF(--INDEX('Raw Data'!$A$4:H$998,$F459,14)= 1, 1, 0)</f>
        <v>#NUM!</v>
      </c>
      <c r="S459" t="e">
        <f t="array" ref="S459">IF(--INDEX('Raw Data'!$A$4:I$998,$F459,15)= 1, 1, 0)</f>
        <v>#NUM!</v>
      </c>
      <c r="T459" t="e">
        <f t="array" ref="T459">IF(--INDEX('Raw Data'!$A$4:I$998,$F459,15)= 1, 1, 0)</f>
        <v>#NUM!</v>
      </c>
      <c r="U459" t="e">
        <f t="array" ref="U459">IF(--INDEX('Raw Data'!$A$4:J$998,$F459,16)= 1, 1, 0)</f>
        <v>#NUM!</v>
      </c>
      <c r="V459" t="e">
        <f t="array" ref="V459">IF(--INDEX('Raw Data'!$A$4:K$998,$F459,17)= 1, 1, 0)</f>
        <v>#NUM!</v>
      </c>
      <c r="W459" t="e">
        <f t="array" ref="W459">INDEX('Raw Data'!$A:$O,$F459,19)</f>
        <v>#NUM!</v>
      </c>
      <c r="X459" t="e">
        <f t="array" ref="X459">INDEX('Raw Data'!$A:$O,$F459,20)</f>
        <v>#NUM!</v>
      </c>
      <c r="Y459" t="e">
        <f t="array" ref="Y459">INDEX('Raw Data'!$A:$O,F459,21)</f>
        <v>#NUM!</v>
      </c>
      <c r="Z459" t="e">
        <f t="array" ref="Z459">INDEX('Raw Data'!$A:$O,$F459,3)</f>
        <v>#NUM!</v>
      </c>
      <c r="AA459" t="e">
        <f t="array" ref="AA459">INDEX('Raw Data'!$A:$O,$F459,22)</f>
        <v>#NUM!</v>
      </c>
      <c r="AB459" t="e">
        <f t="array" ref="AB459">INDEX('Raw Data'!$A:$O,$F459,23)</f>
        <v>#NUM!</v>
      </c>
      <c r="AM459" s="22"/>
    </row>
    <row r="460" spans="1:44" x14ac:dyDescent="0.25">
      <c r="F460" t="e">
        <f t="array" ref="F460">SMALL(IF('Raw Data'!A:A=C451,ROW('Raw Data'!A:A)),ROW('Raw Data'!$9:$9))</f>
        <v>#NUM!</v>
      </c>
      <c r="G460" t="e">
        <f t="array" ref="G460">INDEX('Raw Data'!A:A,F460,9)</f>
        <v>#NUM!</v>
      </c>
      <c r="H460" t="e">
        <f t="array" ref="H460">INDEX('Raw Data'!A:A,F460,10)</f>
        <v>#NUM!</v>
      </c>
      <c r="I460" t="e">
        <f t="array" ref="I460">INDEX('Raw Data'!$A:A,$F460,11)</f>
        <v>#NUM!</v>
      </c>
      <c r="J460" t="e">
        <f t="array" ref="J460">INDEX('Raw Data'!$A:A,F460,12)</f>
        <v>#NUM!</v>
      </c>
      <c r="K460" t="e">
        <f t="array" ref="K460">(--INDEX('Raw Data'!$A$4:B$998,F460,4))</f>
        <v>#NUM!</v>
      </c>
      <c r="L460" t="e">
        <f t="array" ref="L460">(--INDEX('Raw Data'!$A$4:B$998,F460,5))</f>
        <v>#NUM!</v>
      </c>
      <c r="M460" t="e">
        <f t="array" ref="M460">(--INDEX('Raw Data'!$A$4:D$998,$F460,6))</f>
        <v>#NUM!</v>
      </c>
      <c r="N460" t="e">
        <f t="array" ref="N460">(--INDEX('Raw Data'!$A$4:D$998,$F460,7))</f>
        <v>#NUM!</v>
      </c>
      <c r="O460" t="e">
        <f t="array" ref="O460">IF(--INDEX('Raw Data'!$A$4:E$998,$F460,8)= 0, 1, 0)</f>
        <v>#NUM!</v>
      </c>
      <c r="P460" t="e">
        <f t="array" ref="P460">IF(--INDEX('Raw Data'!$A$4:F$998,$F460,8)= 1, 1, 0)</f>
        <v>#NUM!</v>
      </c>
      <c r="Q460" t="e">
        <f t="array" ref="Q460">IF(--INDEX('Raw Data'!$A$4:G$998,$F460,13)= 1, 1, 0)</f>
        <v>#NUM!</v>
      </c>
      <c r="R460" t="e">
        <f t="array" ref="R460">IF(--INDEX('Raw Data'!$A$4:H$998,$F460,14)= 1, 1, 0)</f>
        <v>#NUM!</v>
      </c>
      <c r="S460" t="e">
        <f t="array" ref="S460">IF(--INDEX('Raw Data'!$A$4:I$998,$F460,15)= 1, 1, 0)</f>
        <v>#NUM!</v>
      </c>
      <c r="T460" t="e">
        <f t="array" ref="T460">IF(--INDEX('Raw Data'!$A$4:I$998,$F460,15)= 1, 1, 0)</f>
        <v>#NUM!</v>
      </c>
      <c r="U460" t="e">
        <f t="array" ref="U460">IF(--INDEX('Raw Data'!$A$4:J$998,$F460,16)= 1, 1, 0)</f>
        <v>#NUM!</v>
      </c>
      <c r="V460" t="e">
        <f t="array" ref="V460">IF(--INDEX('Raw Data'!$A$4:K$998,$F460,17)= 1, 1, 0)</f>
        <v>#NUM!</v>
      </c>
      <c r="W460" t="e">
        <f t="array" ref="W460">INDEX('Raw Data'!$A:$O,$F460,19)</f>
        <v>#NUM!</v>
      </c>
      <c r="X460" t="e">
        <f t="array" ref="X460">INDEX('Raw Data'!$A:$O,$F460,20)</f>
        <v>#NUM!</v>
      </c>
      <c r="Y460" t="e">
        <f t="array" ref="Y460">INDEX('Raw Data'!$A:$O,F460,21)</f>
        <v>#NUM!</v>
      </c>
      <c r="Z460" t="e">
        <f t="array" ref="Z460">INDEX('Raw Data'!$A:$O,$F460,3)</f>
        <v>#NUM!</v>
      </c>
      <c r="AA460" t="e">
        <f t="array" ref="AA460">INDEX('Raw Data'!$A:$O,$F460,22)</f>
        <v>#NUM!</v>
      </c>
      <c r="AB460" t="e">
        <f t="array" ref="AB460">INDEX('Raw Data'!$A:$O,$F460,23)</f>
        <v>#NUM!</v>
      </c>
    </row>
    <row r="461" spans="1:44" x14ac:dyDescent="0.25">
      <c r="F461" t="e">
        <f t="array" ref="F461">SMALL(IF('Raw Data'!A:A=C451,ROW('Raw Data'!A:A)),ROW('Raw Data'!$10:$10))</f>
        <v>#NUM!</v>
      </c>
      <c r="G461" t="e">
        <f t="array" ref="G461">INDEX('Raw Data'!A:A,F461,9)</f>
        <v>#NUM!</v>
      </c>
      <c r="H461" t="e">
        <f t="array" ref="H461">INDEX('Raw Data'!A:A,F461,10)</f>
        <v>#NUM!</v>
      </c>
      <c r="I461" t="e">
        <f t="array" ref="I461">INDEX('Raw Data'!$A:A,$F461,11)</f>
        <v>#NUM!</v>
      </c>
      <c r="J461" t="e">
        <f t="array" ref="J461">INDEX('Raw Data'!$A:A,F461,12)</f>
        <v>#NUM!</v>
      </c>
      <c r="K461" t="e">
        <f t="array" ref="K461">(--INDEX('Raw Data'!$A$4:B$998,F461,4))</f>
        <v>#NUM!</v>
      </c>
      <c r="L461" t="e">
        <f t="array" ref="L461">(--INDEX('Raw Data'!$A$4:B$998,F461,5))</f>
        <v>#NUM!</v>
      </c>
      <c r="M461" t="e">
        <f t="array" ref="M461">(--INDEX('Raw Data'!$A$4:D$998,$F461,6))</f>
        <v>#NUM!</v>
      </c>
      <c r="N461" t="e">
        <f t="array" ref="N461">(--INDEX('Raw Data'!$A$4:D$998,$F461,7))</f>
        <v>#NUM!</v>
      </c>
      <c r="O461" t="e">
        <f t="array" ref="O461">IF(--INDEX('Raw Data'!$A$4:E$998,$F461,8)= 0, 1, 0)</f>
        <v>#NUM!</v>
      </c>
      <c r="P461" t="e">
        <f t="array" ref="P461">IF(--INDEX('Raw Data'!$A$4:F$998,$F461,8)= 1, 1, 0)</f>
        <v>#NUM!</v>
      </c>
      <c r="Q461" t="e">
        <f t="array" ref="Q461">IF(--INDEX('Raw Data'!$A$4:G$998,$F461,13)= 1, 1, 0)</f>
        <v>#NUM!</v>
      </c>
      <c r="R461" t="e">
        <f t="array" ref="R461">IF(--INDEX('Raw Data'!$A$4:H$998,$F461,14)= 1, 1, 0)</f>
        <v>#NUM!</v>
      </c>
      <c r="S461" t="e">
        <f t="array" ref="S461">IF(--INDEX('Raw Data'!$A$4:I$998,$F461,15)= 1, 1, 0)</f>
        <v>#NUM!</v>
      </c>
      <c r="T461" t="e">
        <f t="array" ref="T461">IF(--INDEX('Raw Data'!$A$4:I$998,$F461,15)= 1, 1, 0)</f>
        <v>#NUM!</v>
      </c>
      <c r="U461" t="e">
        <f t="array" ref="U461">IF(--INDEX('Raw Data'!$A$4:J$998,$F461,16)= 1, 1, 0)</f>
        <v>#NUM!</v>
      </c>
      <c r="V461" t="e">
        <f t="array" ref="V461">IF(--INDEX('Raw Data'!$A$4:K$998,$F461,17)= 1, 1, 0)</f>
        <v>#NUM!</v>
      </c>
      <c r="W461" t="e">
        <f t="array" ref="W461">INDEX('Raw Data'!$A:$O,$F461,19)</f>
        <v>#NUM!</v>
      </c>
      <c r="X461" t="e">
        <f t="array" ref="X461">INDEX('Raw Data'!$A:$O,$F461,20)</f>
        <v>#NUM!</v>
      </c>
      <c r="Y461" t="e">
        <f t="array" ref="Y461">INDEX('Raw Data'!$A:$O,F461,21)</f>
        <v>#NUM!</v>
      </c>
      <c r="Z461" t="e">
        <f t="array" ref="Z461">INDEX('Raw Data'!$A:$O,$F461,3)</f>
        <v>#NUM!</v>
      </c>
      <c r="AA461" t="e">
        <f t="array" ref="AA461">INDEX('Raw Data'!$A:$O,$F461,22)</f>
        <v>#NUM!</v>
      </c>
      <c r="AB461" t="e">
        <f t="array" ref="AB461">INDEX('Raw Data'!$A:$O,$F461,23)</f>
        <v>#NUM!</v>
      </c>
    </row>
    <row r="462" spans="1:44" x14ac:dyDescent="0.25">
      <c r="F462" t="e">
        <f t="array" ref="F462">SMALL(IF('Raw Data'!A:A=C451,ROW('Raw Data'!A:A)),ROW('Raw Data'!$11:$11))</f>
        <v>#NUM!</v>
      </c>
      <c r="G462" t="e">
        <f t="array" ref="G462">INDEX('Raw Data'!A:A,F462,9)</f>
        <v>#NUM!</v>
      </c>
      <c r="H462" t="e">
        <f t="array" ref="H462">INDEX('Raw Data'!A:A,F462,10)</f>
        <v>#NUM!</v>
      </c>
      <c r="I462" t="e">
        <f t="array" ref="I462">INDEX('Raw Data'!$A:A,$F462,11)</f>
        <v>#NUM!</v>
      </c>
      <c r="J462" t="e">
        <f t="array" ref="J462">INDEX('Raw Data'!$A:A,F462,12)</f>
        <v>#NUM!</v>
      </c>
      <c r="K462" t="e">
        <f t="array" ref="K462">(--INDEX('Raw Data'!$A$4:B$998,F462,4))</f>
        <v>#NUM!</v>
      </c>
      <c r="L462" t="e">
        <f t="array" ref="L462">(--INDEX('Raw Data'!$A$4:B$998,F462,5))</f>
        <v>#NUM!</v>
      </c>
      <c r="M462" t="e">
        <f t="array" ref="M462">(--INDEX('Raw Data'!$A$4:D$998,$F462,6))</f>
        <v>#NUM!</v>
      </c>
      <c r="N462" t="e">
        <f t="array" ref="N462">(--INDEX('Raw Data'!$A$4:D$998,$F462,7))</f>
        <v>#NUM!</v>
      </c>
      <c r="O462" t="e">
        <f t="array" ref="O462">IF(--INDEX('Raw Data'!$A$4:E$998,$F462,8)= 0, 1, 0)</f>
        <v>#NUM!</v>
      </c>
      <c r="P462" t="e">
        <f t="array" ref="P462">IF(--INDEX('Raw Data'!$A$4:F$998,$F462,8)= 1, 1, 0)</f>
        <v>#NUM!</v>
      </c>
      <c r="Q462" t="e">
        <f t="array" ref="Q462">IF(--INDEX('Raw Data'!$A$4:G$998,$F462,13)= 1, 1, 0)</f>
        <v>#NUM!</v>
      </c>
      <c r="R462" t="e">
        <f t="array" ref="R462">IF(--INDEX('Raw Data'!$A$4:H$998,$F462,14)= 1, 1, 0)</f>
        <v>#NUM!</v>
      </c>
      <c r="S462" t="e">
        <f t="array" ref="S462">IF(--INDEX('Raw Data'!$A$4:I$998,$F462,15)= 1, 1, 0)</f>
        <v>#NUM!</v>
      </c>
      <c r="T462" t="e">
        <f t="array" ref="T462">IF(--INDEX('Raw Data'!$A$4:I$998,$F462,15)= 1, 1, 0)</f>
        <v>#NUM!</v>
      </c>
      <c r="U462" t="e">
        <f t="array" ref="U462">IF(--INDEX('Raw Data'!$A$4:J$998,$F462,16)= 1, 1, 0)</f>
        <v>#NUM!</v>
      </c>
      <c r="V462" t="e">
        <f t="array" ref="V462">IF(--INDEX('Raw Data'!$A$4:K$998,$F462,17)= 1, 1, 0)</f>
        <v>#NUM!</v>
      </c>
      <c r="W462" t="e">
        <f t="array" ref="W462">INDEX('Raw Data'!$A:$O,$F462,19)</f>
        <v>#NUM!</v>
      </c>
      <c r="X462" t="e">
        <f t="array" ref="X462">INDEX('Raw Data'!$A:$O,$F462,20)</f>
        <v>#NUM!</v>
      </c>
      <c r="Y462" t="e">
        <f t="array" ref="Y462">INDEX('Raw Data'!$A:$O,F462,21)</f>
        <v>#NUM!</v>
      </c>
      <c r="Z462" t="e">
        <f t="array" ref="Z462">INDEX('Raw Data'!$A:$O,$F462,3)</f>
        <v>#NUM!</v>
      </c>
      <c r="AA462" t="e">
        <f t="array" ref="AA462">INDEX('Raw Data'!$A:$O,$F462,22)</f>
        <v>#NUM!</v>
      </c>
      <c r="AB462" t="e">
        <f t="array" ref="AB462">INDEX('Raw Data'!$A:$O,$F462,23)</f>
        <v>#NUM!</v>
      </c>
    </row>
    <row r="463" spans="1:44" x14ac:dyDescent="0.25">
      <c r="F463" t="e">
        <f t="array" ref="F463">SMALL(IF('Raw Data'!A:A=C451,ROW('Raw Data'!A:A)),ROW('Raw Data'!$12:$12))</f>
        <v>#NUM!</v>
      </c>
      <c r="G463" t="e">
        <f t="array" ref="G463">INDEX('Raw Data'!A:A,F463,9)</f>
        <v>#NUM!</v>
      </c>
      <c r="H463" t="e">
        <f t="array" ref="H463">INDEX('Raw Data'!A:A,F463,10)</f>
        <v>#NUM!</v>
      </c>
      <c r="I463" t="e">
        <f t="array" ref="I463">INDEX('Raw Data'!$A:A,$F463,11)</f>
        <v>#NUM!</v>
      </c>
      <c r="J463" t="e">
        <f t="array" ref="J463">INDEX('Raw Data'!$A:A,F463,12)</f>
        <v>#NUM!</v>
      </c>
      <c r="K463" t="e">
        <f t="array" ref="K463">(--INDEX('Raw Data'!$A$4:B$998,F463,4))</f>
        <v>#NUM!</v>
      </c>
      <c r="L463" t="e">
        <f t="array" ref="L463">(--INDEX('Raw Data'!$A$4:B$998,F463,5))</f>
        <v>#NUM!</v>
      </c>
      <c r="M463" t="e">
        <f t="array" ref="M463">(--INDEX('Raw Data'!$A$4:D$998,$F463,6))</f>
        <v>#NUM!</v>
      </c>
      <c r="N463" t="e">
        <f t="array" ref="N463">(--INDEX('Raw Data'!$A$4:D$998,$F463,7))</f>
        <v>#NUM!</v>
      </c>
      <c r="O463" t="e">
        <f t="array" ref="O463">IF(--INDEX('Raw Data'!$A$4:E$998,$F463,8)= 0, 1, 0)</f>
        <v>#NUM!</v>
      </c>
      <c r="P463" t="e">
        <f t="array" ref="P463">IF(--INDEX('Raw Data'!$A$4:F$998,$F463,8)= 1, 1, 0)</f>
        <v>#NUM!</v>
      </c>
      <c r="Q463" t="e">
        <f t="array" ref="Q463">IF(--INDEX('Raw Data'!$A$4:G$998,$F463,13)= 1, 1, 0)</f>
        <v>#NUM!</v>
      </c>
      <c r="R463" t="e">
        <f t="array" ref="R463">IF(--INDEX('Raw Data'!$A$4:H$998,$F463,14)= 1, 1, 0)</f>
        <v>#NUM!</v>
      </c>
      <c r="S463" t="e">
        <f t="array" ref="S463">IF(--INDEX('Raw Data'!$A$4:I$998,$F463,15)= 1, 1, 0)</f>
        <v>#NUM!</v>
      </c>
      <c r="T463" t="e">
        <f t="array" ref="T463">IF(--INDEX('Raw Data'!$A$4:I$998,$F463,15)= 1, 1, 0)</f>
        <v>#NUM!</v>
      </c>
      <c r="U463" t="e">
        <f t="array" ref="U463">IF(--INDEX('Raw Data'!$A$4:J$998,$F463,16)= 1, 1, 0)</f>
        <v>#NUM!</v>
      </c>
      <c r="V463" t="e">
        <f t="array" ref="V463">IF(--INDEX('Raw Data'!$A$4:K$998,$F463,17)= 1, 1, 0)</f>
        <v>#NUM!</v>
      </c>
      <c r="W463" t="e">
        <f t="array" ref="W463">INDEX('Raw Data'!$A:$O,$F463,19)</f>
        <v>#NUM!</v>
      </c>
      <c r="X463" t="e">
        <f t="array" ref="X463">INDEX('Raw Data'!$A:$O,$F463,20)</f>
        <v>#NUM!</v>
      </c>
      <c r="Y463" t="e">
        <f t="array" ref="Y463">INDEX('Raw Data'!$A:$O,F463,21)</f>
        <v>#NUM!</v>
      </c>
      <c r="Z463" t="e">
        <f t="array" ref="Z463">INDEX('Raw Data'!$A:$O,$F463,3)</f>
        <v>#NUM!</v>
      </c>
      <c r="AA463" t="e">
        <f t="array" ref="AA463">INDEX('Raw Data'!$A:$O,$F463,22)</f>
        <v>#NUM!</v>
      </c>
      <c r="AB463" t="e">
        <f t="array" ref="AB463">INDEX('Raw Data'!$A:$O,$F463,23)</f>
        <v>#NUM!</v>
      </c>
    </row>
    <row r="464" spans="1:44" x14ac:dyDescent="0.25">
      <c r="F464" t="e">
        <f t="array" ref="F464">SMALL(IF('Raw Data'!A:A=C451,ROW('Raw Data'!A:A)),ROW('Raw Data'!$13:$13))</f>
        <v>#NUM!</v>
      </c>
      <c r="G464" t="e">
        <f t="array" ref="G464">INDEX('Raw Data'!A:A,F464,9)</f>
        <v>#NUM!</v>
      </c>
      <c r="H464" t="e">
        <f t="array" ref="H464">INDEX('Raw Data'!A:A,F464,10)</f>
        <v>#NUM!</v>
      </c>
      <c r="I464" t="e">
        <f t="array" ref="I464">INDEX('Raw Data'!$A:A,$F464,11)</f>
        <v>#NUM!</v>
      </c>
      <c r="J464" t="e">
        <f t="array" ref="J464">INDEX('Raw Data'!$A:A,F464,12)</f>
        <v>#NUM!</v>
      </c>
      <c r="K464" t="e">
        <f t="array" ref="K464">(--INDEX('Raw Data'!$A$4:B$998,F464,4))</f>
        <v>#NUM!</v>
      </c>
      <c r="L464" t="e">
        <f t="array" ref="L464">(--INDEX('Raw Data'!$A$4:B$998,F464,5))</f>
        <v>#NUM!</v>
      </c>
      <c r="M464" t="e">
        <f t="array" ref="M464">(--INDEX('Raw Data'!$A$4:D$998,$F464,6))</f>
        <v>#NUM!</v>
      </c>
      <c r="N464" t="e">
        <f t="array" ref="N464">(--INDEX('Raw Data'!$A$4:D$998,$F464,7))</f>
        <v>#NUM!</v>
      </c>
      <c r="O464" t="e">
        <f t="array" ref="O464">IF(--INDEX('Raw Data'!$A$4:E$998,$F464,8)= 0, 1, 0)</f>
        <v>#NUM!</v>
      </c>
      <c r="P464" t="e">
        <f t="array" ref="P464">IF(--INDEX('Raw Data'!$A$4:F$998,$F464,8)= 1, 1, 0)</f>
        <v>#NUM!</v>
      </c>
      <c r="Q464" t="e">
        <f t="array" ref="Q464">IF(--INDEX('Raw Data'!$A$4:G$998,$F464,13)= 1, 1, 0)</f>
        <v>#NUM!</v>
      </c>
      <c r="R464" t="e">
        <f t="array" ref="R464">IF(--INDEX('Raw Data'!$A$4:H$998,$F464,14)= 1, 1, 0)</f>
        <v>#NUM!</v>
      </c>
      <c r="S464" t="e">
        <f t="array" ref="S464">IF(--INDEX('Raw Data'!$A$4:I$998,$F464,15)= 1, 1, 0)</f>
        <v>#NUM!</v>
      </c>
      <c r="T464" t="e">
        <f t="array" ref="T464">IF(--INDEX('Raw Data'!$A$4:I$998,$F464,15)= 1, 1, 0)</f>
        <v>#NUM!</v>
      </c>
      <c r="U464" t="e">
        <f t="array" ref="U464">IF(--INDEX('Raw Data'!$A$4:J$998,$F464,16)= 1, 1, 0)</f>
        <v>#NUM!</v>
      </c>
      <c r="V464" t="e">
        <f t="array" ref="V464">IF(--INDEX('Raw Data'!$A$4:K$998,$F464,17)= 1, 1, 0)</f>
        <v>#NUM!</v>
      </c>
      <c r="W464" t="e">
        <f t="array" ref="W464">INDEX('Raw Data'!$A:$O,$F464,19)</f>
        <v>#NUM!</v>
      </c>
      <c r="X464" t="e">
        <f t="array" ref="X464">INDEX('Raw Data'!$A:$O,$F464,20)</f>
        <v>#NUM!</v>
      </c>
      <c r="Y464" t="e">
        <f t="array" ref="Y464">INDEX('Raw Data'!$A:$O,F464,21)</f>
        <v>#NUM!</v>
      </c>
      <c r="Z464" t="e">
        <f t="array" ref="Z464">INDEX('Raw Data'!$A:$O,$F464,3)</f>
        <v>#NUM!</v>
      </c>
      <c r="AA464" t="e">
        <f t="array" ref="AA464">INDEX('Raw Data'!$A:$O,$F464,22)</f>
        <v>#NUM!</v>
      </c>
      <c r="AB464" t="e">
        <f t="array" ref="AB464">INDEX('Raw Data'!$A:$O,$F464,23)</f>
        <v>#NUM!</v>
      </c>
    </row>
    <row r="465" spans="1:44" x14ac:dyDescent="0.25">
      <c r="F465" t="e">
        <f t="array" ref="F465">SMALL(IF('Raw Data'!A:A=C451,ROW('Raw Data'!A:A)),ROW('Raw Data'!$14:$14))</f>
        <v>#NUM!</v>
      </c>
      <c r="G465" t="e">
        <f t="array" ref="G465">INDEX('Raw Data'!A:A,F465,9)</f>
        <v>#NUM!</v>
      </c>
      <c r="H465" t="e">
        <f t="array" ref="H465">INDEX('Raw Data'!A:A,F465,10)</f>
        <v>#NUM!</v>
      </c>
      <c r="I465" t="e">
        <f t="array" ref="I465">INDEX('Raw Data'!$A:A,$F465,11)</f>
        <v>#NUM!</v>
      </c>
      <c r="J465" t="e">
        <f t="array" ref="J465">INDEX('Raw Data'!$A:A,F465,12)</f>
        <v>#NUM!</v>
      </c>
      <c r="K465" t="e">
        <f t="array" ref="K465">(--INDEX('Raw Data'!$A$4:B$998,F465,4))</f>
        <v>#NUM!</v>
      </c>
      <c r="L465" t="e">
        <f t="array" ref="L465">(--INDEX('Raw Data'!$A$4:B$998,F465,5))</f>
        <v>#NUM!</v>
      </c>
      <c r="M465" t="e">
        <f t="array" ref="M465">(--INDEX('Raw Data'!$A$4:D$998,$F465,6))</f>
        <v>#NUM!</v>
      </c>
      <c r="N465" t="e">
        <f t="array" ref="N465">(--INDEX('Raw Data'!$A$4:D$998,$F465,7))</f>
        <v>#NUM!</v>
      </c>
      <c r="O465" t="e">
        <f t="array" ref="O465">IF(--INDEX('Raw Data'!$A$4:E$998,$F465,8)= 0, 1, 0)</f>
        <v>#NUM!</v>
      </c>
      <c r="P465" t="e">
        <f t="array" ref="P465">IF(--INDEX('Raw Data'!$A$4:F$998,$F465,8)= 1, 1, 0)</f>
        <v>#NUM!</v>
      </c>
      <c r="Q465" t="e">
        <f t="array" ref="Q465">IF(--INDEX('Raw Data'!$A$4:G$998,$F465,13)= 1, 1, 0)</f>
        <v>#NUM!</v>
      </c>
      <c r="R465" t="e">
        <f t="array" ref="R465">IF(--INDEX('Raw Data'!$A$4:H$998,$F465,14)= 1, 1, 0)</f>
        <v>#NUM!</v>
      </c>
      <c r="S465" t="e">
        <f t="array" ref="S465">IF(--INDEX('Raw Data'!$A$4:I$998,$F465,15)= 1, 1, 0)</f>
        <v>#NUM!</v>
      </c>
      <c r="T465" t="e">
        <f t="array" ref="T465">IF(--INDEX('Raw Data'!$A$4:I$998,$F465,15)= 1, 1, 0)</f>
        <v>#NUM!</v>
      </c>
      <c r="U465" t="e">
        <f t="array" ref="U465">IF(--INDEX('Raw Data'!$A$4:J$998,$F465,16)= 1, 1, 0)</f>
        <v>#NUM!</v>
      </c>
      <c r="V465" t="e">
        <f t="array" ref="V465">IF(--INDEX('Raw Data'!$A$4:K$998,$F465,17)= 1, 1, 0)</f>
        <v>#NUM!</v>
      </c>
      <c r="W465" t="e">
        <f t="array" ref="W465">INDEX('Raw Data'!$A:$O,$F465,19)</f>
        <v>#NUM!</v>
      </c>
      <c r="X465" t="e">
        <f t="array" ref="X465">INDEX('Raw Data'!$A:$O,$F465,20)</f>
        <v>#NUM!</v>
      </c>
      <c r="Y465" t="e">
        <f t="array" ref="Y465">INDEX('Raw Data'!$A:$O,F465,21)</f>
        <v>#NUM!</v>
      </c>
      <c r="Z465" t="e">
        <f t="array" ref="Z465">INDEX('Raw Data'!$A:$O,$F465,3)</f>
        <v>#NUM!</v>
      </c>
      <c r="AA465" t="e">
        <f t="array" ref="AA465">INDEX('Raw Data'!$A:$O,$F465,22)</f>
        <v>#NUM!</v>
      </c>
      <c r="AB465" t="e">
        <f t="array" ref="AB465">INDEX('Raw Data'!$A:$O,$F465,23)</f>
        <v>#NUM!</v>
      </c>
    </row>
    <row r="466" spans="1:44" x14ac:dyDescent="0.25">
      <c r="F466" t="e">
        <f t="array" ref="F466">SMALL(IF('Raw Data'!A:A=C451,ROW('Raw Data'!A:A)),ROW('Raw Data'!$15:$15))</f>
        <v>#NUM!</v>
      </c>
      <c r="G466" t="e">
        <f t="array" ref="G466">INDEX('Raw Data'!A:A,F466,9)</f>
        <v>#NUM!</v>
      </c>
      <c r="H466" t="e">
        <f t="array" ref="H466">INDEX('Raw Data'!A:A,F466,10)</f>
        <v>#NUM!</v>
      </c>
      <c r="I466" t="e">
        <f t="array" ref="I466">INDEX('Raw Data'!$A:A,$F466,11)</f>
        <v>#NUM!</v>
      </c>
      <c r="J466" t="e">
        <f t="array" ref="J466">INDEX('Raw Data'!$A:A,F466,12)</f>
        <v>#NUM!</v>
      </c>
      <c r="K466" t="e">
        <f t="array" ref="K466">(--INDEX('Raw Data'!$A$4:B$998,F466,4))</f>
        <v>#NUM!</v>
      </c>
      <c r="L466" t="e">
        <f t="array" ref="L466">(--INDEX('Raw Data'!$A$4:B$998,F466,5))</f>
        <v>#NUM!</v>
      </c>
      <c r="M466" t="e">
        <f t="array" ref="M466">(--INDEX('Raw Data'!$A$4:D$998,$F466,6))</f>
        <v>#NUM!</v>
      </c>
      <c r="N466" t="e">
        <f t="array" ref="N466">(--INDEX('Raw Data'!$A$4:D$998,$F466,7))</f>
        <v>#NUM!</v>
      </c>
      <c r="O466" t="e">
        <f t="array" ref="O466">IF(--INDEX('Raw Data'!$A$4:E$998,$F466,8)= 0, 1, 0)</f>
        <v>#NUM!</v>
      </c>
      <c r="P466" t="e">
        <f t="array" ref="P466">IF(--INDEX('Raw Data'!$A$4:F$998,$F466,8)= 1, 1, 0)</f>
        <v>#NUM!</v>
      </c>
      <c r="Q466" t="e">
        <f t="array" ref="Q466">IF(--INDEX('Raw Data'!$A$4:G$998,$F466,13)= 1, 1, 0)</f>
        <v>#NUM!</v>
      </c>
      <c r="R466" t="e">
        <f t="array" ref="R466">IF(--INDEX('Raw Data'!$A$4:H$998,$F466,14)= 1, 1, 0)</f>
        <v>#NUM!</v>
      </c>
      <c r="S466" t="e">
        <f t="array" ref="S466">IF(--INDEX('Raw Data'!$A$4:I$998,$F466,15)= 1, 1, 0)</f>
        <v>#NUM!</v>
      </c>
      <c r="T466" t="e">
        <f t="array" ref="T466">IF(--INDEX('Raw Data'!$A$4:I$998,$F466,15)= 1, 1, 0)</f>
        <v>#NUM!</v>
      </c>
      <c r="U466" t="e">
        <f t="array" ref="U466">IF(--INDEX('Raw Data'!$A$4:J$998,$F466,16)= 1, 1, 0)</f>
        <v>#NUM!</v>
      </c>
      <c r="V466" t="e">
        <f t="array" ref="V466">IF(--INDEX('Raw Data'!$A$4:K$998,$F466,17)= 1, 1, 0)</f>
        <v>#NUM!</v>
      </c>
      <c r="W466" t="e">
        <f t="array" ref="W466">INDEX('Raw Data'!$A:$O,$F466,19)</f>
        <v>#NUM!</v>
      </c>
      <c r="X466" t="e">
        <f t="array" ref="X466">INDEX('Raw Data'!$A:$O,$F466,20)</f>
        <v>#NUM!</v>
      </c>
      <c r="Y466" t="e">
        <f t="array" ref="Y466">INDEX('Raw Data'!$A:$O,F466,21)</f>
        <v>#NUM!</v>
      </c>
      <c r="Z466" t="e">
        <f t="array" ref="Z466">INDEX('Raw Data'!$A:$O,$F466,3)</f>
        <v>#NUM!</v>
      </c>
      <c r="AA466" t="e">
        <f t="array" ref="AA466">INDEX('Raw Data'!$A:$O,$F466,22)</f>
        <v>#NUM!</v>
      </c>
      <c r="AB466" t="e">
        <f t="array" ref="AB466">INDEX('Raw Data'!$A:$O,$F466,23)</f>
        <v>#NUM!</v>
      </c>
    </row>
    <row r="467" spans="1:44" x14ac:dyDescent="0.25">
      <c r="A467" t="s">
        <v>55</v>
      </c>
      <c r="C467" s="2" t="e">
        <f>B457/B456</f>
        <v>#DIV/0!</v>
      </c>
      <c r="F467">
        <f t="array" ref="F467">COUNTIF(F452:F466,"&gt;0")</f>
        <v>0</v>
      </c>
      <c r="G467">
        <f t="array" ref="G467">SUMIF(G452:G466,"&gt;0")</f>
        <v>0</v>
      </c>
      <c r="H467">
        <f t="array" ref="H467">SUMIF(H452:H466,"&gt;0")</f>
        <v>0</v>
      </c>
      <c r="I467">
        <f t="array" ref="I467">SUMIF(I452:I466,"&gt;0")</f>
        <v>0</v>
      </c>
      <c r="J467">
        <f t="array" ref="J467">SUMIF(J452:J466,"&gt;0")</f>
        <v>0</v>
      </c>
      <c r="K467">
        <f t="array" ref="K467">SUMIF(K452:K466,"&gt;0")</f>
        <v>0</v>
      </c>
      <c r="L467">
        <f t="array" ref="L467">SUMIF(L452:L466,"&gt;0")</f>
        <v>0</v>
      </c>
      <c r="M467">
        <f t="array" ref="M467">SUMIF(M452:M466,"&gt;0")</f>
        <v>0</v>
      </c>
      <c r="N467">
        <f t="array" ref="N467">SUMIF(N452:N466,"&gt;0")</f>
        <v>0</v>
      </c>
      <c r="O467">
        <f t="array" ref="O467">SUMIF(O452:O466,"&gt;0")</f>
        <v>0</v>
      </c>
      <c r="P467">
        <f t="array" ref="P467">SUMIF(P452:P466,"&gt;0")</f>
        <v>0</v>
      </c>
      <c r="Q467">
        <f t="array" ref="Q467">SUMIF(Q452:Q466,"&gt;0")</f>
        <v>0</v>
      </c>
      <c r="R467">
        <f t="array" ref="R467">SUMIF(R452:R466,"&gt;0")</f>
        <v>0</v>
      </c>
      <c r="S467">
        <f t="array" ref="S467">SUMIF(S452:S466,"&gt;0")</f>
        <v>0</v>
      </c>
      <c r="T467">
        <f t="array" ref="T467">SUMIF(T452:T466,"&gt;0")</f>
        <v>0</v>
      </c>
      <c r="U467">
        <f t="array" ref="U467">SUMIF(U452:U466,"&gt;0")</f>
        <v>0</v>
      </c>
      <c r="V467">
        <f t="array" ref="V467">SUMIF(V452:V466,"&gt;0")</f>
        <v>0</v>
      </c>
      <c r="W467">
        <f t="array" ref="W467">SUMIF(W452:W466,"&gt;0")</f>
        <v>0</v>
      </c>
      <c r="X467">
        <f t="array" ref="X467">SUMIF(X452:X466,"&gt;0")</f>
        <v>0</v>
      </c>
      <c r="Y467">
        <f t="array" ref="Y467">SUMIF(Y452:Y466,"&gt;0")</f>
        <v>0</v>
      </c>
      <c r="Z467">
        <f t="array" ref="Z467">SUMIF(Z452:Z466,"&gt;0")</f>
        <v>0</v>
      </c>
      <c r="AA467">
        <f t="array" ref="AA467">SUMIF(AA452:AA466,"&gt;0")</f>
        <v>0</v>
      </c>
      <c r="AB467">
        <f t="array" ref="AB467">SUMIF(AB452:AB466,"&gt;0")</f>
        <v>0</v>
      </c>
    </row>
    <row r="468" spans="1:44" x14ac:dyDescent="0.25">
      <c r="A468" t="s">
        <v>58</v>
      </c>
      <c r="C468" s="2">
        <f t="array" ref="C468">IF((K467+L467)&lt;&gt;0, (L467/(K467+L467)),0)</f>
        <v>0</v>
      </c>
      <c r="J468" s="6">
        <f t="array" ref="J468">J467*10</f>
        <v>0</v>
      </c>
      <c r="K468" s="6"/>
      <c r="P468" t="s">
        <v>95</v>
      </c>
      <c r="Q468" s="2" t="e">
        <f t="array" ref="Q468">Q467/$F467</f>
        <v>#DIV/0!</v>
      </c>
      <c r="R468" s="2" t="e">
        <f t="array" ref="R468">R467/$F467</f>
        <v>#DIV/0!</v>
      </c>
      <c r="S468" s="2" t="e">
        <f t="array" ref="S468">S467/$F467</f>
        <v>#DIV/0!</v>
      </c>
      <c r="T468" s="2" t="e">
        <f t="array" ref="T468">T467/$F467</f>
        <v>#DIV/0!</v>
      </c>
      <c r="U468" s="2" t="e">
        <f t="array" ref="U468">U467/$F467</f>
        <v>#DIV/0!</v>
      </c>
      <c r="V468" s="2" t="e">
        <f t="array" ref="V468">V467/$F467</f>
        <v>#DIV/0!</v>
      </c>
      <c r="W468" s="2" t="e">
        <f t="array" ref="W468">W467/$F467</f>
        <v>#DIV/0!</v>
      </c>
      <c r="X468" s="2" t="e">
        <f t="array" ref="X468">X467/$F467</f>
        <v>#DIV/0!</v>
      </c>
      <c r="Z468" s="2" t="e">
        <f t="array" ref="Z468">Z467/F467</f>
        <v>#DIV/0!</v>
      </c>
    </row>
    <row r="469" spans="1:44" x14ac:dyDescent="0.25">
      <c r="A469" t="s">
        <v>60</v>
      </c>
      <c r="C469" s="2">
        <f t="array" ref="C469">IF((M467+N467)&lt;&gt;0, (N467/(M467+N467)),0)</f>
        <v>0</v>
      </c>
      <c r="J469" s="6"/>
      <c r="K469" s="6"/>
      <c r="AR469" s="25"/>
    </row>
    <row r="470" spans="1:44" ht="28.5" x14ac:dyDescent="0.45">
      <c r="A470" t="s">
        <v>61</v>
      </c>
      <c r="C470" s="2">
        <f t="array" ref="C470">IF(((K467+N467+L467+M467)&lt;&gt;0), ((L467+N467)/(K467+N467+L467+M467)),0)</f>
        <v>0</v>
      </c>
      <c r="F470" s="17" t="s">
        <v>106</v>
      </c>
      <c r="G470" s="17" t="e">
        <f t="array" ref="G470">'Weighting &amp; Ranking Sheet'!$B$3*Math!$C468+'Weighting &amp; Ranking Sheet'!$B$4*Math!$C469+'Weighting &amp; Ranking Sheet'!$B$5*Math!$C470+'Weighting &amp; Ranking Sheet'!$B$6*Math!$C471+'Weighting &amp; Ranking Sheet'!$B$7*Math!$C455+'Weighting &amp; Ranking Sheet'!$B$8*Math!$C467+'Weighting &amp; Ranking Sheet'!$B$9*Math!$C474+'Weighting &amp; Ranking Sheet'!$B$10*Math!$C472+'Weighting &amp; Ranking Sheet'!$B$11*Math!$C473+'Weighting &amp; Ranking Sheet'!$B$12*Math!$C475*0.01+'Weighting &amp; Ranking Sheet'!$B$13*Math!$Q468+'Weighting &amp; Ranking Sheet'!$B$14*Math!$R468+'Weighting &amp; Ranking Sheet'!$B$15*Math!$S468+'Weighting &amp; Ranking Sheet'!$B$16*Math!$T468+'Weighting &amp; Ranking Sheet'!$B$17*Math!$U468+'Weighting &amp; Ranking Sheet'!$B$18*Math!$V468+'Weighting &amp; Ranking Sheet'!$B$2*Math!$Z468</f>
        <v>#DIV/0!</v>
      </c>
      <c r="J470"/>
      <c r="K470"/>
      <c r="AR470" s="25"/>
    </row>
    <row r="471" spans="1:44" x14ac:dyDescent="0.25">
      <c r="A471" t="s">
        <v>62</v>
      </c>
      <c r="C471" s="2">
        <f t="array" ref="C471">IF((O467+P467&lt;&gt;0),(P467/(O467+P467)), 0)</f>
        <v>0</v>
      </c>
      <c r="J471"/>
      <c r="K471"/>
      <c r="AR471" s="25"/>
    </row>
    <row r="472" spans="1:44" x14ac:dyDescent="0.25">
      <c r="A472" t="s">
        <v>77</v>
      </c>
      <c r="C472" s="8" t="e">
        <f t="array" ref="C472">W467/F467</f>
        <v>#DIV/0!</v>
      </c>
      <c r="J472"/>
      <c r="K472"/>
      <c r="AR472" s="23"/>
    </row>
    <row r="473" spans="1:44" x14ac:dyDescent="0.25">
      <c r="A473" t="s">
        <v>78</v>
      </c>
      <c r="C473" s="8" t="e">
        <f t="array" ref="C473">X467/F467</f>
        <v>#DIV/0!</v>
      </c>
      <c r="J473"/>
      <c r="K473"/>
    </row>
    <row r="474" spans="1:44" x14ac:dyDescent="0.25">
      <c r="A474" t="s">
        <v>91</v>
      </c>
      <c r="C474" s="2" t="e">
        <f t="array" ref="C474">(C455+C467)/2</f>
        <v>#DIV/0!</v>
      </c>
      <c r="J474"/>
      <c r="K474"/>
    </row>
    <row r="475" spans="1:44" x14ac:dyDescent="0.25">
      <c r="A475" t="s">
        <v>92</v>
      </c>
      <c r="C475" s="8" t="e">
        <f t="array" ref="C475">Y467/F467</f>
        <v>#DIV/0!</v>
      </c>
      <c r="J475"/>
      <c r="K475"/>
    </row>
    <row r="476" spans="1:44" x14ac:dyDescent="0.25">
      <c r="C476" s="8"/>
      <c r="J476" s="6"/>
      <c r="K476" s="6"/>
    </row>
    <row r="477" spans="1:44" x14ac:dyDescent="0.25">
      <c r="C477" s="8"/>
      <c r="J477" s="6"/>
      <c r="K477" s="6"/>
    </row>
    <row r="478" spans="1:44" x14ac:dyDescent="0.25">
      <c r="J478" s="6"/>
      <c r="K478" s="6"/>
    </row>
    <row r="479" spans="1:44" x14ac:dyDescent="0.25">
      <c r="A479" t="s">
        <v>3</v>
      </c>
      <c r="C479" s="5">
        <v>816</v>
      </c>
      <c r="F479" t="s">
        <v>21</v>
      </c>
    </row>
    <row r="480" spans="1:44" x14ac:dyDescent="0.25">
      <c r="F480" t="e">
        <f t="array" ref="F480">SMALL(IF('Raw Data'!A:A=C479,ROW('Raw Data'!A:A)),ROW('Raw Data'!$1:$1))</f>
        <v>#NUM!</v>
      </c>
      <c r="G480" t="e">
        <f t="array" ref="G480">INDEX('Raw Data'!A:A,F480,9)</f>
        <v>#NUM!</v>
      </c>
      <c r="H480" t="e">
        <f t="array" ref="H480">INDEX('Raw Data'!A:A,F480,10)</f>
        <v>#NUM!</v>
      </c>
      <c r="I480" t="e">
        <f t="array" ref="I480">INDEX('Raw Data'!$A:A,$F480,11)</f>
        <v>#NUM!</v>
      </c>
      <c r="J480" t="e">
        <f t="array" ref="J480">INDEX('Raw Data'!$A:A,F480,12)</f>
        <v>#NUM!</v>
      </c>
      <c r="K480" t="e">
        <f>(--INDEX('Raw Data'!$A$4:B$993,F480,4))</f>
        <v>#NUM!</v>
      </c>
      <c r="L480" t="e">
        <f t="array" ref="L480">(--INDEX('Raw Data'!$A$4:B$993,F480,5))</f>
        <v>#NUM!</v>
      </c>
      <c r="M480" t="e">
        <f t="array" ref="M480">(--INDEX('Raw Data'!$A$4:D$993,$F480,6))</f>
        <v>#NUM!</v>
      </c>
      <c r="N480" t="e">
        <f t="array" ref="N480">(--INDEX('Raw Data'!$A$4:D$993,$F480,7))</f>
        <v>#NUM!</v>
      </c>
      <c r="O480" t="e">
        <f t="array" ref="O480">IF(--INDEX('Raw Data'!$A$4:E$993,$F480,8)= 0, 1, 0)</f>
        <v>#NUM!</v>
      </c>
      <c r="P480" t="e">
        <f t="array" ref="P480">IF(--INDEX('Raw Data'!$A$4:F$993,$F480,8)= 1, 1, 0)</f>
        <v>#NUM!</v>
      </c>
      <c r="Q480" t="e">
        <f t="array" ref="Q480">IF(--INDEX('Raw Data'!$A$4:G$993,$F480,13)= 1, 1, 0)</f>
        <v>#NUM!</v>
      </c>
      <c r="R480" t="e">
        <f t="array" ref="R480">IF(--INDEX('Raw Data'!$A$4:H$993,$F480,14)= 1, 1, 0)</f>
        <v>#NUM!</v>
      </c>
      <c r="S480" t="e">
        <f t="array" ref="S480">IF(--INDEX('Raw Data'!$A$4:I$993,$F480,15)= 1, 1, 0)</f>
        <v>#NUM!</v>
      </c>
      <c r="T480" t="e">
        <f t="array" ref="T480">IF(--INDEX('Raw Data'!$A$4:I$993,$F480,15)= 1, 1, 0)</f>
        <v>#NUM!</v>
      </c>
      <c r="U480" t="e">
        <f t="array" ref="U480">IF(--INDEX('Raw Data'!$A$4:J$993,$F480,16)= 1, 1, 0)</f>
        <v>#NUM!</v>
      </c>
      <c r="V480" t="e">
        <f t="array" ref="V480">IF(--INDEX('Raw Data'!$A$4:K$993,$F480,17)= 1, 1, 0)</f>
        <v>#NUM!</v>
      </c>
      <c r="W480" t="e">
        <f t="array" ref="W480">INDEX('Raw Data'!$A:$O,$F480,19)</f>
        <v>#NUM!</v>
      </c>
      <c r="X480" t="e">
        <f t="array" ref="X480">INDEX('Raw Data'!$A:$O,$F480,20)</f>
        <v>#NUM!</v>
      </c>
      <c r="Y480" t="e">
        <f t="array" ref="Y480">INDEX('Raw Data'!$A:$O,F480,21)</f>
        <v>#NUM!</v>
      </c>
      <c r="Z480" t="e">
        <f t="array" ref="Z480">INDEX('Raw Data'!$A:$O,$F480,3)</f>
        <v>#NUM!</v>
      </c>
      <c r="AA480" t="e">
        <f t="array" ref="AA480">INDEX('Raw Data'!$A:$O,$F480,22)</f>
        <v>#NUM!</v>
      </c>
      <c r="AB480" t="e">
        <f t="array" ref="AB480">INDEX('Raw Data'!$A:$O,$F480,23)</f>
        <v>#NUM!</v>
      </c>
    </row>
    <row r="481" spans="1:44" x14ac:dyDescent="0.25">
      <c r="A481" t="s">
        <v>0</v>
      </c>
      <c r="B481">
        <f>G495</f>
        <v>0</v>
      </c>
      <c r="F481" t="e">
        <f t="array" ref="F481">SMALL(IF('Raw Data'!A:A=C479,ROW('Raw Data'!A:A)),ROW('Raw Data'!$2:$2))</f>
        <v>#NUM!</v>
      </c>
      <c r="G481" t="e">
        <f t="array" ref="G481">INDEX('Raw Data'!A:A,F481,9)</f>
        <v>#NUM!</v>
      </c>
      <c r="H481" t="e">
        <f t="array" ref="H481">INDEX('Raw Data'!A:A,F481,10)</f>
        <v>#NUM!</v>
      </c>
      <c r="I481" t="e">
        <f t="array" ref="I481">INDEX('Raw Data'!$A:A,$F481,11)</f>
        <v>#NUM!</v>
      </c>
      <c r="J481" t="e">
        <f t="array" ref="J481">INDEX('Raw Data'!$A:A,F481,12)</f>
        <v>#NUM!</v>
      </c>
      <c r="K481" t="e">
        <f>(--INDEX('Raw Data'!$A$4:B$993,F481,4))</f>
        <v>#NUM!</v>
      </c>
      <c r="L481" t="e">
        <f t="array" ref="L481">(--INDEX('Raw Data'!$A$4:B$993,F481,5))</f>
        <v>#NUM!</v>
      </c>
      <c r="M481" t="e">
        <f t="array" ref="M481">(--INDEX('Raw Data'!$A$4:D$993,$F481,6))</f>
        <v>#NUM!</v>
      </c>
      <c r="N481" t="e">
        <f t="array" ref="N481">(--INDEX('Raw Data'!$A$4:D$993,$F481,7))</f>
        <v>#NUM!</v>
      </c>
      <c r="O481" t="e">
        <f t="array" ref="O481">IF(--INDEX('Raw Data'!$A$4:E$993,$F481,8)= 0, 1, 0)</f>
        <v>#NUM!</v>
      </c>
      <c r="P481" t="e">
        <f t="array" ref="P481">IF(--INDEX('Raw Data'!$A$4:F$993,$F481,8)= 1, 1, 0)</f>
        <v>#NUM!</v>
      </c>
      <c r="Q481" t="e">
        <f t="array" ref="Q481">IF(--INDEX('Raw Data'!$A$4:G$993,$F481,13)= 1, 1, 0)</f>
        <v>#NUM!</v>
      </c>
      <c r="R481" t="e">
        <f t="array" ref="R481">IF(--INDEX('Raw Data'!$A$4:H$993,$F481,14)= 1, 1, 0)</f>
        <v>#NUM!</v>
      </c>
      <c r="S481" t="e">
        <f t="array" ref="S481">IF(--INDEX('Raw Data'!$A$4:I$993,$F481,15)= 1, 1, 0)</f>
        <v>#NUM!</v>
      </c>
      <c r="T481" t="e">
        <f t="array" ref="T481">IF(--INDEX('Raw Data'!$A$4:I$993,$F481,15)= 1, 1, 0)</f>
        <v>#NUM!</v>
      </c>
      <c r="U481" t="e">
        <f t="array" ref="U481">IF(--INDEX('Raw Data'!$A$4:J$993,$F481,16)= 1, 1, 0)</f>
        <v>#NUM!</v>
      </c>
      <c r="V481" t="e">
        <f t="array" ref="V481">IF(--INDEX('Raw Data'!$A$4:K$993,$F481,17)= 1, 1, 0)</f>
        <v>#NUM!</v>
      </c>
      <c r="W481" t="e">
        <f t="array" ref="W481">INDEX('Raw Data'!$A:$O,$F481,19)</f>
        <v>#NUM!</v>
      </c>
      <c r="X481" t="e">
        <f t="array" ref="X481">INDEX('Raw Data'!$A:$O,$F481,20)</f>
        <v>#NUM!</v>
      </c>
      <c r="Y481" t="e">
        <f t="array" ref="Y481">INDEX('Raw Data'!$A:$O,F481,21)</f>
        <v>#NUM!</v>
      </c>
      <c r="Z481" t="e">
        <f t="array" ref="Z481">INDEX('Raw Data'!$A:$O,$F481,3)</f>
        <v>#NUM!</v>
      </c>
      <c r="AA481" t="e">
        <f t="array" ref="AA481">INDEX('Raw Data'!$A:$O,$F481,22)</f>
        <v>#NUM!</v>
      </c>
      <c r="AB481" t="e">
        <f t="array" ref="AB481">INDEX('Raw Data'!$A:$O,$F481,23)</f>
        <v>#NUM!</v>
      </c>
    </row>
    <row r="482" spans="1:44" x14ac:dyDescent="0.25">
      <c r="A482" t="s">
        <v>1</v>
      </c>
      <c r="B482">
        <f>H495</f>
        <v>0</v>
      </c>
      <c r="F482" t="e">
        <f t="array" ref="F482">SMALL(IF('Raw Data'!A:A=C479,ROW('Raw Data'!A:A)),ROW('Raw Data'!$3:$3))</f>
        <v>#NUM!</v>
      </c>
      <c r="G482" t="e">
        <f t="array" ref="G482">INDEX('Raw Data'!A:A,F482,9)</f>
        <v>#NUM!</v>
      </c>
      <c r="H482" t="e">
        <f t="array" ref="H482">INDEX('Raw Data'!A:A,F482,10)</f>
        <v>#NUM!</v>
      </c>
      <c r="I482" t="e">
        <f t="array" ref="I482">INDEX('Raw Data'!$A:A,$F482,11)</f>
        <v>#NUM!</v>
      </c>
      <c r="J482" t="e">
        <f t="array" ref="J482">INDEX('Raw Data'!$A:A,F482,12)</f>
        <v>#NUM!</v>
      </c>
      <c r="K482" t="e">
        <f>(--INDEX('Raw Data'!$A$4:B$993,F482,4))</f>
        <v>#NUM!</v>
      </c>
      <c r="L482" t="e">
        <f t="array" ref="L482">(--INDEX('Raw Data'!$A$4:B$993,F482,5))</f>
        <v>#NUM!</v>
      </c>
      <c r="M482" t="e">
        <f t="array" ref="M482">(--INDEX('Raw Data'!$A$4:D$993,$F482,6))</f>
        <v>#NUM!</v>
      </c>
      <c r="N482" t="e">
        <f t="array" ref="N482">(--INDEX('Raw Data'!$A$4:D$993,$F482,7))</f>
        <v>#NUM!</v>
      </c>
      <c r="O482" t="e">
        <f t="array" ref="O482">IF(--INDEX('Raw Data'!$A$4:E$993,$F482,8)= 0, 1, 0)</f>
        <v>#NUM!</v>
      </c>
      <c r="P482" t="e">
        <f t="array" ref="P482">IF(--INDEX('Raw Data'!$A$4:F$993,$F482,8)= 1, 1, 0)</f>
        <v>#NUM!</v>
      </c>
      <c r="Q482" t="e">
        <f t="array" ref="Q482">IF(--INDEX('Raw Data'!$A$4:G$993,$F482,13)= 1, 1, 0)</f>
        <v>#NUM!</v>
      </c>
      <c r="R482" t="e">
        <f t="array" ref="R482">IF(--INDEX('Raw Data'!$A$4:H$993,$F482,14)= 1, 1, 0)</f>
        <v>#NUM!</v>
      </c>
      <c r="S482" t="e">
        <f t="array" ref="S482">IF(--INDEX('Raw Data'!$A$4:I$993,$F482,15)= 1, 1, 0)</f>
        <v>#NUM!</v>
      </c>
      <c r="T482" t="e">
        <f t="array" ref="T482">IF(--INDEX('Raw Data'!$A$4:I$993,$F482,15)= 1, 1, 0)</f>
        <v>#NUM!</v>
      </c>
      <c r="U482" t="e">
        <f t="array" ref="U482">IF(--INDEX('Raw Data'!$A$4:J$993,$F482,16)= 1, 1, 0)</f>
        <v>#NUM!</v>
      </c>
      <c r="V482" t="e">
        <f t="array" ref="V482">IF(--INDEX('Raw Data'!$A$4:K$993,$F482,17)= 1, 1, 0)</f>
        <v>#NUM!</v>
      </c>
      <c r="W482" t="e">
        <f t="array" ref="W482">INDEX('Raw Data'!$A:$O,$F482,19)</f>
        <v>#NUM!</v>
      </c>
      <c r="X482" t="e">
        <f t="array" ref="X482">INDEX('Raw Data'!$A:$O,$F482,20)</f>
        <v>#NUM!</v>
      </c>
      <c r="Y482" t="e">
        <f t="array" ref="Y482">INDEX('Raw Data'!$A:$O,F482,21)</f>
        <v>#NUM!</v>
      </c>
      <c r="Z482" t="e">
        <f t="array" ref="Z482">INDEX('Raw Data'!$A:$O,$F482,3)</f>
        <v>#NUM!</v>
      </c>
      <c r="AA482" t="e">
        <f t="array" ref="AA482">INDEX('Raw Data'!$A:$O,$F482,22)</f>
        <v>#NUM!</v>
      </c>
      <c r="AB482" t="e">
        <f t="array" ref="AB482">INDEX('Raw Data'!$A:$O,$F482,23)</f>
        <v>#NUM!</v>
      </c>
    </row>
    <row r="483" spans="1:44" x14ac:dyDescent="0.25">
      <c r="A483" t="s">
        <v>2</v>
      </c>
      <c r="C483" s="3" t="e">
        <f>B482/B481</f>
        <v>#DIV/0!</v>
      </c>
      <c r="F483" t="e">
        <f t="array" ref="F483">SMALL(IF('Raw Data'!A:A=C479,ROW('Raw Data'!A:A)),ROW('Raw Data'!$4:$4))</f>
        <v>#NUM!</v>
      </c>
      <c r="G483" t="e">
        <f t="array" ref="G483">INDEX('Raw Data'!A:A,F483,9)</f>
        <v>#NUM!</v>
      </c>
      <c r="H483" t="e">
        <f t="array" ref="H483">INDEX('Raw Data'!A:A,F483,10)</f>
        <v>#NUM!</v>
      </c>
      <c r="I483" t="e">
        <f t="array" ref="I483">INDEX('Raw Data'!$A:A,$F483,11)</f>
        <v>#NUM!</v>
      </c>
      <c r="J483" t="e">
        <f t="array" ref="J483">INDEX('Raw Data'!$A:A,F483,12)</f>
        <v>#NUM!</v>
      </c>
      <c r="K483" t="e">
        <f>(--INDEX('Raw Data'!$A$4:B$993,F483,4))</f>
        <v>#NUM!</v>
      </c>
      <c r="L483" t="e">
        <f t="array" ref="L483">(--INDEX('Raw Data'!$A$4:B$993,F483,5))</f>
        <v>#NUM!</v>
      </c>
      <c r="M483" t="e">
        <f t="array" ref="M483">(--INDEX('Raw Data'!$A$4:D$993,$F483,6))</f>
        <v>#NUM!</v>
      </c>
      <c r="N483" t="e">
        <f t="array" ref="N483">(--INDEX('Raw Data'!$A$4:D$993,$F483,7))</f>
        <v>#NUM!</v>
      </c>
      <c r="O483" t="e">
        <f t="array" ref="O483">IF(--INDEX('Raw Data'!$A$4:E$993,$F483,8)= 0, 1, 0)</f>
        <v>#NUM!</v>
      </c>
      <c r="P483" t="e">
        <f t="array" ref="P483">IF(--INDEX('Raw Data'!$A$4:F$993,$F483,8)= 1, 1, 0)</f>
        <v>#NUM!</v>
      </c>
      <c r="Q483" t="e">
        <f t="array" ref="Q483">IF(--INDEX('Raw Data'!$A$4:G$993,$F483,13)= 1, 1, 0)</f>
        <v>#NUM!</v>
      </c>
      <c r="R483" t="e">
        <f t="array" ref="R483">IF(--INDEX('Raw Data'!$A$4:H$993,$F483,14)= 1, 1, 0)</f>
        <v>#NUM!</v>
      </c>
      <c r="S483" t="e">
        <f t="array" ref="S483">IF(--INDEX('Raw Data'!$A$4:I$993,$F483,15)= 1, 1, 0)</f>
        <v>#NUM!</v>
      </c>
      <c r="T483" t="e">
        <f t="array" ref="T483">IF(--INDEX('Raw Data'!$A$4:I$993,$F483,15)= 1, 1, 0)</f>
        <v>#NUM!</v>
      </c>
      <c r="U483" t="e">
        <f t="array" ref="U483">IF(--INDEX('Raw Data'!$A$4:J$993,$F483,16)= 1, 1, 0)</f>
        <v>#NUM!</v>
      </c>
      <c r="V483" t="e">
        <f t="array" ref="V483">IF(--INDEX('Raw Data'!$A$4:K$993,$F483,17)= 1, 1, 0)</f>
        <v>#NUM!</v>
      </c>
      <c r="W483" t="e">
        <f t="array" ref="W483">INDEX('Raw Data'!$A:$O,$F483,19)</f>
        <v>#NUM!</v>
      </c>
      <c r="X483" t="e">
        <f t="array" ref="X483">INDEX('Raw Data'!$A:$O,$F483,20)</f>
        <v>#NUM!</v>
      </c>
      <c r="Y483" t="e">
        <f t="array" ref="Y483">INDEX('Raw Data'!$A:$O,F483,21)</f>
        <v>#NUM!</v>
      </c>
      <c r="Z483" t="e">
        <f t="array" ref="Z483">INDEX('Raw Data'!$A:$O,$F483,3)</f>
        <v>#NUM!</v>
      </c>
      <c r="AA483" t="e">
        <f t="array" ref="AA483">INDEX('Raw Data'!$A:$O,$F483,22)</f>
        <v>#NUM!</v>
      </c>
      <c r="AB483" t="e">
        <f t="array" ref="AB483">INDEX('Raw Data'!$A:$O,$F483,23)</f>
        <v>#NUM!</v>
      </c>
    </row>
    <row r="484" spans="1:44" x14ac:dyDescent="0.25">
      <c r="A484" t="s">
        <v>54</v>
      </c>
      <c r="B484">
        <f>I495</f>
        <v>0</v>
      </c>
      <c r="F484" t="e">
        <f t="array" ref="F484">SMALL(IF('Raw Data'!A:A=C479,ROW('Raw Data'!A:A)),ROW('Raw Data'!$5:$5))</f>
        <v>#NUM!</v>
      </c>
      <c r="G484" t="e">
        <f t="array" ref="G484">INDEX('Raw Data'!A:A,F484,9)</f>
        <v>#NUM!</v>
      </c>
      <c r="H484" t="e">
        <f t="array" ref="H484">INDEX('Raw Data'!A:A,F484,10)</f>
        <v>#NUM!</v>
      </c>
      <c r="I484" t="e">
        <f t="array" ref="I484">INDEX('Raw Data'!$A:A,$F484,11)</f>
        <v>#NUM!</v>
      </c>
      <c r="J484" t="e">
        <f t="array" ref="J484">INDEX('Raw Data'!$A:A,F484,12)</f>
        <v>#NUM!</v>
      </c>
      <c r="K484" t="e">
        <f>(--INDEX('Raw Data'!$A$4:B$993,F484,4))</f>
        <v>#NUM!</v>
      </c>
      <c r="L484" t="e">
        <f t="array" ref="L484">(--INDEX('Raw Data'!$A$4:B$993,F484,5))</f>
        <v>#NUM!</v>
      </c>
      <c r="M484" t="e">
        <f t="array" ref="M484">(--INDEX('Raw Data'!$A$4:D$993,$F484,6))</f>
        <v>#NUM!</v>
      </c>
      <c r="N484" t="e">
        <f t="array" ref="N484">(--INDEX('Raw Data'!$A$4:D$993,$F484,7))</f>
        <v>#NUM!</v>
      </c>
      <c r="O484" t="e">
        <f t="array" ref="O484">IF(--INDEX('Raw Data'!$A$4:E$993,$F484,8)= 0, 1, 0)</f>
        <v>#NUM!</v>
      </c>
      <c r="P484" t="e">
        <f t="array" ref="P484">IF(--INDEX('Raw Data'!$A$4:F$993,$F484,8)= 1, 1, 0)</f>
        <v>#NUM!</v>
      </c>
      <c r="Q484" t="e">
        <f t="array" ref="Q484">IF(--INDEX('Raw Data'!$A$4:G$993,$F484,13)= 1, 1, 0)</f>
        <v>#NUM!</v>
      </c>
      <c r="R484" t="e">
        <f t="array" ref="R484">IF(--INDEX('Raw Data'!$A$4:H$993,$F484,14)= 1, 1, 0)</f>
        <v>#NUM!</v>
      </c>
      <c r="S484" t="e">
        <f t="array" ref="S484">IF(--INDEX('Raw Data'!$A$4:I$993,$F484,15)= 1, 1, 0)</f>
        <v>#NUM!</v>
      </c>
      <c r="T484" t="e">
        <f t="array" ref="T484">IF(--INDEX('Raw Data'!$A$4:I$993,$F484,15)= 1, 1, 0)</f>
        <v>#NUM!</v>
      </c>
      <c r="U484" t="e">
        <f t="array" ref="U484">IF(--INDEX('Raw Data'!$A$4:J$993,$F484,16)= 1, 1, 0)</f>
        <v>#NUM!</v>
      </c>
      <c r="V484" t="e">
        <f t="array" ref="V484">IF(--INDEX('Raw Data'!$A$4:K$993,$F484,17)= 1, 1, 0)</f>
        <v>#NUM!</v>
      </c>
      <c r="W484" t="e">
        <f t="array" ref="W484">INDEX('Raw Data'!$A:$O,$F484,19)</f>
        <v>#NUM!</v>
      </c>
      <c r="X484" t="e">
        <f t="array" ref="X484">INDEX('Raw Data'!$A:$O,$F484,20)</f>
        <v>#NUM!</v>
      </c>
      <c r="Y484" t="e">
        <f t="array" ref="Y484">INDEX('Raw Data'!$A:$O,F484,21)</f>
        <v>#NUM!</v>
      </c>
      <c r="Z484" t="e">
        <f t="array" ref="Z484">INDEX('Raw Data'!$A:$O,$F484,3)</f>
        <v>#NUM!</v>
      </c>
      <c r="AA484" t="e">
        <f t="array" ref="AA484">INDEX('Raw Data'!$A:$O,$F484,22)</f>
        <v>#NUM!</v>
      </c>
      <c r="AB484" t="e">
        <f t="array" ref="AB484">INDEX('Raw Data'!$A:$O,$F484,23)</f>
        <v>#NUM!</v>
      </c>
      <c r="AR484" s="25"/>
    </row>
    <row r="485" spans="1:44" x14ac:dyDescent="0.25">
      <c r="A485" t="s">
        <v>35</v>
      </c>
      <c r="B485">
        <f>J495</f>
        <v>0</v>
      </c>
      <c r="F485" t="e">
        <f t="array" ref="F485">SMALL(IF('Raw Data'!A:A=C479,ROW('Raw Data'!A:A)),ROW('Raw Data'!$6:$6))</f>
        <v>#NUM!</v>
      </c>
      <c r="G485" t="e">
        <f t="array" ref="G485">INDEX('Raw Data'!A:A,F485,9)</f>
        <v>#NUM!</v>
      </c>
      <c r="H485" t="e">
        <f t="array" ref="H485">INDEX('Raw Data'!A:A,F485,10)</f>
        <v>#NUM!</v>
      </c>
      <c r="I485" t="e">
        <f t="array" ref="I485">INDEX('Raw Data'!$A:A,$F485,11)</f>
        <v>#NUM!</v>
      </c>
      <c r="J485" t="e">
        <f t="array" ref="J485">INDEX('Raw Data'!$A:A,F485,12)</f>
        <v>#NUM!</v>
      </c>
      <c r="K485" t="e">
        <f>(--INDEX('Raw Data'!$A$4:B$993,F485,4))</f>
        <v>#NUM!</v>
      </c>
      <c r="L485" t="e">
        <f t="array" ref="L485">(--INDEX('Raw Data'!$A$4:B$998,F485,5))</f>
        <v>#NUM!</v>
      </c>
      <c r="M485" t="e">
        <f t="array" ref="M485">(--INDEX('Raw Data'!$A$4:D$998,$F485,6))</f>
        <v>#NUM!</v>
      </c>
      <c r="N485" t="e">
        <f t="array" ref="N485">(--INDEX('Raw Data'!$A$4:D$993,$F485,7))</f>
        <v>#NUM!</v>
      </c>
      <c r="O485" t="e">
        <f t="array" ref="O485">IF(--INDEX('Raw Data'!$A$4:E$993,$F485,8)= 0, 1, 0)</f>
        <v>#NUM!</v>
      </c>
      <c r="P485" t="e">
        <f t="array" ref="P485">IF(--INDEX('Raw Data'!$A$4:F$998,$F485,8)= 1, 1, 0)</f>
        <v>#NUM!</v>
      </c>
      <c r="Q485" t="e">
        <f t="array" ref="Q485">IF(--INDEX('Raw Data'!$A$4:G$998,$F485,13)= 1, 1, 0)</f>
        <v>#NUM!</v>
      </c>
      <c r="R485" t="e">
        <f t="array" ref="R485">IF(--INDEX('Raw Data'!$A$4:H$998,$F485,14)= 1, 1, 0)</f>
        <v>#NUM!</v>
      </c>
      <c r="S485" t="e">
        <f t="array" ref="S485">IF(--INDEX('Raw Data'!$A$4:I$993,$F485,15)= 1, 1, 0)</f>
        <v>#NUM!</v>
      </c>
      <c r="T485" t="e">
        <f t="array" ref="T485">IF(--INDEX('Raw Data'!$A$4:I$998,$F485,15)= 1, 1, 0)</f>
        <v>#NUM!</v>
      </c>
      <c r="U485" t="e">
        <f t="array" ref="U485">IF(--INDEX('Raw Data'!$A$4:J$998,$F485,16)= 1, 1, 0)</f>
        <v>#NUM!</v>
      </c>
      <c r="V485" t="e">
        <f t="array" ref="V485">IF(--INDEX('Raw Data'!$A$4:K$993,$F485,17)= 1, 1, 0)</f>
        <v>#NUM!</v>
      </c>
      <c r="W485" t="e">
        <f t="array" ref="W485">INDEX('Raw Data'!$A:$O,$F485,19)</f>
        <v>#NUM!</v>
      </c>
      <c r="X485" t="e">
        <f t="array" ref="X485">INDEX('Raw Data'!$A:$O,$F485,20)</f>
        <v>#NUM!</v>
      </c>
      <c r="Y485" t="e">
        <f t="array" ref="Y485">INDEX('Raw Data'!$A:$O,F485,21)</f>
        <v>#NUM!</v>
      </c>
      <c r="Z485" t="e">
        <f t="array" ref="Z485">INDEX('Raw Data'!$A:$O,$F485,3)</f>
        <v>#NUM!</v>
      </c>
      <c r="AA485" t="e">
        <f t="array" ref="AA485">INDEX('Raw Data'!$A:$O,$F485,22)</f>
        <v>#NUM!</v>
      </c>
      <c r="AB485" t="e">
        <f t="array" ref="AB485">INDEX('Raw Data'!$A:$O,$F485,23)</f>
        <v>#NUM!</v>
      </c>
      <c r="AR485" s="25"/>
    </row>
    <row r="486" spans="1:44" ht="28.5" x14ac:dyDescent="0.45">
      <c r="F486" t="e">
        <f t="array" ref="F486">SMALL(IF('Raw Data'!A:A=C479,ROW('Raw Data'!A:A)),ROW('Raw Data'!$7:$7))</f>
        <v>#NUM!</v>
      </c>
      <c r="G486" t="e">
        <f t="array" ref="G486">INDEX('Raw Data'!A:A,F486,9)</f>
        <v>#NUM!</v>
      </c>
      <c r="H486" t="e">
        <f t="array" ref="H486">INDEX('Raw Data'!A:A,F486,10)</f>
        <v>#NUM!</v>
      </c>
      <c r="I486" t="e">
        <f t="array" ref="I486">INDEX('Raw Data'!$A:A,$F486,11)</f>
        <v>#NUM!</v>
      </c>
      <c r="J486" t="e">
        <f t="array" ref="J486">INDEX('Raw Data'!$A:A,F486,12)</f>
        <v>#NUM!</v>
      </c>
      <c r="K486" t="e">
        <f t="array" ref="K486">(--INDEX('Raw Data'!$A$4:B$998,F486,4))</f>
        <v>#NUM!</v>
      </c>
      <c r="L486" t="e">
        <f t="array" ref="L486">(--INDEX('Raw Data'!$A$4:B$998,F486,5))</f>
        <v>#NUM!</v>
      </c>
      <c r="M486" t="e">
        <f t="array" ref="M486">(--INDEX('Raw Data'!$A$4:D$998,$F486,6))</f>
        <v>#NUM!</v>
      </c>
      <c r="N486" t="e">
        <f t="array" ref="N486">(--INDEX('Raw Data'!$A$4:D$998,$F486,7))</f>
        <v>#NUM!</v>
      </c>
      <c r="O486" t="e">
        <f t="array" ref="O486">IF(--INDEX('Raw Data'!$A$4:E$998,$F486,8)= 0, 1, 0)</f>
        <v>#NUM!</v>
      </c>
      <c r="P486" t="e">
        <f t="array" ref="P486">IF(--INDEX('Raw Data'!$A$4:F$998,$F486,8)= 1, 1, 0)</f>
        <v>#NUM!</v>
      </c>
      <c r="Q486" t="e">
        <f t="array" ref="Q486">IF(--INDEX('Raw Data'!$A$4:G$998,$F486,13)= 1, 1, 0)</f>
        <v>#NUM!</v>
      </c>
      <c r="R486" t="e">
        <f t="array" ref="R486">IF(--INDEX('Raw Data'!$A$4:H$998,$F486,14)= 1, 1, 0)</f>
        <v>#NUM!</v>
      </c>
      <c r="S486" t="e">
        <f t="array" ref="S486">IF(--INDEX('Raw Data'!$A$4:I$998,$F486,15)= 1, 1, 0)</f>
        <v>#NUM!</v>
      </c>
      <c r="T486" t="e">
        <f t="array" ref="T486">IF(--INDEX('Raw Data'!$A$4:I$998,$F486,15)= 1, 1, 0)</f>
        <v>#NUM!</v>
      </c>
      <c r="U486" t="e">
        <f t="array" ref="U486">IF(--INDEX('Raw Data'!$A$4:J$998,$F486,16)= 1, 1, 0)</f>
        <v>#NUM!</v>
      </c>
      <c r="V486" t="e">
        <f t="array" ref="V486">IF(--INDEX('Raw Data'!$A$4:K$998,$F486,17)= 1, 1, 0)</f>
        <v>#NUM!</v>
      </c>
      <c r="W486" t="e">
        <f t="array" ref="W486">INDEX('Raw Data'!$A:$O,$F486,19)</f>
        <v>#NUM!</v>
      </c>
      <c r="X486" t="e">
        <f t="array" ref="X486">INDEX('Raw Data'!$A:$O,$F486,20)</f>
        <v>#NUM!</v>
      </c>
      <c r="Y486" t="e">
        <f t="array" ref="Y486">INDEX('Raw Data'!$A:$O,F486,21)</f>
        <v>#NUM!</v>
      </c>
      <c r="Z486" t="e">
        <f t="array" ref="Z486">INDEX('Raw Data'!$A:$O,$F486,3)</f>
        <v>#NUM!</v>
      </c>
      <c r="AA486" t="e">
        <f t="array" ref="AA486">INDEX('Raw Data'!$A:$O,$F486,22)</f>
        <v>#NUM!</v>
      </c>
      <c r="AB486" t="e">
        <f t="array" ref="AB486">INDEX('Raw Data'!$A:$O,$F486,23)</f>
        <v>#NUM!</v>
      </c>
      <c r="AM486" s="21"/>
    </row>
    <row r="487" spans="1:44" x14ac:dyDescent="0.25">
      <c r="F487" t="e">
        <f t="array" ref="F487">SMALL(IF('Raw Data'!A:A=C479,ROW('Raw Data'!A:A)),ROW('Raw Data'!$8:$8))</f>
        <v>#NUM!</v>
      </c>
      <c r="G487" t="e">
        <f t="array" ref="G487">INDEX('Raw Data'!A:A,F487,9)</f>
        <v>#NUM!</v>
      </c>
      <c r="H487" t="e">
        <f t="array" ref="H487">INDEX('Raw Data'!A:A,F487,10)</f>
        <v>#NUM!</v>
      </c>
      <c r="I487" t="e">
        <f t="array" ref="I487">INDEX('Raw Data'!$A:A,$F487,11)</f>
        <v>#NUM!</v>
      </c>
      <c r="J487" t="e">
        <f t="array" ref="J487">INDEX('Raw Data'!$A:A,F487,12)</f>
        <v>#NUM!</v>
      </c>
      <c r="K487" t="e">
        <f t="array" ref="K487">(--INDEX('Raw Data'!$A$4:B$998,F487,4))</f>
        <v>#NUM!</v>
      </c>
      <c r="L487" t="e">
        <f t="array" ref="L487">(--INDEX('Raw Data'!$A$4:B$998,F487,5))</f>
        <v>#NUM!</v>
      </c>
      <c r="M487" t="e">
        <f t="array" ref="M487">(--INDEX('Raw Data'!$A$4:D$998,$F487,6))</f>
        <v>#NUM!</v>
      </c>
      <c r="N487" t="e">
        <f t="array" ref="N487">(--INDEX('Raw Data'!$A$4:D$998,$F487,7))</f>
        <v>#NUM!</v>
      </c>
      <c r="O487" t="e">
        <f t="array" ref="O487">IF(--INDEX('Raw Data'!$A$4:E$998,$F487,8)= 0, 1, 0)</f>
        <v>#NUM!</v>
      </c>
      <c r="P487" t="e">
        <f t="array" ref="P487">IF(--INDEX('Raw Data'!$A$4:F$998,$F487,8)= 1, 1, 0)</f>
        <v>#NUM!</v>
      </c>
      <c r="Q487" t="e">
        <f t="array" ref="Q487">IF(--INDEX('Raw Data'!$A$4:G$998,$F487,13)= 1, 1, 0)</f>
        <v>#NUM!</v>
      </c>
      <c r="R487" t="e">
        <f t="array" ref="R487">IF(--INDEX('Raw Data'!$A$4:H$998,$F487,14)= 1, 1, 0)</f>
        <v>#NUM!</v>
      </c>
      <c r="S487" t="e">
        <f t="array" ref="S487">IF(--INDEX('Raw Data'!$A$4:I$998,$F487,15)= 1, 1, 0)</f>
        <v>#NUM!</v>
      </c>
      <c r="T487" t="e">
        <f t="array" ref="T487">IF(--INDEX('Raw Data'!$A$4:I$998,$F487,15)= 1, 1, 0)</f>
        <v>#NUM!</v>
      </c>
      <c r="U487" t="e">
        <f t="array" ref="U487">IF(--INDEX('Raw Data'!$A$4:J$998,$F487,16)= 1, 1, 0)</f>
        <v>#NUM!</v>
      </c>
      <c r="V487" t="e">
        <f t="array" ref="V487">IF(--INDEX('Raw Data'!$A$4:K$998,$F487,17)= 1, 1, 0)</f>
        <v>#NUM!</v>
      </c>
      <c r="W487" t="e">
        <f t="array" ref="W487">INDEX('Raw Data'!$A:$O,$F487,19)</f>
        <v>#NUM!</v>
      </c>
      <c r="X487" t="e">
        <f t="array" ref="X487">INDEX('Raw Data'!$A:$O,$F487,20)</f>
        <v>#NUM!</v>
      </c>
      <c r="Y487" t="e">
        <f t="array" ref="Y487">INDEX('Raw Data'!$A:$O,F487,21)</f>
        <v>#NUM!</v>
      </c>
      <c r="Z487" t="e">
        <f t="array" ref="Z487">INDEX('Raw Data'!$A:$O,$F487,3)</f>
        <v>#NUM!</v>
      </c>
      <c r="AA487" t="e">
        <f t="array" ref="AA487">INDEX('Raw Data'!$A:$O,$F487,22)</f>
        <v>#NUM!</v>
      </c>
      <c r="AB487" t="e">
        <f t="array" ref="AB487">INDEX('Raw Data'!$A:$O,$F487,23)</f>
        <v>#NUM!</v>
      </c>
    </row>
    <row r="488" spans="1:44" x14ac:dyDescent="0.25">
      <c r="F488" t="e">
        <f t="array" ref="F488">SMALL(IF('Raw Data'!A:A=C479,ROW('Raw Data'!A:A)),ROW('Raw Data'!$9:$9))</f>
        <v>#NUM!</v>
      </c>
      <c r="G488" t="e">
        <f t="array" ref="G488">INDEX('Raw Data'!A:A,F488,9)</f>
        <v>#NUM!</v>
      </c>
      <c r="H488" t="e">
        <f t="array" ref="H488">INDEX('Raw Data'!A:A,F488,10)</f>
        <v>#NUM!</v>
      </c>
      <c r="I488" t="e">
        <f t="array" ref="I488">INDEX('Raw Data'!$A:A,$F488,11)</f>
        <v>#NUM!</v>
      </c>
      <c r="J488" t="e">
        <f t="array" ref="J488">INDEX('Raw Data'!$A:A,F488,12)</f>
        <v>#NUM!</v>
      </c>
      <c r="K488" t="e">
        <f t="array" ref="K488">(--INDEX('Raw Data'!$A$4:B$998,F488,4))</f>
        <v>#NUM!</v>
      </c>
      <c r="L488" t="e">
        <f t="array" ref="L488">(--INDEX('Raw Data'!$A$4:B$998,F488,5))</f>
        <v>#NUM!</v>
      </c>
      <c r="M488" t="e">
        <f t="array" ref="M488">(--INDEX('Raw Data'!$A$4:D$998,$F488,6))</f>
        <v>#NUM!</v>
      </c>
      <c r="N488" t="e">
        <f t="array" ref="N488">(--INDEX('Raw Data'!$A$4:D$998,$F488,7))</f>
        <v>#NUM!</v>
      </c>
      <c r="O488" t="e">
        <f t="array" ref="O488">IF(--INDEX('Raw Data'!$A$4:E$998,$F488,8)= 0, 1, 0)</f>
        <v>#NUM!</v>
      </c>
      <c r="P488" t="e">
        <f t="array" ref="P488">IF(--INDEX('Raw Data'!$A$4:F$998,$F488,8)= 1, 1, 0)</f>
        <v>#NUM!</v>
      </c>
      <c r="Q488" t="e">
        <f t="array" ref="Q488">IF(--INDEX('Raw Data'!$A$4:G$998,$F488,13)= 1, 1, 0)</f>
        <v>#NUM!</v>
      </c>
      <c r="R488" t="e">
        <f t="array" ref="R488">IF(--INDEX('Raw Data'!$A$4:H$998,$F488,14)= 1, 1, 0)</f>
        <v>#NUM!</v>
      </c>
      <c r="S488" t="e">
        <f t="array" ref="S488">IF(--INDEX('Raw Data'!$A$4:I$998,$F488,15)= 1, 1, 0)</f>
        <v>#NUM!</v>
      </c>
      <c r="T488" t="e">
        <f t="array" ref="T488">IF(--INDEX('Raw Data'!$A$4:I$998,$F488,15)= 1, 1, 0)</f>
        <v>#NUM!</v>
      </c>
      <c r="U488" t="e">
        <f t="array" ref="U488">IF(--INDEX('Raw Data'!$A$4:J$998,$F488,16)= 1, 1, 0)</f>
        <v>#NUM!</v>
      </c>
      <c r="V488" t="e">
        <f t="array" ref="V488">IF(--INDEX('Raw Data'!$A$4:K$998,$F488,17)= 1, 1, 0)</f>
        <v>#NUM!</v>
      </c>
      <c r="W488" t="e">
        <f t="array" ref="W488">INDEX('Raw Data'!$A:$O,$F488,19)</f>
        <v>#NUM!</v>
      </c>
      <c r="X488" t="e">
        <f t="array" ref="X488">INDEX('Raw Data'!$A:$O,$F488,20)</f>
        <v>#NUM!</v>
      </c>
      <c r="Y488" t="e">
        <f t="array" ref="Y488">INDEX('Raw Data'!$A:$O,F488,21)</f>
        <v>#NUM!</v>
      </c>
      <c r="Z488" t="e">
        <f t="array" ref="Z488">INDEX('Raw Data'!$A:$O,$F488,3)</f>
        <v>#NUM!</v>
      </c>
      <c r="AA488" t="e">
        <f t="array" ref="AA488">INDEX('Raw Data'!$A:$O,$F488,22)</f>
        <v>#NUM!</v>
      </c>
      <c r="AB488" t="e">
        <f t="array" ref="AB488">INDEX('Raw Data'!$A:$O,$F488,23)</f>
        <v>#NUM!</v>
      </c>
    </row>
    <row r="489" spans="1:44" x14ac:dyDescent="0.25">
      <c r="F489" t="e">
        <f t="array" ref="F489">SMALL(IF('Raw Data'!A:A=C479,ROW('Raw Data'!A:A)),ROW('Raw Data'!$10:$10))</f>
        <v>#NUM!</v>
      </c>
      <c r="G489" t="e">
        <f t="array" ref="G489">INDEX('Raw Data'!A:A,F489,9)</f>
        <v>#NUM!</v>
      </c>
      <c r="H489" t="e">
        <f t="array" ref="H489">INDEX('Raw Data'!A:A,F489,10)</f>
        <v>#NUM!</v>
      </c>
      <c r="I489" t="e">
        <f t="array" ref="I489">INDEX('Raw Data'!$A:A,$F489,11)</f>
        <v>#NUM!</v>
      </c>
      <c r="J489" t="e">
        <f t="array" ref="J489">INDEX('Raw Data'!$A:A,F489,12)</f>
        <v>#NUM!</v>
      </c>
      <c r="K489" t="e">
        <f t="array" ref="K489">(--INDEX('Raw Data'!$A$4:B$998,F489,4))</f>
        <v>#NUM!</v>
      </c>
      <c r="L489" t="e">
        <f t="array" ref="L489">(--INDEX('Raw Data'!$A$4:B$998,F489,5))</f>
        <v>#NUM!</v>
      </c>
      <c r="M489" t="e">
        <f t="array" ref="M489">(--INDEX('Raw Data'!$A$4:D$998,$F489,6))</f>
        <v>#NUM!</v>
      </c>
      <c r="N489" t="e">
        <f t="array" ref="N489">(--INDEX('Raw Data'!$A$4:D$998,$F489,7))</f>
        <v>#NUM!</v>
      </c>
      <c r="O489" t="e">
        <f t="array" ref="O489">IF(--INDEX('Raw Data'!$A$4:E$998,$F489,8)= 0, 1, 0)</f>
        <v>#NUM!</v>
      </c>
      <c r="P489" t="e">
        <f t="array" ref="P489">IF(--INDEX('Raw Data'!$A$4:F$998,$F489,8)= 1, 1, 0)</f>
        <v>#NUM!</v>
      </c>
      <c r="Q489" t="e">
        <f t="array" ref="Q489">IF(--INDEX('Raw Data'!$A$4:G$998,$F489,13)= 1, 1, 0)</f>
        <v>#NUM!</v>
      </c>
      <c r="R489" t="e">
        <f t="array" ref="R489">IF(--INDEX('Raw Data'!$A$4:H$998,$F489,14)= 1, 1, 0)</f>
        <v>#NUM!</v>
      </c>
      <c r="S489" t="e">
        <f t="array" ref="S489">IF(--INDEX('Raw Data'!$A$4:I$998,$F489,15)= 1, 1, 0)</f>
        <v>#NUM!</v>
      </c>
      <c r="T489" t="e">
        <f t="array" ref="T489">IF(--INDEX('Raw Data'!$A$4:I$998,$F489,15)= 1, 1, 0)</f>
        <v>#NUM!</v>
      </c>
      <c r="U489" t="e">
        <f t="array" ref="U489">IF(--INDEX('Raw Data'!$A$4:J$998,$F489,16)= 1, 1, 0)</f>
        <v>#NUM!</v>
      </c>
      <c r="V489" t="e">
        <f t="array" ref="V489">IF(--INDEX('Raw Data'!$A$4:K$998,$F489,17)= 1, 1, 0)</f>
        <v>#NUM!</v>
      </c>
      <c r="W489" t="e">
        <f t="array" ref="W489">INDEX('Raw Data'!$A:$O,$F489,19)</f>
        <v>#NUM!</v>
      </c>
      <c r="X489" t="e">
        <f t="array" ref="X489">INDEX('Raw Data'!$A:$O,$F489,20)</f>
        <v>#NUM!</v>
      </c>
      <c r="Y489" t="e">
        <f t="array" ref="Y489">INDEX('Raw Data'!$A:$O,F489,21)</f>
        <v>#NUM!</v>
      </c>
      <c r="Z489" t="e">
        <f t="array" ref="Z489">INDEX('Raw Data'!$A:$O,$F489,3)</f>
        <v>#NUM!</v>
      </c>
      <c r="AA489" t="e">
        <f t="array" ref="AA489">INDEX('Raw Data'!$A:$O,$F489,22)</f>
        <v>#NUM!</v>
      </c>
      <c r="AB489" t="e">
        <f t="array" ref="AB489">INDEX('Raw Data'!$A:$O,$F489,23)</f>
        <v>#NUM!</v>
      </c>
    </row>
    <row r="490" spans="1:44" x14ac:dyDescent="0.25">
      <c r="F490" t="e">
        <f t="array" ref="F490">SMALL(IF('Raw Data'!A:A=C479,ROW('Raw Data'!A:A)),ROW('Raw Data'!$11:$11))</f>
        <v>#NUM!</v>
      </c>
      <c r="G490" t="e">
        <f t="array" ref="G490">INDEX('Raw Data'!A:A,F490,9)</f>
        <v>#NUM!</v>
      </c>
      <c r="H490" t="e">
        <f t="array" ref="H490">INDEX('Raw Data'!A:A,F490,10)</f>
        <v>#NUM!</v>
      </c>
      <c r="I490" t="e">
        <f t="array" ref="I490">INDEX('Raw Data'!$A:A,$F490,11)</f>
        <v>#NUM!</v>
      </c>
      <c r="J490" t="e">
        <f t="array" ref="J490">INDEX('Raw Data'!$A:A,F490,12)</f>
        <v>#NUM!</v>
      </c>
      <c r="K490" t="e">
        <f t="array" ref="K490">(--INDEX('Raw Data'!$A$4:B$998,F490,4))</f>
        <v>#NUM!</v>
      </c>
      <c r="L490" t="e">
        <f t="array" ref="L490">(--INDEX('Raw Data'!$A$4:B$998,F490,5))</f>
        <v>#NUM!</v>
      </c>
      <c r="M490" t="e">
        <f t="array" ref="M490">(--INDEX('Raw Data'!$A$4:D$998,$F490,6))</f>
        <v>#NUM!</v>
      </c>
      <c r="N490" t="e">
        <f t="array" ref="N490">(--INDEX('Raw Data'!$A$4:D$998,$F490,7))</f>
        <v>#NUM!</v>
      </c>
      <c r="O490" t="e">
        <f t="array" ref="O490">IF(--INDEX('Raw Data'!$A$4:E$998,$F490,8)= 0, 1, 0)</f>
        <v>#NUM!</v>
      </c>
      <c r="P490" t="e">
        <f t="array" ref="P490">IF(--INDEX('Raw Data'!$A$4:F$998,$F490,8)= 1, 1, 0)</f>
        <v>#NUM!</v>
      </c>
      <c r="Q490" t="e">
        <f t="array" ref="Q490">IF(--INDEX('Raw Data'!$A$4:G$998,$F490,13)= 1, 1, 0)</f>
        <v>#NUM!</v>
      </c>
      <c r="R490" t="e">
        <f t="array" ref="R490">IF(--INDEX('Raw Data'!$A$4:H$998,$F490,14)= 1, 1, 0)</f>
        <v>#NUM!</v>
      </c>
      <c r="S490" t="e">
        <f t="array" ref="S490">IF(--INDEX('Raw Data'!$A$4:I$998,$F490,15)= 1, 1, 0)</f>
        <v>#NUM!</v>
      </c>
      <c r="T490" t="e">
        <f t="array" ref="T490">IF(--INDEX('Raw Data'!$A$4:I$998,$F490,15)= 1, 1, 0)</f>
        <v>#NUM!</v>
      </c>
      <c r="U490" t="e">
        <f t="array" ref="U490">IF(--INDEX('Raw Data'!$A$4:J$998,$F490,16)= 1, 1, 0)</f>
        <v>#NUM!</v>
      </c>
      <c r="V490" t="e">
        <f t="array" ref="V490">IF(--INDEX('Raw Data'!$A$4:K$998,$F490,17)= 1, 1, 0)</f>
        <v>#NUM!</v>
      </c>
      <c r="W490" t="e">
        <f t="array" ref="W490">INDEX('Raw Data'!$A:$O,$F490,19)</f>
        <v>#NUM!</v>
      </c>
      <c r="X490" t="e">
        <f t="array" ref="X490">INDEX('Raw Data'!$A:$O,$F490,20)</f>
        <v>#NUM!</v>
      </c>
      <c r="Y490" t="e">
        <f t="array" ref="Y490">INDEX('Raw Data'!$A:$O,F490,21)</f>
        <v>#NUM!</v>
      </c>
      <c r="Z490" t="e">
        <f t="array" ref="Z490">INDEX('Raw Data'!$A:$O,$F490,3)</f>
        <v>#NUM!</v>
      </c>
      <c r="AA490" t="e">
        <f t="array" ref="AA490">INDEX('Raw Data'!$A:$O,$F490,22)</f>
        <v>#NUM!</v>
      </c>
      <c r="AB490" t="e">
        <f t="array" ref="AB490">INDEX('Raw Data'!$A:$O,$F490,23)</f>
        <v>#NUM!</v>
      </c>
    </row>
    <row r="491" spans="1:44" x14ac:dyDescent="0.25">
      <c r="F491" t="e">
        <f t="array" ref="F491">SMALL(IF('Raw Data'!A:A=C479,ROW('Raw Data'!A:A)),ROW('Raw Data'!$12:$12))</f>
        <v>#NUM!</v>
      </c>
      <c r="G491" t="e">
        <f t="array" ref="G491">INDEX('Raw Data'!A:A,F491,9)</f>
        <v>#NUM!</v>
      </c>
      <c r="H491" t="e">
        <f t="array" ref="H491">INDEX('Raw Data'!A:A,F491,10)</f>
        <v>#NUM!</v>
      </c>
      <c r="I491" t="e">
        <f t="array" ref="I491">INDEX('Raw Data'!$A:A,$F491,11)</f>
        <v>#NUM!</v>
      </c>
      <c r="J491" t="e">
        <f t="array" ref="J491">INDEX('Raw Data'!$A:A,F491,12)</f>
        <v>#NUM!</v>
      </c>
      <c r="K491" t="e">
        <f t="array" ref="K491">(--INDEX('Raw Data'!$A$4:B$998,F491,4))</f>
        <v>#NUM!</v>
      </c>
      <c r="L491" t="e">
        <f t="array" ref="L491">(--INDEX('Raw Data'!$A$4:B$998,F491,5))</f>
        <v>#NUM!</v>
      </c>
      <c r="M491" t="e">
        <f t="array" ref="M491">(--INDEX('Raw Data'!$A$4:D$998,$F491,6))</f>
        <v>#NUM!</v>
      </c>
      <c r="N491" t="e">
        <f t="array" ref="N491">(--INDEX('Raw Data'!$A$4:D$998,$F491,7))</f>
        <v>#NUM!</v>
      </c>
      <c r="O491" t="e">
        <f t="array" ref="O491">IF(--INDEX('Raw Data'!$A$4:E$998,$F491,8)= 0, 1, 0)</f>
        <v>#NUM!</v>
      </c>
      <c r="P491" t="e">
        <f t="array" ref="P491">IF(--INDEX('Raw Data'!$A$4:F$998,$F491,8)= 1, 1, 0)</f>
        <v>#NUM!</v>
      </c>
      <c r="Q491" t="e">
        <f t="array" ref="Q491">IF(--INDEX('Raw Data'!$A$4:G$998,$F491,13)= 1, 1, 0)</f>
        <v>#NUM!</v>
      </c>
      <c r="R491" t="e">
        <f t="array" ref="R491">IF(--INDEX('Raw Data'!$A$4:H$998,$F491,14)= 1, 1, 0)</f>
        <v>#NUM!</v>
      </c>
      <c r="S491" t="e">
        <f t="array" ref="S491">IF(--INDEX('Raw Data'!$A$4:I$998,$F491,15)= 1, 1, 0)</f>
        <v>#NUM!</v>
      </c>
      <c r="T491" t="e">
        <f t="array" ref="T491">IF(--INDEX('Raw Data'!$A$4:I$998,$F491,15)= 1, 1, 0)</f>
        <v>#NUM!</v>
      </c>
      <c r="U491" t="e">
        <f t="array" ref="U491">IF(--INDEX('Raw Data'!$A$4:J$998,$F491,16)= 1, 1, 0)</f>
        <v>#NUM!</v>
      </c>
      <c r="V491" t="e">
        <f t="array" ref="V491">IF(--INDEX('Raw Data'!$A$4:K$998,$F491,17)= 1, 1, 0)</f>
        <v>#NUM!</v>
      </c>
      <c r="W491" t="e">
        <f t="array" ref="W491">INDEX('Raw Data'!$A:$O,$F491,19)</f>
        <v>#NUM!</v>
      </c>
      <c r="X491" t="e">
        <f t="array" ref="X491">INDEX('Raw Data'!$A:$O,$F491,20)</f>
        <v>#NUM!</v>
      </c>
      <c r="Y491" t="e">
        <f t="array" ref="Y491">INDEX('Raw Data'!$A:$O,F491,21)</f>
        <v>#NUM!</v>
      </c>
      <c r="Z491" t="e">
        <f t="array" ref="Z491">INDEX('Raw Data'!$A:$O,$F491,3)</f>
        <v>#NUM!</v>
      </c>
      <c r="AA491" t="e">
        <f t="array" ref="AA491">INDEX('Raw Data'!$A:$O,$F491,22)</f>
        <v>#NUM!</v>
      </c>
      <c r="AB491" t="e">
        <f t="array" ref="AB491">INDEX('Raw Data'!$A:$O,$F491,23)</f>
        <v>#NUM!</v>
      </c>
    </row>
    <row r="492" spans="1:44" x14ac:dyDescent="0.25">
      <c r="F492" t="e">
        <f t="array" ref="F492">SMALL(IF('Raw Data'!A:A=C479,ROW('Raw Data'!A:A)),ROW('Raw Data'!$13:$13))</f>
        <v>#NUM!</v>
      </c>
      <c r="G492" t="e">
        <f t="array" ref="G492">INDEX('Raw Data'!A:A,F492,9)</f>
        <v>#NUM!</v>
      </c>
      <c r="H492" t="e">
        <f t="array" ref="H492">INDEX('Raw Data'!A:A,F492,10)</f>
        <v>#NUM!</v>
      </c>
      <c r="I492" t="e">
        <f t="array" ref="I492">INDEX('Raw Data'!$A:A,$F492,11)</f>
        <v>#NUM!</v>
      </c>
      <c r="J492" t="e">
        <f t="array" ref="J492">INDEX('Raw Data'!$A:A,F492,12)</f>
        <v>#NUM!</v>
      </c>
      <c r="K492" t="e">
        <f t="array" ref="K492">(--INDEX('Raw Data'!$A$4:B$998,F492,4))</f>
        <v>#NUM!</v>
      </c>
      <c r="L492" t="e">
        <f t="array" ref="L492">(--INDEX('Raw Data'!$A$4:B$998,F492,5))</f>
        <v>#NUM!</v>
      </c>
      <c r="M492" t="e">
        <f t="array" ref="M492">(--INDEX('Raw Data'!$A$4:D$998,$F492,6))</f>
        <v>#NUM!</v>
      </c>
      <c r="N492" t="e">
        <f t="array" ref="N492">(--INDEX('Raw Data'!$A$4:D$998,$F492,7))</f>
        <v>#NUM!</v>
      </c>
      <c r="O492" t="e">
        <f t="array" ref="O492">IF(--INDEX('Raw Data'!$A$4:E$998,$F492,8)= 0, 1, 0)</f>
        <v>#NUM!</v>
      </c>
      <c r="P492" t="e">
        <f t="array" ref="P492">IF(--INDEX('Raw Data'!$A$4:F$998,$F492,8)= 1, 1, 0)</f>
        <v>#NUM!</v>
      </c>
      <c r="Q492" t="e">
        <f t="array" ref="Q492">IF(--INDEX('Raw Data'!$A$4:G$998,$F492,13)= 1, 1, 0)</f>
        <v>#NUM!</v>
      </c>
      <c r="R492" t="e">
        <f t="array" ref="R492">IF(--INDEX('Raw Data'!$A$4:H$998,$F492,14)= 1, 1, 0)</f>
        <v>#NUM!</v>
      </c>
      <c r="S492" t="e">
        <f t="array" ref="S492">IF(--INDEX('Raw Data'!$A$4:I$998,$F492,15)= 1, 1, 0)</f>
        <v>#NUM!</v>
      </c>
      <c r="T492" t="e">
        <f t="array" ref="T492">IF(--INDEX('Raw Data'!$A$4:I$998,$F492,15)= 1, 1, 0)</f>
        <v>#NUM!</v>
      </c>
      <c r="U492" t="e">
        <f t="array" ref="U492">IF(--INDEX('Raw Data'!$A$4:J$998,$F492,16)= 1, 1, 0)</f>
        <v>#NUM!</v>
      </c>
      <c r="V492" t="e">
        <f t="array" ref="V492">IF(--INDEX('Raw Data'!$A$4:K$998,$F492,17)= 1, 1, 0)</f>
        <v>#NUM!</v>
      </c>
      <c r="W492" t="e">
        <f t="array" ref="W492">INDEX('Raw Data'!$A:$O,$F492,19)</f>
        <v>#NUM!</v>
      </c>
      <c r="X492" t="e">
        <f t="array" ref="X492">INDEX('Raw Data'!$A:$O,$F492,20)</f>
        <v>#NUM!</v>
      </c>
      <c r="Y492" t="e">
        <f t="array" ref="Y492">INDEX('Raw Data'!$A:$O,F492,21)</f>
        <v>#NUM!</v>
      </c>
      <c r="Z492" t="e">
        <f t="array" ref="Z492">INDEX('Raw Data'!$A:$O,$F492,3)</f>
        <v>#NUM!</v>
      </c>
      <c r="AA492" t="e">
        <f t="array" ref="AA492">INDEX('Raw Data'!$A:$O,$F492,22)</f>
        <v>#NUM!</v>
      </c>
      <c r="AB492" t="e">
        <f t="array" ref="AB492">INDEX('Raw Data'!$A:$O,$F492,23)</f>
        <v>#NUM!</v>
      </c>
    </row>
    <row r="493" spans="1:44" x14ac:dyDescent="0.25">
      <c r="F493" t="e">
        <f t="array" ref="F493">SMALL(IF('Raw Data'!A:A=C479,ROW('Raw Data'!A:A)),ROW('Raw Data'!$14:$14))</f>
        <v>#NUM!</v>
      </c>
      <c r="G493" t="e">
        <f t="array" ref="G493">INDEX('Raw Data'!A:A,F493,9)</f>
        <v>#NUM!</v>
      </c>
      <c r="H493" t="e">
        <f t="array" ref="H493">INDEX('Raw Data'!A:A,F493,10)</f>
        <v>#NUM!</v>
      </c>
      <c r="I493" t="e">
        <f t="array" ref="I493">INDEX('Raw Data'!$A:A,$F493,11)</f>
        <v>#NUM!</v>
      </c>
      <c r="J493" t="e">
        <f t="array" ref="J493">INDEX('Raw Data'!$A:A,F493,12)</f>
        <v>#NUM!</v>
      </c>
      <c r="K493" t="e">
        <f t="array" ref="K493">(--INDEX('Raw Data'!$A$4:B$998,F493,4))</f>
        <v>#NUM!</v>
      </c>
      <c r="L493" t="e">
        <f t="array" ref="L493">(--INDEX('Raw Data'!$A$4:B$998,F493,5))</f>
        <v>#NUM!</v>
      </c>
      <c r="M493" t="e">
        <f t="array" ref="M493">(--INDEX('Raw Data'!$A$4:D$998,$F493,6))</f>
        <v>#NUM!</v>
      </c>
      <c r="N493" t="e">
        <f t="array" ref="N493">(--INDEX('Raw Data'!$A$4:D$998,$F493,7))</f>
        <v>#NUM!</v>
      </c>
      <c r="O493" t="e">
        <f t="array" ref="O493">IF(--INDEX('Raw Data'!$A$4:E$998,$F493,8)= 0, 1, 0)</f>
        <v>#NUM!</v>
      </c>
      <c r="P493" t="e">
        <f t="array" ref="P493">IF(--INDEX('Raw Data'!$A$4:F$998,$F493,8)= 1, 1, 0)</f>
        <v>#NUM!</v>
      </c>
      <c r="Q493" t="e">
        <f t="array" ref="Q493">IF(--INDEX('Raw Data'!$A$4:G$998,$F493,13)= 1, 1, 0)</f>
        <v>#NUM!</v>
      </c>
      <c r="R493" t="e">
        <f t="array" ref="R493">IF(--INDEX('Raw Data'!$A$4:H$998,$F493,14)= 1, 1, 0)</f>
        <v>#NUM!</v>
      </c>
      <c r="S493" t="e">
        <f t="array" ref="S493">IF(--INDEX('Raw Data'!$A$4:I$998,$F493,15)= 1, 1, 0)</f>
        <v>#NUM!</v>
      </c>
      <c r="T493" t="e">
        <f t="array" ref="T493">IF(--INDEX('Raw Data'!$A$4:I$998,$F493,15)= 1, 1, 0)</f>
        <v>#NUM!</v>
      </c>
      <c r="U493" t="e">
        <f t="array" ref="U493">IF(--INDEX('Raw Data'!$A$4:J$998,$F493,16)= 1, 1, 0)</f>
        <v>#NUM!</v>
      </c>
      <c r="V493" t="e">
        <f t="array" ref="V493">IF(--INDEX('Raw Data'!$A$4:K$998,$F493,17)= 1, 1, 0)</f>
        <v>#NUM!</v>
      </c>
      <c r="W493" t="e">
        <f t="array" ref="W493">INDEX('Raw Data'!$A:$O,$F493,19)</f>
        <v>#NUM!</v>
      </c>
      <c r="X493" t="e">
        <f t="array" ref="X493">INDEX('Raw Data'!$A:$O,$F493,20)</f>
        <v>#NUM!</v>
      </c>
      <c r="Y493" t="e">
        <f t="array" ref="Y493">INDEX('Raw Data'!$A:$O,F493,21)</f>
        <v>#NUM!</v>
      </c>
      <c r="Z493" t="e">
        <f t="array" ref="Z493">INDEX('Raw Data'!$A:$O,$F493,3)</f>
        <v>#NUM!</v>
      </c>
      <c r="AA493" t="e">
        <f t="array" ref="AA493">INDEX('Raw Data'!$A:$O,$F493,22)</f>
        <v>#NUM!</v>
      </c>
      <c r="AB493" t="e">
        <f t="array" ref="AB493">INDEX('Raw Data'!$A:$O,$F493,23)</f>
        <v>#NUM!</v>
      </c>
    </row>
    <row r="494" spans="1:44" x14ac:dyDescent="0.25">
      <c r="F494" t="e">
        <f t="array" ref="F494">SMALL(IF('Raw Data'!A:A=C479,ROW('Raw Data'!A:A)),ROW('Raw Data'!$15:$15))</f>
        <v>#NUM!</v>
      </c>
      <c r="G494" t="e">
        <f t="array" ref="G494">INDEX('Raw Data'!A:A,F494,9)</f>
        <v>#NUM!</v>
      </c>
      <c r="H494" t="e">
        <f t="array" ref="H494">INDEX('Raw Data'!A:A,F494,10)</f>
        <v>#NUM!</v>
      </c>
      <c r="I494" t="e">
        <f t="array" ref="I494">INDEX('Raw Data'!$A:A,$F494,11)</f>
        <v>#NUM!</v>
      </c>
      <c r="J494" t="e">
        <f t="array" ref="J494">INDEX('Raw Data'!$A:A,F494,12)</f>
        <v>#NUM!</v>
      </c>
      <c r="K494" t="e">
        <f t="array" ref="K494">(--INDEX('Raw Data'!$A$4:B$998,F494,4))</f>
        <v>#NUM!</v>
      </c>
      <c r="L494" t="e">
        <f t="array" ref="L494">(--INDEX('Raw Data'!$A$4:B$998,F494,5))</f>
        <v>#NUM!</v>
      </c>
      <c r="M494" t="e">
        <f t="array" ref="M494">(--INDEX('Raw Data'!$A$4:D$998,$F494,6))</f>
        <v>#NUM!</v>
      </c>
      <c r="N494" t="e">
        <f t="array" ref="N494">(--INDEX('Raw Data'!$A$4:D$998,$F494,7))</f>
        <v>#NUM!</v>
      </c>
      <c r="O494" t="e">
        <f t="array" ref="O494">IF(--INDEX('Raw Data'!$A$4:E$998,$F494,8)= 0, 1, 0)</f>
        <v>#NUM!</v>
      </c>
      <c r="P494" t="e">
        <f t="array" ref="P494">IF(--INDEX('Raw Data'!$A$4:F$998,$F494,8)= 1, 1, 0)</f>
        <v>#NUM!</v>
      </c>
      <c r="Q494" t="e">
        <f t="array" ref="Q494">IF(--INDEX('Raw Data'!$A$4:G$998,$F494,13)= 1, 1, 0)</f>
        <v>#NUM!</v>
      </c>
      <c r="R494" t="e">
        <f t="array" ref="R494">IF(--INDEX('Raw Data'!$A$4:H$998,$F494,14)= 1, 1, 0)</f>
        <v>#NUM!</v>
      </c>
      <c r="S494" t="e">
        <f t="array" ref="S494">IF(--INDEX('Raw Data'!$A$4:I$998,$F494,15)= 1, 1, 0)</f>
        <v>#NUM!</v>
      </c>
      <c r="T494" t="e">
        <f t="array" ref="T494">IF(--INDEX('Raw Data'!$A$4:I$998,$F494,15)= 1, 1, 0)</f>
        <v>#NUM!</v>
      </c>
      <c r="U494" t="e">
        <f t="array" ref="U494">IF(--INDEX('Raw Data'!$A$4:J$998,$F494,16)= 1, 1, 0)</f>
        <v>#NUM!</v>
      </c>
      <c r="V494" t="e">
        <f t="array" ref="V494">IF(--INDEX('Raw Data'!$A$4:K$998,$F494,17)= 1, 1, 0)</f>
        <v>#NUM!</v>
      </c>
      <c r="W494" t="e">
        <f t="array" ref="W494">INDEX('Raw Data'!$A:$O,$F494,19)</f>
        <v>#NUM!</v>
      </c>
      <c r="X494" t="e">
        <f t="array" ref="X494">INDEX('Raw Data'!$A:$O,$F494,20)</f>
        <v>#NUM!</v>
      </c>
      <c r="Y494" t="e">
        <f t="array" ref="Y494">INDEX('Raw Data'!$A:$O,F494,21)</f>
        <v>#NUM!</v>
      </c>
      <c r="Z494" t="e">
        <f t="array" ref="Z494">INDEX('Raw Data'!$A:$O,$F494,3)</f>
        <v>#NUM!</v>
      </c>
      <c r="AA494" t="e">
        <f t="array" ref="AA494">INDEX('Raw Data'!$A:$O,$F494,22)</f>
        <v>#NUM!</v>
      </c>
      <c r="AB494" t="e">
        <f t="array" ref="AB494">INDEX('Raw Data'!$A:$O,$F494,23)</f>
        <v>#NUM!</v>
      </c>
    </row>
    <row r="495" spans="1:44" x14ac:dyDescent="0.25">
      <c r="A495" t="s">
        <v>55</v>
      </c>
      <c r="C495" s="2" t="e">
        <f>B485/B484</f>
        <v>#DIV/0!</v>
      </c>
      <c r="F495">
        <f t="array" ref="F495">COUNTIF(F480:F494,"&gt;0")</f>
        <v>0</v>
      </c>
      <c r="G495">
        <f t="array" ref="G495">SUMIF(G480:G494,"&gt;0")</f>
        <v>0</v>
      </c>
      <c r="H495">
        <f t="array" ref="H495">SUMIF(H480:H494,"&gt;0")</f>
        <v>0</v>
      </c>
      <c r="I495">
        <f t="array" ref="I495">SUMIF(I480:I494,"&gt;0")</f>
        <v>0</v>
      </c>
      <c r="J495">
        <f t="array" ref="J495">SUMIF(J480:J494,"&gt;0")</f>
        <v>0</v>
      </c>
      <c r="K495">
        <f t="array" ref="K495">SUMIF(K480:K494,"&gt;0")</f>
        <v>0</v>
      </c>
      <c r="L495">
        <f t="array" ref="L495">SUMIF(L480:L494,"&gt;0")</f>
        <v>0</v>
      </c>
      <c r="M495">
        <f t="array" ref="M495">SUMIF(M480:M494,"&gt;0")</f>
        <v>0</v>
      </c>
      <c r="N495">
        <f t="array" ref="N495">SUMIF(N480:N494,"&gt;0")</f>
        <v>0</v>
      </c>
      <c r="O495">
        <f t="array" ref="O495">SUMIF(O480:O494,"&gt;0")</f>
        <v>0</v>
      </c>
      <c r="P495">
        <f t="array" ref="P495">SUMIF(P480:P494,"&gt;0")</f>
        <v>0</v>
      </c>
      <c r="Q495">
        <f t="array" ref="Q495">SUMIF(Q480:Q494,"&gt;0")</f>
        <v>0</v>
      </c>
      <c r="R495">
        <f t="array" ref="R495">SUMIF(R480:R494,"&gt;0")</f>
        <v>0</v>
      </c>
      <c r="S495">
        <f t="array" ref="S495">SUMIF(S480:S494,"&gt;0")</f>
        <v>0</v>
      </c>
      <c r="T495">
        <f t="array" ref="T495">SUMIF(T480:T494,"&gt;0")</f>
        <v>0</v>
      </c>
      <c r="U495">
        <f t="array" ref="U495">SUMIF(U480:U494,"&gt;0")</f>
        <v>0</v>
      </c>
      <c r="V495">
        <f t="array" ref="V495">SUMIF(V480:V494,"&gt;0")</f>
        <v>0</v>
      </c>
      <c r="W495">
        <f t="array" ref="W495">SUMIF(W480:W494,"&gt;0")</f>
        <v>0</v>
      </c>
      <c r="X495">
        <f t="array" ref="X495">SUMIF(X480:X494,"&gt;0")</f>
        <v>0</v>
      </c>
      <c r="Y495">
        <f t="array" ref="Y495">SUMIF(Y480:Y494,"&gt;0")</f>
        <v>0</v>
      </c>
      <c r="Z495">
        <f t="array" ref="Z495">SUMIF(Z480:Z494,"&gt;0")</f>
        <v>0</v>
      </c>
      <c r="AA495">
        <f t="array" ref="AA495">SUMIF(AA480:AA494,"&gt;0")</f>
        <v>0</v>
      </c>
      <c r="AB495">
        <f t="array" ref="AB495">SUMIF(AB480:AB494,"&gt;0")</f>
        <v>0</v>
      </c>
    </row>
    <row r="496" spans="1:44" x14ac:dyDescent="0.25">
      <c r="A496" t="s">
        <v>58</v>
      </c>
      <c r="C496" s="2">
        <f t="array" ref="C496">IF((K495+L495)&lt;&gt;0, (L495/(K495+L495)),0)</f>
        <v>0</v>
      </c>
      <c r="J496" s="6">
        <f t="array" ref="J496">J495*10</f>
        <v>0</v>
      </c>
      <c r="K496" s="6"/>
      <c r="P496" t="s">
        <v>95</v>
      </c>
      <c r="Q496" s="2" t="e">
        <f t="array" ref="Q496">Q495/$F495</f>
        <v>#DIV/0!</v>
      </c>
      <c r="R496" s="2" t="e">
        <f t="array" ref="R496">R495/$F495</f>
        <v>#DIV/0!</v>
      </c>
      <c r="S496" s="2" t="e">
        <f t="array" ref="S496">S495/$F495</f>
        <v>#DIV/0!</v>
      </c>
      <c r="T496" s="2" t="e">
        <f t="array" ref="T496">T495/$F495</f>
        <v>#DIV/0!</v>
      </c>
      <c r="U496" s="2" t="e">
        <f t="array" ref="U496">U495/$F495</f>
        <v>#DIV/0!</v>
      </c>
      <c r="V496" s="2" t="e">
        <f t="array" ref="V496">V495/$F495</f>
        <v>#DIV/0!</v>
      </c>
      <c r="W496" s="2" t="e">
        <f t="array" ref="W496">W495/$F495</f>
        <v>#DIV/0!</v>
      </c>
      <c r="X496" s="2" t="e">
        <f t="array" ref="X496">X495/$F495</f>
        <v>#DIV/0!</v>
      </c>
      <c r="Z496" s="2" t="e">
        <f t="array" ref="Z496">Z495/F495</f>
        <v>#DIV/0!</v>
      </c>
    </row>
    <row r="497" spans="1:44" x14ac:dyDescent="0.25">
      <c r="A497" t="s">
        <v>60</v>
      </c>
      <c r="C497" s="2">
        <f t="array" ref="C497">IF((M495+N495)&lt;&gt;0, (N495/(M495+N495)),0)</f>
        <v>0</v>
      </c>
      <c r="J497" s="6"/>
      <c r="K497" s="6"/>
      <c r="AR497" s="25"/>
    </row>
    <row r="498" spans="1:44" ht="28.5" x14ac:dyDescent="0.45">
      <c r="A498" t="s">
        <v>61</v>
      </c>
      <c r="C498" s="2">
        <f t="array" ref="C498">IF(((K495+N495+L495+M495)&lt;&gt;0), ((L495+N495)/(K495+N495+L495+M495)),0)</f>
        <v>0</v>
      </c>
      <c r="F498" s="17" t="s">
        <v>106</v>
      </c>
      <c r="G498" s="17" t="e">
        <f t="array" ref="G498">'Weighting &amp; Ranking Sheet'!$B$3*Math!$C496+'Weighting &amp; Ranking Sheet'!$B$4*Math!$C497+'Weighting &amp; Ranking Sheet'!$B$5*Math!$C498+'Weighting &amp; Ranking Sheet'!$B$6*Math!$C499+'Weighting &amp; Ranking Sheet'!$B$7*Math!$C483+'Weighting &amp; Ranking Sheet'!$B$8*Math!$C495+'Weighting &amp; Ranking Sheet'!$B$9*Math!$C502+'Weighting &amp; Ranking Sheet'!$B$10*Math!$C500+'Weighting &amp; Ranking Sheet'!$B$11*Math!$C501+'Weighting &amp; Ranking Sheet'!$B$12*Math!$C503*0.01+'Weighting &amp; Ranking Sheet'!$B$13*Math!$Q496+'Weighting &amp; Ranking Sheet'!$B$14*Math!$R496+'Weighting &amp; Ranking Sheet'!$B$15*Math!$S496+'Weighting &amp; Ranking Sheet'!$B$16*Math!$T496+'Weighting &amp; Ranking Sheet'!$B$17*Math!$U496+'Weighting &amp; Ranking Sheet'!$B$18*Math!$V496+'Weighting &amp; Ranking Sheet'!$B$2*Math!$Z496</f>
        <v>#DIV/0!</v>
      </c>
      <c r="J498"/>
      <c r="K498"/>
      <c r="AR498" s="25"/>
    </row>
    <row r="499" spans="1:44" x14ac:dyDescent="0.25">
      <c r="A499" t="s">
        <v>62</v>
      </c>
      <c r="C499" s="2">
        <f t="array" ref="C499">IF((O495+P495&lt;&gt;0),(P495/(O495+P495)), 0)</f>
        <v>0</v>
      </c>
      <c r="J499"/>
      <c r="K499"/>
      <c r="AR499" s="25"/>
    </row>
    <row r="500" spans="1:44" x14ac:dyDescent="0.25">
      <c r="A500" t="s">
        <v>77</v>
      </c>
      <c r="C500" s="8" t="e">
        <f t="array" ref="C500">W495/F495</f>
        <v>#DIV/0!</v>
      </c>
      <c r="J500"/>
      <c r="K500"/>
      <c r="AR500" s="23"/>
    </row>
    <row r="501" spans="1:44" x14ac:dyDescent="0.25">
      <c r="A501" t="s">
        <v>78</v>
      </c>
      <c r="C501" s="8" t="e">
        <f t="array" ref="C501">X495/F495</f>
        <v>#DIV/0!</v>
      </c>
      <c r="J501"/>
      <c r="K501"/>
    </row>
    <row r="502" spans="1:44" x14ac:dyDescent="0.25">
      <c r="A502" t="s">
        <v>91</v>
      </c>
      <c r="C502" s="2" t="e">
        <f t="array" ref="C502">(C483+C495)/2</f>
        <v>#DIV/0!</v>
      </c>
      <c r="J502"/>
      <c r="K502"/>
    </row>
    <row r="503" spans="1:44" x14ac:dyDescent="0.25">
      <c r="A503" t="s">
        <v>92</v>
      </c>
      <c r="C503" s="8" t="e">
        <f t="array" ref="C503">Y495/F495</f>
        <v>#DIV/0!</v>
      </c>
      <c r="J503"/>
      <c r="K503"/>
    </row>
    <row r="504" spans="1:44" x14ac:dyDescent="0.25">
      <c r="C504" s="8"/>
      <c r="J504"/>
      <c r="K504"/>
    </row>
    <row r="505" spans="1:44" x14ac:dyDescent="0.25">
      <c r="C505" s="8"/>
      <c r="J505" s="6"/>
      <c r="K505" s="6"/>
    </row>
    <row r="506" spans="1:44" x14ac:dyDescent="0.25">
      <c r="J506" s="6"/>
      <c r="K506" s="6"/>
    </row>
    <row r="507" spans="1:44" x14ac:dyDescent="0.25">
      <c r="A507" t="s">
        <v>3</v>
      </c>
      <c r="C507" s="5">
        <v>896</v>
      </c>
      <c r="F507" t="s">
        <v>22</v>
      </c>
    </row>
    <row r="508" spans="1:44" x14ac:dyDescent="0.25">
      <c r="F508" t="e">
        <f t="array" ref="F508">SMALL(IF('Raw Data'!A:A=C507,ROW('Raw Data'!A:A)),ROW('Raw Data'!$1:$1))</f>
        <v>#NUM!</v>
      </c>
      <c r="G508" t="e">
        <f t="array" ref="G508">INDEX('Raw Data'!A:A,F508,9)</f>
        <v>#NUM!</v>
      </c>
      <c r="H508" t="e">
        <f t="array" ref="H508">INDEX('Raw Data'!A:A,F508,10)</f>
        <v>#NUM!</v>
      </c>
      <c r="I508" t="e">
        <f t="array" ref="I508">INDEX('Raw Data'!$A:A,$F508,11)</f>
        <v>#NUM!</v>
      </c>
      <c r="J508" t="e">
        <f t="array" ref="J508">INDEX('Raw Data'!$A:A,F508,12)</f>
        <v>#NUM!</v>
      </c>
      <c r="K508" t="e">
        <f>(--INDEX('Raw Data'!$A$4:B$993,F508,4))</f>
        <v>#NUM!</v>
      </c>
      <c r="L508" t="e">
        <f t="array" ref="L508">(--INDEX('Raw Data'!$A$4:B$993,F508,5))</f>
        <v>#NUM!</v>
      </c>
      <c r="M508" t="e">
        <f t="array" ref="M508">(--INDEX('Raw Data'!$A$4:D$993,$F508,6))</f>
        <v>#NUM!</v>
      </c>
      <c r="N508" t="e">
        <f t="array" ref="N508">(--INDEX('Raw Data'!$A$4:D$993,$F508,7))</f>
        <v>#NUM!</v>
      </c>
      <c r="O508" t="e">
        <f t="array" ref="O508">IF(--INDEX('Raw Data'!$A$4:E$993,$F508,8)= 0, 1, 0)</f>
        <v>#NUM!</v>
      </c>
      <c r="P508" t="e">
        <f t="array" ref="P508">IF(--INDEX('Raw Data'!$A$4:F$993,$F508,8)= 1, 1, 0)</f>
        <v>#NUM!</v>
      </c>
      <c r="Q508" t="e">
        <f t="array" ref="Q508">IF(--INDEX('Raw Data'!$A$4:G$993,$F508,13)= 1, 1, 0)</f>
        <v>#NUM!</v>
      </c>
      <c r="R508" t="e">
        <f t="array" ref="R508">IF(--INDEX('Raw Data'!$A$4:H$993,$F508,14)= 1, 1, 0)</f>
        <v>#NUM!</v>
      </c>
      <c r="S508" t="e">
        <f t="array" ref="S508">IF(--INDEX('Raw Data'!$A$4:I$993,$F508,15)= 1, 1, 0)</f>
        <v>#NUM!</v>
      </c>
      <c r="T508" t="e">
        <f t="array" ref="T508">IF(--INDEX('Raw Data'!$A$4:I$993,$F508,15)= 1, 1, 0)</f>
        <v>#NUM!</v>
      </c>
      <c r="U508" t="e">
        <f t="array" ref="U508">IF(--INDEX('Raw Data'!$A$4:J$993,$F508,16)= 1, 1, 0)</f>
        <v>#NUM!</v>
      </c>
      <c r="V508" t="e">
        <f t="array" ref="V508">IF(--INDEX('Raw Data'!$A$4:K$993,$F508,17)= 1, 1, 0)</f>
        <v>#NUM!</v>
      </c>
      <c r="W508" t="e">
        <f t="array" ref="W508">INDEX('Raw Data'!$A:$O,$F508,19)</f>
        <v>#NUM!</v>
      </c>
      <c r="X508" t="e">
        <f t="array" ref="X508">INDEX('Raw Data'!$A:$O,$F508,20)</f>
        <v>#NUM!</v>
      </c>
      <c r="Y508" t="e">
        <f t="array" ref="Y508">INDEX('Raw Data'!$A:$O,F508,21)</f>
        <v>#NUM!</v>
      </c>
      <c r="Z508" t="e">
        <f t="array" ref="Z508">INDEX('Raw Data'!$A:$O,$F508,3)</f>
        <v>#NUM!</v>
      </c>
      <c r="AA508" t="e">
        <f t="array" ref="AA508">INDEX('Raw Data'!$A:$O,$F508,22)</f>
        <v>#NUM!</v>
      </c>
      <c r="AB508" t="e">
        <f t="array" ref="AB508">INDEX('Raw Data'!$A:$O,$F508,23)</f>
        <v>#NUM!</v>
      </c>
    </row>
    <row r="509" spans="1:44" x14ac:dyDescent="0.25">
      <c r="A509" t="s">
        <v>0</v>
      </c>
      <c r="B509">
        <f>G523</f>
        <v>0</v>
      </c>
      <c r="F509" t="e">
        <f t="array" ref="F509">SMALL(IF('Raw Data'!A:A=C507,ROW('Raw Data'!A:A)),ROW('Raw Data'!$2:$2))</f>
        <v>#NUM!</v>
      </c>
      <c r="G509" t="e">
        <f t="array" ref="G509">INDEX('Raw Data'!A:A,F509,9)</f>
        <v>#NUM!</v>
      </c>
      <c r="H509" t="e">
        <f t="array" ref="H509">INDEX('Raw Data'!A:A,F509,10)</f>
        <v>#NUM!</v>
      </c>
      <c r="I509" t="e">
        <f t="array" ref="I509">INDEX('Raw Data'!$A:A,$F509,11)</f>
        <v>#NUM!</v>
      </c>
      <c r="J509" t="e">
        <f t="array" ref="J509">INDEX('Raw Data'!$A:A,F509,12)</f>
        <v>#NUM!</v>
      </c>
      <c r="K509" t="e">
        <f>(--INDEX('Raw Data'!$A$4:B$993,F509,4))</f>
        <v>#NUM!</v>
      </c>
      <c r="L509" t="e">
        <f t="array" ref="L509">(--INDEX('Raw Data'!$A$4:B$993,F509,5))</f>
        <v>#NUM!</v>
      </c>
      <c r="M509" t="e">
        <f t="array" ref="M509">(--INDEX('Raw Data'!$A$4:D$993,$F509,6))</f>
        <v>#NUM!</v>
      </c>
      <c r="N509" t="e">
        <f t="array" ref="N509">(--INDEX('Raw Data'!$A$4:D$993,$F509,7))</f>
        <v>#NUM!</v>
      </c>
      <c r="O509" t="e">
        <f t="array" ref="O509">IF(--INDEX('Raw Data'!$A$4:E$993,$F509,8)= 0, 1, 0)</f>
        <v>#NUM!</v>
      </c>
      <c r="P509" t="e">
        <f t="array" ref="P509">IF(--INDEX('Raw Data'!$A$4:F$993,$F509,8)= 1, 1, 0)</f>
        <v>#NUM!</v>
      </c>
      <c r="Q509" t="e">
        <f t="array" ref="Q509">IF(--INDEX('Raw Data'!$A$4:G$993,$F509,13)= 1, 1, 0)</f>
        <v>#NUM!</v>
      </c>
      <c r="R509" t="e">
        <f t="array" ref="R509">IF(--INDEX('Raw Data'!$A$4:H$993,$F509,14)= 1, 1, 0)</f>
        <v>#NUM!</v>
      </c>
      <c r="S509" t="e">
        <f t="array" ref="S509">IF(--INDEX('Raw Data'!$A$4:I$993,$F509,15)= 1, 1, 0)</f>
        <v>#NUM!</v>
      </c>
      <c r="T509" t="e">
        <f t="array" ref="T509">IF(--INDEX('Raw Data'!$A$4:I$993,$F509,15)= 1, 1, 0)</f>
        <v>#NUM!</v>
      </c>
      <c r="U509" t="e">
        <f t="array" ref="U509">IF(--INDEX('Raw Data'!$A$4:J$993,$F509,16)= 1, 1, 0)</f>
        <v>#NUM!</v>
      </c>
      <c r="V509" t="e">
        <f t="array" ref="V509">IF(--INDEX('Raw Data'!$A$4:K$993,$F509,17)= 1, 1, 0)</f>
        <v>#NUM!</v>
      </c>
      <c r="W509" t="e">
        <f t="array" ref="W509">INDEX('Raw Data'!$A:$O,$F509,19)</f>
        <v>#NUM!</v>
      </c>
      <c r="X509" t="e">
        <f t="array" ref="X509">INDEX('Raw Data'!$A:$O,$F509,20)</f>
        <v>#NUM!</v>
      </c>
      <c r="Y509" t="e">
        <f t="array" ref="Y509">INDEX('Raw Data'!$A:$O,F509,21)</f>
        <v>#NUM!</v>
      </c>
      <c r="Z509" t="e">
        <f t="array" ref="Z509">INDEX('Raw Data'!$A:$O,$F509,3)</f>
        <v>#NUM!</v>
      </c>
      <c r="AA509" t="e">
        <f t="array" ref="AA509">INDEX('Raw Data'!$A:$O,$F509,22)</f>
        <v>#NUM!</v>
      </c>
      <c r="AB509" t="e">
        <f t="array" ref="AB509">INDEX('Raw Data'!$A:$O,$F509,23)</f>
        <v>#NUM!</v>
      </c>
    </row>
    <row r="510" spans="1:44" x14ac:dyDescent="0.25">
      <c r="A510" t="s">
        <v>1</v>
      </c>
      <c r="B510">
        <f>H523</f>
        <v>0</v>
      </c>
      <c r="F510" t="e">
        <f t="array" ref="F510">SMALL(IF('Raw Data'!A:A=C507,ROW('Raw Data'!A:A)),ROW('Raw Data'!$3:$3))</f>
        <v>#NUM!</v>
      </c>
      <c r="G510" t="e">
        <f t="array" ref="G510">INDEX('Raw Data'!A:A,F510,9)</f>
        <v>#NUM!</v>
      </c>
      <c r="H510" t="e">
        <f t="array" ref="H510">INDEX('Raw Data'!A:A,F510,10)</f>
        <v>#NUM!</v>
      </c>
      <c r="I510" t="e">
        <f t="array" ref="I510">INDEX('Raw Data'!$A:A,$F510,11)</f>
        <v>#NUM!</v>
      </c>
      <c r="J510" t="e">
        <f t="array" ref="J510">INDEX('Raw Data'!$A:A,F510,12)</f>
        <v>#NUM!</v>
      </c>
      <c r="K510" t="e">
        <f>(--INDEX('Raw Data'!$A$4:B$993,F510,4))</f>
        <v>#NUM!</v>
      </c>
      <c r="L510" t="e">
        <f t="array" ref="L510">(--INDEX('Raw Data'!$A$4:B$993,F510,5))</f>
        <v>#NUM!</v>
      </c>
      <c r="M510" t="e">
        <f t="array" ref="M510">(--INDEX('Raw Data'!$A$4:D$993,$F510,6))</f>
        <v>#NUM!</v>
      </c>
      <c r="N510" t="e">
        <f t="array" ref="N510">(--INDEX('Raw Data'!$A$4:D$993,$F510,7))</f>
        <v>#NUM!</v>
      </c>
      <c r="O510" t="e">
        <f t="array" ref="O510">IF(--INDEX('Raw Data'!$A$4:E$993,$F510,8)= 0, 1, 0)</f>
        <v>#NUM!</v>
      </c>
      <c r="P510" t="e">
        <f t="array" ref="P510">IF(--INDEX('Raw Data'!$A$4:F$993,$F510,8)= 1, 1, 0)</f>
        <v>#NUM!</v>
      </c>
      <c r="Q510" t="e">
        <f t="array" ref="Q510">IF(--INDEX('Raw Data'!$A$4:G$993,$F510,13)= 1, 1, 0)</f>
        <v>#NUM!</v>
      </c>
      <c r="R510" t="e">
        <f t="array" ref="R510">IF(--INDEX('Raw Data'!$A$4:H$993,$F510,14)= 1, 1, 0)</f>
        <v>#NUM!</v>
      </c>
      <c r="S510" t="e">
        <f t="array" ref="S510">IF(--INDEX('Raw Data'!$A$4:I$993,$F510,15)= 1, 1, 0)</f>
        <v>#NUM!</v>
      </c>
      <c r="T510" t="e">
        <f t="array" ref="T510">IF(--INDEX('Raw Data'!$A$4:I$993,$F510,15)= 1, 1, 0)</f>
        <v>#NUM!</v>
      </c>
      <c r="U510" t="e">
        <f t="array" ref="U510">IF(--INDEX('Raw Data'!$A$4:J$993,$F510,16)= 1, 1, 0)</f>
        <v>#NUM!</v>
      </c>
      <c r="V510" t="e">
        <f t="array" ref="V510">IF(--INDEX('Raw Data'!$A$4:K$993,$F510,17)= 1, 1, 0)</f>
        <v>#NUM!</v>
      </c>
      <c r="W510" t="e">
        <f t="array" ref="W510">INDEX('Raw Data'!$A:$O,$F510,19)</f>
        <v>#NUM!</v>
      </c>
      <c r="X510" t="e">
        <f t="array" ref="X510">INDEX('Raw Data'!$A:$O,$F510,20)</f>
        <v>#NUM!</v>
      </c>
      <c r="Y510" t="e">
        <f t="array" ref="Y510">INDEX('Raw Data'!$A:$O,F510,21)</f>
        <v>#NUM!</v>
      </c>
      <c r="Z510" t="e">
        <f t="array" ref="Z510">INDEX('Raw Data'!$A:$O,$F510,3)</f>
        <v>#NUM!</v>
      </c>
      <c r="AA510" t="e">
        <f t="array" ref="AA510">INDEX('Raw Data'!$A:$O,$F510,22)</f>
        <v>#NUM!</v>
      </c>
      <c r="AB510" t="e">
        <f t="array" ref="AB510">INDEX('Raw Data'!$A:$O,$F510,23)</f>
        <v>#NUM!</v>
      </c>
    </row>
    <row r="511" spans="1:44" x14ac:dyDescent="0.25">
      <c r="A511" t="s">
        <v>2</v>
      </c>
      <c r="C511" s="3" t="e">
        <f>B510/B509</f>
        <v>#DIV/0!</v>
      </c>
      <c r="F511" t="e">
        <f t="array" ref="F511">SMALL(IF('Raw Data'!A:A=C507,ROW('Raw Data'!A:A)),ROW('Raw Data'!$4:$4))</f>
        <v>#NUM!</v>
      </c>
      <c r="G511" t="e">
        <f t="array" ref="G511">INDEX('Raw Data'!A:A,F511,9)</f>
        <v>#NUM!</v>
      </c>
      <c r="H511" t="e">
        <f t="array" ref="H511">INDEX('Raw Data'!A:A,F511,10)</f>
        <v>#NUM!</v>
      </c>
      <c r="I511" t="e">
        <f t="array" ref="I511">INDEX('Raw Data'!$A:A,$F511,11)</f>
        <v>#NUM!</v>
      </c>
      <c r="J511" t="e">
        <f t="array" ref="J511">INDEX('Raw Data'!$A:A,F511,12)</f>
        <v>#NUM!</v>
      </c>
      <c r="K511" t="e">
        <f>(--INDEX('Raw Data'!$A$4:B$993,F511,4))</f>
        <v>#NUM!</v>
      </c>
      <c r="L511" t="e">
        <f t="array" ref="L511">(--INDEX('Raw Data'!$A$4:B$993,F511,5))</f>
        <v>#NUM!</v>
      </c>
      <c r="M511" t="e">
        <f t="array" ref="M511">(--INDEX('Raw Data'!$A$4:D$993,$F511,6))</f>
        <v>#NUM!</v>
      </c>
      <c r="N511" t="e">
        <f t="array" ref="N511">(--INDEX('Raw Data'!$A$4:D$993,$F511,7))</f>
        <v>#NUM!</v>
      </c>
      <c r="O511" t="e">
        <f t="array" ref="O511">IF(--INDEX('Raw Data'!$A$4:E$993,$F511,8)= 0, 1, 0)</f>
        <v>#NUM!</v>
      </c>
      <c r="P511" t="e">
        <f t="array" ref="P511">IF(--INDEX('Raw Data'!$A$4:F$993,$F511,8)= 1, 1, 0)</f>
        <v>#NUM!</v>
      </c>
      <c r="Q511" t="e">
        <f t="array" ref="Q511">IF(--INDEX('Raw Data'!$A$4:G$993,$F511,13)= 1, 1, 0)</f>
        <v>#NUM!</v>
      </c>
      <c r="R511" t="e">
        <f t="array" ref="R511">IF(--INDEX('Raw Data'!$A$4:H$993,$F511,14)= 1, 1, 0)</f>
        <v>#NUM!</v>
      </c>
      <c r="S511" t="e">
        <f t="array" ref="S511">IF(--INDEX('Raw Data'!$A$4:I$993,$F511,15)= 1, 1, 0)</f>
        <v>#NUM!</v>
      </c>
      <c r="T511" t="e">
        <f t="array" ref="T511">IF(--INDEX('Raw Data'!$A$4:I$993,$F511,15)= 1, 1, 0)</f>
        <v>#NUM!</v>
      </c>
      <c r="U511" t="e">
        <f t="array" ref="U511">IF(--INDEX('Raw Data'!$A$4:J$993,$F511,16)= 1, 1, 0)</f>
        <v>#NUM!</v>
      </c>
      <c r="V511" t="e">
        <f t="array" ref="V511">IF(--INDEX('Raw Data'!$A$4:K$993,$F511,17)= 1, 1, 0)</f>
        <v>#NUM!</v>
      </c>
      <c r="W511" t="e">
        <f t="array" ref="W511">INDEX('Raw Data'!$A:$O,$F511,19)</f>
        <v>#NUM!</v>
      </c>
      <c r="X511" t="e">
        <f t="array" ref="X511">INDEX('Raw Data'!$A:$O,$F511,20)</f>
        <v>#NUM!</v>
      </c>
      <c r="Y511" t="e">
        <f t="array" ref="Y511">INDEX('Raw Data'!$A:$O,F511,21)</f>
        <v>#NUM!</v>
      </c>
      <c r="Z511" t="e">
        <f t="array" ref="Z511">INDEX('Raw Data'!$A:$O,$F511,3)</f>
        <v>#NUM!</v>
      </c>
      <c r="AA511" t="e">
        <f t="array" ref="AA511">INDEX('Raw Data'!$A:$O,$F511,22)</f>
        <v>#NUM!</v>
      </c>
      <c r="AB511" t="e">
        <f t="array" ref="AB511">INDEX('Raw Data'!$A:$O,$F511,23)</f>
        <v>#NUM!</v>
      </c>
    </row>
    <row r="512" spans="1:44" x14ac:dyDescent="0.25">
      <c r="A512" t="s">
        <v>54</v>
      </c>
      <c r="B512">
        <f>I523</f>
        <v>0</v>
      </c>
      <c r="F512" t="e">
        <f t="array" ref="F512">SMALL(IF('Raw Data'!A:A=C507,ROW('Raw Data'!A:A)),ROW('Raw Data'!$5:$5))</f>
        <v>#NUM!</v>
      </c>
      <c r="G512" t="e">
        <f t="array" ref="G512">INDEX('Raw Data'!A:A,F512,9)</f>
        <v>#NUM!</v>
      </c>
      <c r="H512" t="e">
        <f t="array" ref="H512">INDEX('Raw Data'!A:A,F512,10)</f>
        <v>#NUM!</v>
      </c>
      <c r="I512" t="e">
        <f t="array" ref="I512">INDEX('Raw Data'!$A:A,$F512,11)</f>
        <v>#NUM!</v>
      </c>
      <c r="J512" t="e">
        <f t="array" ref="J512">INDEX('Raw Data'!$A:A,F512,12)</f>
        <v>#NUM!</v>
      </c>
      <c r="K512" t="e">
        <f>(--INDEX('Raw Data'!$A$4:B$993,F512,4))</f>
        <v>#NUM!</v>
      </c>
      <c r="L512" t="e">
        <f t="array" ref="L512">(--INDEX('Raw Data'!$A$4:B$993,F512,5))</f>
        <v>#NUM!</v>
      </c>
      <c r="M512" t="e">
        <f t="array" ref="M512">(--INDEX('Raw Data'!$A$4:D$993,$F512,6))</f>
        <v>#NUM!</v>
      </c>
      <c r="N512" t="e">
        <f t="array" ref="N512">(--INDEX('Raw Data'!$A$4:D$993,$F512,7))</f>
        <v>#NUM!</v>
      </c>
      <c r="O512" t="e">
        <f t="array" ref="O512">IF(--INDEX('Raw Data'!$A$4:E$993,$F512,8)= 0, 1, 0)</f>
        <v>#NUM!</v>
      </c>
      <c r="P512" t="e">
        <f t="array" ref="P512">IF(--INDEX('Raw Data'!$A$4:F$993,$F512,8)= 1, 1, 0)</f>
        <v>#NUM!</v>
      </c>
      <c r="Q512" t="e">
        <f t="array" ref="Q512">IF(--INDEX('Raw Data'!$A$4:G$993,$F512,13)= 1, 1, 0)</f>
        <v>#NUM!</v>
      </c>
      <c r="R512" t="e">
        <f t="array" ref="R512">IF(--INDEX('Raw Data'!$A$4:H$993,$F512,14)= 1, 1, 0)</f>
        <v>#NUM!</v>
      </c>
      <c r="S512" t="e">
        <f t="array" ref="S512">IF(--INDEX('Raw Data'!$A$4:I$993,$F512,15)= 1, 1, 0)</f>
        <v>#NUM!</v>
      </c>
      <c r="T512" t="e">
        <f t="array" ref="T512">IF(--INDEX('Raw Data'!$A$4:I$993,$F512,15)= 1, 1, 0)</f>
        <v>#NUM!</v>
      </c>
      <c r="U512" t="e">
        <f t="array" ref="U512">IF(--INDEX('Raw Data'!$A$4:J$993,$F512,16)= 1, 1, 0)</f>
        <v>#NUM!</v>
      </c>
      <c r="V512" t="e">
        <f t="array" ref="V512">IF(--INDEX('Raw Data'!$A$4:K$993,$F512,17)= 1, 1, 0)</f>
        <v>#NUM!</v>
      </c>
      <c r="W512" t="e">
        <f t="array" ref="W512">INDEX('Raw Data'!$A:$O,$F512,19)</f>
        <v>#NUM!</v>
      </c>
      <c r="X512" t="e">
        <f t="array" ref="X512">INDEX('Raw Data'!$A:$O,$F512,20)</f>
        <v>#NUM!</v>
      </c>
      <c r="Y512" t="e">
        <f t="array" ref="Y512">INDEX('Raw Data'!$A:$O,F512,21)</f>
        <v>#NUM!</v>
      </c>
      <c r="Z512" t="e">
        <f t="array" ref="Z512">INDEX('Raw Data'!$A:$O,$F512,3)</f>
        <v>#NUM!</v>
      </c>
      <c r="AA512" t="e">
        <f t="array" ref="AA512">INDEX('Raw Data'!$A:$O,$F512,22)</f>
        <v>#NUM!</v>
      </c>
      <c r="AB512" t="e">
        <f t="array" ref="AB512">INDEX('Raw Data'!$A:$O,$F512,23)</f>
        <v>#NUM!</v>
      </c>
      <c r="AR512" s="25"/>
    </row>
    <row r="513" spans="1:44" x14ac:dyDescent="0.25">
      <c r="A513" t="s">
        <v>35</v>
      </c>
      <c r="B513">
        <f>J523</f>
        <v>0</v>
      </c>
      <c r="F513" t="e">
        <f t="array" ref="F513">SMALL(IF('Raw Data'!A:A=C507,ROW('Raw Data'!A:A)),ROW('Raw Data'!$6:$6))</f>
        <v>#NUM!</v>
      </c>
      <c r="G513" t="e">
        <f t="array" ref="G513">INDEX('Raw Data'!A:A,F513,9)</f>
        <v>#NUM!</v>
      </c>
      <c r="H513" t="e">
        <f t="array" ref="H513">INDEX('Raw Data'!A:A,F513,10)</f>
        <v>#NUM!</v>
      </c>
      <c r="I513" t="e">
        <f t="array" ref="I513">INDEX('Raw Data'!$A:A,$F513,11)</f>
        <v>#NUM!</v>
      </c>
      <c r="J513" t="e">
        <f t="array" ref="J513">INDEX('Raw Data'!$A:A,F513,12)</f>
        <v>#NUM!</v>
      </c>
      <c r="K513" t="e">
        <f>(--INDEX('Raw Data'!$A$4:B$993,F513,4))</f>
        <v>#NUM!</v>
      </c>
      <c r="L513" t="e">
        <f t="array" ref="L513">(--INDEX('Raw Data'!$A$4:B$998,F513,5))</f>
        <v>#NUM!</v>
      </c>
      <c r="M513" t="e">
        <f t="array" ref="M513">(--INDEX('Raw Data'!$A$4:D$998,$F513,6))</f>
        <v>#NUM!</v>
      </c>
      <c r="N513" t="e">
        <f t="array" ref="N513">(--INDEX('Raw Data'!$A$4:D$993,$F513,7))</f>
        <v>#NUM!</v>
      </c>
      <c r="O513" t="e">
        <f t="array" ref="O513">IF(--INDEX('Raw Data'!$A$4:E$993,$F513,8)= 0, 1, 0)</f>
        <v>#NUM!</v>
      </c>
      <c r="P513" t="e">
        <f t="array" ref="P513">IF(--INDEX('Raw Data'!$A$4:F$998,$F513,8)= 1, 1, 0)</f>
        <v>#NUM!</v>
      </c>
      <c r="Q513" t="e">
        <f t="array" ref="Q513">IF(--INDEX('Raw Data'!$A$4:G$998,$F513,13)= 1, 1, 0)</f>
        <v>#NUM!</v>
      </c>
      <c r="R513" t="e">
        <f t="array" ref="R513">IF(--INDEX('Raw Data'!$A$4:H$998,$F513,14)= 1, 1, 0)</f>
        <v>#NUM!</v>
      </c>
      <c r="S513" t="e">
        <f t="array" ref="S513">IF(--INDEX('Raw Data'!$A$4:I$993,$F513,15)= 1, 1, 0)</f>
        <v>#NUM!</v>
      </c>
      <c r="T513" t="e">
        <f t="array" ref="T513">IF(--INDEX('Raw Data'!$A$4:I$998,$F513,15)= 1, 1, 0)</f>
        <v>#NUM!</v>
      </c>
      <c r="U513" t="e">
        <f t="array" ref="U513">IF(--INDEX('Raw Data'!$A$4:J$998,$F513,16)= 1, 1, 0)</f>
        <v>#NUM!</v>
      </c>
      <c r="V513" t="e">
        <f t="array" ref="V513">IF(--INDEX('Raw Data'!$A$4:K$993,$F513,17)= 1, 1, 0)</f>
        <v>#NUM!</v>
      </c>
      <c r="W513" t="e">
        <f t="array" ref="W513">INDEX('Raw Data'!$A:$O,$F513,19)</f>
        <v>#NUM!</v>
      </c>
      <c r="X513" t="e">
        <f t="array" ref="X513">INDEX('Raw Data'!$A:$O,$F513,20)</f>
        <v>#NUM!</v>
      </c>
      <c r="Y513" t="e">
        <f t="array" ref="Y513">INDEX('Raw Data'!$A:$O,F513,21)</f>
        <v>#NUM!</v>
      </c>
      <c r="Z513" t="e">
        <f t="array" ref="Z513">INDEX('Raw Data'!$A:$O,$F513,3)</f>
        <v>#NUM!</v>
      </c>
      <c r="AA513" t="e">
        <f t="array" ref="AA513">INDEX('Raw Data'!$A:$O,$F513,22)</f>
        <v>#NUM!</v>
      </c>
      <c r="AB513" t="e">
        <f t="array" ref="AB513">INDEX('Raw Data'!$A:$O,$F513,23)</f>
        <v>#NUM!</v>
      </c>
      <c r="AR513" s="25"/>
    </row>
    <row r="514" spans="1:44" ht="28.5" x14ac:dyDescent="0.45">
      <c r="F514" t="e">
        <f t="array" ref="F514">SMALL(IF('Raw Data'!A:A=C507,ROW('Raw Data'!A:A)),ROW('Raw Data'!$7:$7))</f>
        <v>#NUM!</v>
      </c>
      <c r="G514" t="e">
        <f t="array" ref="G514">INDEX('Raw Data'!A:A,F514,9)</f>
        <v>#NUM!</v>
      </c>
      <c r="H514" t="e">
        <f t="array" ref="H514">INDEX('Raw Data'!A:A,F514,10)</f>
        <v>#NUM!</v>
      </c>
      <c r="I514" t="e">
        <f t="array" ref="I514">INDEX('Raw Data'!$A:A,$F514,11)</f>
        <v>#NUM!</v>
      </c>
      <c r="J514" t="e">
        <f t="array" ref="J514">INDEX('Raw Data'!$A:A,F514,12)</f>
        <v>#NUM!</v>
      </c>
      <c r="K514" t="e">
        <f t="array" ref="K514">(--INDEX('Raw Data'!$A$4:B$998,F514,4))</f>
        <v>#NUM!</v>
      </c>
      <c r="L514" t="e">
        <f t="array" ref="L514">(--INDEX('Raw Data'!$A$4:B$998,F514,5))</f>
        <v>#NUM!</v>
      </c>
      <c r="M514" t="e">
        <f t="array" ref="M514">(--INDEX('Raw Data'!$A$4:D$998,$F514,6))</f>
        <v>#NUM!</v>
      </c>
      <c r="N514" t="e">
        <f t="array" ref="N514">(--INDEX('Raw Data'!$A$4:D$998,$F514,7))</f>
        <v>#NUM!</v>
      </c>
      <c r="O514" t="e">
        <f t="array" ref="O514">IF(--INDEX('Raw Data'!$A$4:E$998,$F514,8)= 0, 1, 0)</f>
        <v>#NUM!</v>
      </c>
      <c r="P514" t="e">
        <f t="array" ref="P514">IF(--INDEX('Raw Data'!$A$4:F$998,$F514,8)= 1, 1, 0)</f>
        <v>#NUM!</v>
      </c>
      <c r="Q514" t="e">
        <f t="array" ref="Q514">IF(--INDEX('Raw Data'!$A$4:G$998,$F514,13)= 1, 1, 0)</f>
        <v>#NUM!</v>
      </c>
      <c r="R514" t="e">
        <f t="array" ref="R514">IF(--INDEX('Raw Data'!$A$4:H$998,$F514,14)= 1, 1, 0)</f>
        <v>#NUM!</v>
      </c>
      <c r="S514" t="e">
        <f t="array" ref="S514">IF(--INDEX('Raw Data'!$A$4:I$998,$F514,15)= 1, 1, 0)</f>
        <v>#NUM!</v>
      </c>
      <c r="T514" t="e">
        <f t="array" ref="T514">IF(--INDEX('Raw Data'!$A$4:I$998,$F514,15)= 1, 1, 0)</f>
        <v>#NUM!</v>
      </c>
      <c r="U514" t="e">
        <f t="array" ref="U514">IF(--INDEX('Raw Data'!$A$4:J$998,$F514,16)= 1, 1, 0)</f>
        <v>#NUM!</v>
      </c>
      <c r="V514" t="e">
        <f t="array" ref="V514">IF(--INDEX('Raw Data'!$A$4:K$998,$F514,17)= 1, 1, 0)</f>
        <v>#NUM!</v>
      </c>
      <c r="W514" t="e">
        <f t="array" ref="W514">INDEX('Raw Data'!$A:$O,$F514,19)</f>
        <v>#NUM!</v>
      </c>
      <c r="X514" t="e">
        <f t="array" ref="X514">INDEX('Raw Data'!$A:$O,$F514,20)</f>
        <v>#NUM!</v>
      </c>
      <c r="Y514" t="e">
        <f t="array" ref="Y514">INDEX('Raw Data'!$A:$O,F514,21)</f>
        <v>#NUM!</v>
      </c>
      <c r="Z514" t="e">
        <f t="array" ref="Z514">INDEX('Raw Data'!$A:$O,$F514,3)</f>
        <v>#NUM!</v>
      </c>
      <c r="AA514" t="e">
        <f t="array" ref="AA514">INDEX('Raw Data'!$A:$O,$F514,22)</f>
        <v>#NUM!</v>
      </c>
      <c r="AB514" t="e">
        <f t="array" ref="AB514">INDEX('Raw Data'!$A:$O,$F514,23)</f>
        <v>#NUM!</v>
      </c>
      <c r="AM514" s="21"/>
    </row>
    <row r="515" spans="1:44" x14ac:dyDescent="0.25">
      <c r="F515" t="e">
        <f t="array" ref="F515">SMALL(IF('Raw Data'!A:A=C507,ROW('Raw Data'!A:A)),ROW('Raw Data'!$8:$8))</f>
        <v>#NUM!</v>
      </c>
      <c r="G515" t="e">
        <f t="array" ref="G515">INDEX('Raw Data'!A:A,F515,9)</f>
        <v>#NUM!</v>
      </c>
      <c r="H515" t="e">
        <f t="array" ref="H515">INDEX('Raw Data'!A:A,F515,10)</f>
        <v>#NUM!</v>
      </c>
      <c r="I515" t="e">
        <f t="array" ref="I515">INDEX('Raw Data'!$A:A,$F515,11)</f>
        <v>#NUM!</v>
      </c>
      <c r="J515" t="e">
        <f t="array" ref="J515">INDEX('Raw Data'!$A:A,F515,12)</f>
        <v>#NUM!</v>
      </c>
      <c r="K515" t="e">
        <f t="array" ref="K515">(--INDEX('Raw Data'!$A$4:B$998,F515,4))</f>
        <v>#NUM!</v>
      </c>
      <c r="L515" t="e">
        <f t="array" ref="L515">(--INDEX('Raw Data'!$A$4:B$998,F515,5))</f>
        <v>#NUM!</v>
      </c>
      <c r="M515" t="e">
        <f t="array" ref="M515">(--INDEX('Raw Data'!$A$4:D$998,$F515,6))</f>
        <v>#NUM!</v>
      </c>
      <c r="N515" t="e">
        <f t="array" ref="N515">(--INDEX('Raw Data'!$A$4:D$998,$F515,7))</f>
        <v>#NUM!</v>
      </c>
      <c r="O515" t="e">
        <f t="array" ref="O515">IF(--INDEX('Raw Data'!$A$4:E$998,$F515,8)= 0, 1, 0)</f>
        <v>#NUM!</v>
      </c>
      <c r="P515" t="e">
        <f t="array" ref="P515">IF(--INDEX('Raw Data'!$A$4:F$998,$F515,8)= 1, 1, 0)</f>
        <v>#NUM!</v>
      </c>
      <c r="Q515" t="e">
        <f t="array" ref="Q515">IF(--INDEX('Raw Data'!$A$4:G$998,$F515,13)= 1, 1, 0)</f>
        <v>#NUM!</v>
      </c>
      <c r="R515" t="e">
        <f t="array" ref="R515">IF(--INDEX('Raw Data'!$A$4:H$998,$F515,14)= 1, 1, 0)</f>
        <v>#NUM!</v>
      </c>
      <c r="S515" t="e">
        <f t="array" ref="S515">IF(--INDEX('Raw Data'!$A$4:I$998,$F515,15)= 1, 1, 0)</f>
        <v>#NUM!</v>
      </c>
      <c r="T515" t="e">
        <f t="array" ref="T515">IF(--INDEX('Raw Data'!$A$4:I$998,$F515,15)= 1, 1, 0)</f>
        <v>#NUM!</v>
      </c>
      <c r="U515" t="e">
        <f t="array" ref="U515">IF(--INDEX('Raw Data'!$A$4:J$998,$F515,16)= 1, 1, 0)</f>
        <v>#NUM!</v>
      </c>
      <c r="V515" t="e">
        <f t="array" ref="V515">IF(--INDEX('Raw Data'!$A$4:K$998,$F515,17)= 1, 1, 0)</f>
        <v>#NUM!</v>
      </c>
      <c r="W515" t="e">
        <f t="array" ref="W515">INDEX('Raw Data'!$A:$O,$F515,19)</f>
        <v>#NUM!</v>
      </c>
      <c r="X515" t="e">
        <f t="array" ref="X515">INDEX('Raw Data'!$A:$O,$F515,20)</f>
        <v>#NUM!</v>
      </c>
      <c r="Y515" t="e">
        <f t="array" ref="Y515">INDEX('Raw Data'!$A:$O,F515,21)</f>
        <v>#NUM!</v>
      </c>
      <c r="Z515" t="e">
        <f t="array" ref="Z515">INDEX('Raw Data'!$A:$O,$F515,3)</f>
        <v>#NUM!</v>
      </c>
      <c r="AA515" t="e">
        <f t="array" ref="AA515">INDEX('Raw Data'!$A:$O,$F515,22)</f>
        <v>#NUM!</v>
      </c>
      <c r="AB515" t="e">
        <f t="array" ref="AB515">INDEX('Raw Data'!$A:$O,$F515,23)</f>
        <v>#NUM!</v>
      </c>
    </row>
    <row r="516" spans="1:44" x14ac:dyDescent="0.25">
      <c r="F516" t="e">
        <f t="array" ref="F516">SMALL(IF('Raw Data'!A:A=C507,ROW('Raw Data'!A:A)),ROW('Raw Data'!$9:$9))</f>
        <v>#NUM!</v>
      </c>
      <c r="G516" t="e">
        <f t="array" ref="G516">INDEX('Raw Data'!A:A,F516,9)</f>
        <v>#NUM!</v>
      </c>
      <c r="H516" t="e">
        <f t="array" ref="H516">INDEX('Raw Data'!A:A,F516,10)</f>
        <v>#NUM!</v>
      </c>
      <c r="I516" t="e">
        <f t="array" ref="I516">INDEX('Raw Data'!$A:A,$F516,11)</f>
        <v>#NUM!</v>
      </c>
      <c r="J516" t="e">
        <f t="array" ref="J516">INDEX('Raw Data'!$A:A,F516,12)</f>
        <v>#NUM!</v>
      </c>
      <c r="K516" t="e">
        <f t="array" ref="K516">(--INDEX('Raw Data'!$A$4:B$998,F516,4))</f>
        <v>#NUM!</v>
      </c>
      <c r="L516" t="e">
        <f t="array" ref="L516">(--INDEX('Raw Data'!$A$4:B$998,F516,5))</f>
        <v>#NUM!</v>
      </c>
      <c r="M516" t="e">
        <f t="array" ref="M516">(--INDEX('Raw Data'!$A$4:D$998,$F516,6))</f>
        <v>#NUM!</v>
      </c>
      <c r="N516" t="e">
        <f t="array" ref="N516">(--INDEX('Raw Data'!$A$4:D$998,$F516,7))</f>
        <v>#NUM!</v>
      </c>
      <c r="O516" t="e">
        <f t="array" ref="O516">IF(--INDEX('Raw Data'!$A$4:E$998,$F516,8)= 0, 1, 0)</f>
        <v>#NUM!</v>
      </c>
      <c r="P516" t="e">
        <f t="array" ref="P516">IF(--INDEX('Raw Data'!$A$4:F$998,$F516,8)= 1, 1, 0)</f>
        <v>#NUM!</v>
      </c>
      <c r="Q516" t="e">
        <f t="array" ref="Q516">IF(--INDEX('Raw Data'!$A$4:G$998,$F516,13)= 1, 1, 0)</f>
        <v>#NUM!</v>
      </c>
      <c r="R516" t="e">
        <f t="array" ref="R516">IF(--INDEX('Raw Data'!$A$4:H$998,$F516,14)= 1, 1, 0)</f>
        <v>#NUM!</v>
      </c>
      <c r="S516" t="e">
        <f t="array" ref="S516">IF(--INDEX('Raw Data'!$A$4:I$998,$F516,15)= 1, 1, 0)</f>
        <v>#NUM!</v>
      </c>
      <c r="T516" t="e">
        <f t="array" ref="T516">IF(--INDEX('Raw Data'!$A$4:I$998,$F516,15)= 1, 1, 0)</f>
        <v>#NUM!</v>
      </c>
      <c r="U516" t="e">
        <f t="array" ref="U516">IF(--INDEX('Raw Data'!$A$4:J$998,$F516,16)= 1, 1, 0)</f>
        <v>#NUM!</v>
      </c>
      <c r="V516" t="e">
        <f t="array" ref="V516">IF(--INDEX('Raw Data'!$A$4:K$998,$F516,17)= 1, 1, 0)</f>
        <v>#NUM!</v>
      </c>
      <c r="W516" t="e">
        <f t="array" ref="W516">INDEX('Raw Data'!$A:$O,$F516,19)</f>
        <v>#NUM!</v>
      </c>
      <c r="X516" t="e">
        <f t="array" ref="X516">INDEX('Raw Data'!$A:$O,$F516,20)</f>
        <v>#NUM!</v>
      </c>
      <c r="Y516" t="e">
        <f t="array" ref="Y516">INDEX('Raw Data'!$A:$O,F516,21)</f>
        <v>#NUM!</v>
      </c>
      <c r="Z516" t="e">
        <f t="array" ref="Z516">INDEX('Raw Data'!$A:$O,$F516,3)</f>
        <v>#NUM!</v>
      </c>
      <c r="AA516" t="e">
        <f t="array" ref="AA516">INDEX('Raw Data'!$A:$O,$F516,22)</f>
        <v>#NUM!</v>
      </c>
      <c r="AB516" t="e">
        <f t="array" ref="AB516">INDEX('Raw Data'!$A:$O,$F516,23)</f>
        <v>#NUM!</v>
      </c>
    </row>
    <row r="517" spans="1:44" x14ac:dyDescent="0.25">
      <c r="F517" t="e">
        <f t="array" ref="F517">SMALL(IF('Raw Data'!A:A=C507,ROW('Raw Data'!A:A)),ROW('Raw Data'!$10:$10))</f>
        <v>#NUM!</v>
      </c>
      <c r="G517" t="e">
        <f t="array" ref="G517">INDEX('Raw Data'!A:A,F517,9)</f>
        <v>#NUM!</v>
      </c>
      <c r="H517" t="e">
        <f t="array" ref="H517">INDEX('Raw Data'!A:A,F517,10)</f>
        <v>#NUM!</v>
      </c>
      <c r="I517" t="e">
        <f t="array" ref="I517">INDEX('Raw Data'!$A:A,$F517,11)</f>
        <v>#NUM!</v>
      </c>
      <c r="J517" t="e">
        <f t="array" ref="J517">INDEX('Raw Data'!$A:A,F517,12)</f>
        <v>#NUM!</v>
      </c>
      <c r="K517" t="e">
        <f t="array" ref="K517">(--INDEX('Raw Data'!$A$4:B$998,F517,4))</f>
        <v>#NUM!</v>
      </c>
      <c r="L517" t="e">
        <f t="array" ref="L517">(--INDEX('Raw Data'!$A$4:B$998,F517,5))</f>
        <v>#NUM!</v>
      </c>
      <c r="M517" t="e">
        <f t="array" ref="M517">(--INDEX('Raw Data'!$A$4:D$998,$F517,6))</f>
        <v>#NUM!</v>
      </c>
      <c r="N517" t="e">
        <f t="array" ref="N517">(--INDEX('Raw Data'!$A$4:D$998,$F517,7))</f>
        <v>#NUM!</v>
      </c>
      <c r="O517" t="e">
        <f t="array" ref="O517">IF(--INDEX('Raw Data'!$A$4:E$998,$F517,8)= 0, 1, 0)</f>
        <v>#NUM!</v>
      </c>
      <c r="P517" t="e">
        <f t="array" ref="P517">IF(--INDEX('Raw Data'!$A$4:F$998,$F517,8)= 1, 1, 0)</f>
        <v>#NUM!</v>
      </c>
      <c r="Q517" t="e">
        <f t="array" ref="Q517">IF(--INDEX('Raw Data'!$A$4:G$998,$F517,13)= 1, 1, 0)</f>
        <v>#NUM!</v>
      </c>
      <c r="R517" t="e">
        <f t="array" ref="R517">IF(--INDEX('Raw Data'!$A$4:H$998,$F517,14)= 1, 1, 0)</f>
        <v>#NUM!</v>
      </c>
      <c r="S517" t="e">
        <f t="array" ref="S517">IF(--INDEX('Raw Data'!$A$4:I$998,$F517,15)= 1, 1, 0)</f>
        <v>#NUM!</v>
      </c>
      <c r="T517" t="e">
        <f t="array" ref="T517">IF(--INDEX('Raw Data'!$A$4:I$998,$F517,15)= 1, 1, 0)</f>
        <v>#NUM!</v>
      </c>
      <c r="U517" t="e">
        <f t="array" ref="U517">IF(--INDEX('Raw Data'!$A$4:J$998,$F517,16)= 1, 1, 0)</f>
        <v>#NUM!</v>
      </c>
      <c r="V517" t="e">
        <f t="array" ref="V517">IF(--INDEX('Raw Data'!$A$4:K$998,$F517,17)= 1, 1, 0)</f>
        <v>#NUM!</v>
      </c>
      <c r="W517" t="e">
        <f t="array" ref="W517">INDEX('Raw Data'!$A:$O,$F517,19)</f>
        <v>#NUM!</v>
      </c>
      <c r="X517" t="e">
        <f t="array" ref="X517">INDEX('Raw Data'!$A:$O,$F517,20)</f>
        <v>#NUM!</v>
      </c>
      <c r="Y517" t="e">
        <f t="array" ref="Y517">INDEX('Raw Data'!$A:$O,F517,21)</f>
        <v>#NUM!</v>
      </c>
      <c r="Z517" t="e">
        <f t="array" ref="Z517">INDEX('Raw Data'!$A:$O,$F517,3)</f>
        <v>#NUM!</v>
      </c>
      <c r="AA517" t="e">
        <f t="array" ref="AA517">INDEX('Raw Data'!$A:$O,$F517,22)</f>
        <v>#NUM!</v>
      </c>
      <c r="AB517" t="e">
        <f t="array" ref="AB517">INDEX('Raw Data'!$A:$O,$F517,23)</f>
        <v>#NUM!</v>
      </c>
    </row>
    <row r="518" spans="1:44" x14ac:dyDescent="0.25">
      <c r="F518" t="e">
        <f t="array" ref="F518">SMALL(IF('Raw Data'!A:A=C507,ROW('Raw Data'!A:A)),ROW('Raw Data'!$11:$11))</f>
        <v>#NUM!</v>
      </c>
      <c r="G518" t="e">
        <f t="array" ref="G518">INDEX('Raw Data'!A:A,F518,9)</f>
        <v>#NUM!</v>
      </c>
      <c r="H518" t="e">
        <f t="array" ref="H518">INDEX('Raw Data'!A:A,F518,10)</f>
        <v>#NUM!</v>
      </c>
      <c r="I518" t="e">
        <f t="array" ref="I518">INDEX('Raw Data'!$A:A,$F518,11)</f>
        <v>#NUM!</v>
      </c>
      <c r="J518" t="e">
        <f t="array" ref="J518">INDEX('Raw Data'!$A:A,F518,12)</f>
        <v>#NUM!</v>
      </c>
      <c r="K518" t="e">
        <f t="array" ref="K518">(--INDEX('Raw Data'!$A$4:B$998,F518,4))</f>
        <v>#NUM!</v>
      </c>
      <c r="L518" t="e">
        <f t="array" ref="L518">(--INDEX('Raw Data'!$A$4:B$998,F518,5))</f>
        <v>#NUM!</v>
      </c>
      <c r="M518" t="e">
        <f t="array" ref="M518">(--INDEX('Raw Data'!$A$4:D$998,$F518,6))</f>
        <v>#NUM!</v>
      </c>
      <c r="N518" t="e">
        <f t="array" ref="N518">(--INDEX('Raw Data'!$A$4:D$998,$F518,7))</f>
        <v>#NUM!</v>
      </c>
      <c r="O518" t="e">
        <f t="array" ref="O518">IF(--INDEX('Raw Data'!$A$4:E$998,$F518,8)= 0, 1, 0)</f>
        <v>#NUM!</v>
      </c>
      <c r="P518" t="e">
        <f t="array" ref="P518">IF(--INDEX('Raw Data'!$A$4:F$998,$F518,8)= 1, 1, 0)</f>
        <v>#NUM!</v>
      </c>
      <c r="Q518" t="e">
        <f t="array" ref="Q518">IF(--INDEX('Raw Data'!$A$4:G$998,$F518,13)= 1, 1, 0)</f>
        <v>#NUM!</v>
      </c>
      <c r="R518" t="e">
        <f t="array" ref="R518">IF(--INDEX('Raw Data'!$A$4:H$998,$F518,14)= 1, 1, 0)</f>
        <v>#NUM!</v>
      </c>
      <c r="S518" t="e">
        <f t="array" ref="S518">IF(--INDEX('Raw Data'!$A$4:I$998,$F518,15)= 1, 1, 0)</f>
        <v>#NUM!</v>
      </c>
      <c r="T518" t="e">
        <f t="array" ref="T518">IF(--INDEX('Raw Data'!$A$4:I$998,$F518,15)= 1, 1, 0)</f>
        <v>#NUM!</v>
      </c>
      <c r="U518" t="e">
        <f t="array" ref="U518">IF(--INDEX('Raw Data'!$A$4:J$998,$F518,16)= 1, 1, 0)</f>
        <v>#NUM!</v>
      </c>
      <c r="V518" t="e">
        <f t="array" ref="V518">IF(--INDEX('Raw Data'!$A$4:K$998,$F518,17)= 1, 1, 0)</f>
        <v>#NUM!</v>
      </c>
      <c r="W518" t="e">
        <f t="array" ref="W518">INDEX('Raw Data'!$A:$O,$F518,19)</f>
        <v>#NUM!</v>
      </c>
      <c r="X518" t="e">
        <f t="array" ref="X518">INDEX('Raw Data'!$A:$O,$F518,20)</f>
        <v>#NUM!</v>
      </c>
      <c r="Y518" t="e">
        <f t="array" ref="Y518">INDEX('Raw Data'!$A:$O,F518,21)</f>
        <v>#NUM!</v>
      </c>
      <c r="Z518" t="e">
        <f t="array" ref="Z518">INDEX('Raw Data'!$A:$O,$F518,3)</f>
        <v>#NUM!</v>
      </c>
      <c r="AA518" t="e">
        <f t="array" ref="AA518">INDEX('Raw Data'!$A:$O,$F518,22)</f>
        <v>#NUM!</v>
      </c>
      <c r="AB518" t="e">
        <f t="array" ref="AB518">INDEX('Raw Data'!$A:$O,$F518,23)</f>
        <v>#NUM!</v>
      </c>
    </row>
    <row r="519" spans="1:44" x14ac:dyDescent="0.25">
      <c r="F519" t="e">
        <f t="array" ref="F519">SMALL(IF('Raw Data'!A:A=C507,ROW('Raw Data'!A:A)),ROW('Raw Data'!$12:$12))</f>
        <v>#NUM!</v>
      </c>
      <c r="G519" t="e">
        <f t="array" ref="G519">INDEX('Raw Data'!A:A,F519,9)</f>
        <v>#NUM!</v>
      </c>
      <c r="H519" t="e">
        <f t="array" ref="H519">INDEX('Raw Data'!A:A,F519,10)</f>
        <v>#NUM!</v>
      </c>
      <c r="I519" t="e">
        <f t="array" ref="I519">INDEX('Raw Data'!$A:A,$F519,11)</f>
        <v>#NUM!</v>
      </c>
      <c r="J519" t="e">
        <f t="array" ref="J519">INDEX('Raw Data'!$A:A,F519,12)</f>
        <v>#NUM!</v>
      </c>
      <c r="K519" t="e">
        <f t="array" ref="K519">(--INDEX('Raw Data'!$A$4:B$998,F519,4))</f>
        <v>#NUM!</v>
      </c>
      <c r="L519" t="e">
        <f t="array" ref="L519">(--INDEX('Raw Data'!$A$4:B$998,F519,5))</f>
        <v>#NUM!</v>
      </c>
      <c r="M519" t="e">
        <f t="array" ref="M519">(--INDEX('Raw Data'!$A$4:D$998,$F519,6))</f>
        <v>#NUM!</v>
      </c>
      <c r="N519" t="e">
        <f t="array" ref="N519">(--INDEX('Raw Data'!$A$4:D$998,$F519,7))</f>
        <v>#NUM!</v>
      </c>
      <c r="O519" t="e">
        <f t="array" ref="O519">IF(--INDEX('Raw Data'!$A$4:E$998,$F519,8)= 0, 1, 0)</f>
        <v>#NUM!</v>
      </c>
      <c r="P519" t="e">
        <f t="array" ref="P519">IF(--INDEX('Raw Data'!$A$4:F$998,$F519,8)= 1, 1, 0)</f>
        <v>#NUM!</v>
      </c>
      <c r="Q519" t="e">
        <f t="array" ref="Q519">IF(--INDEX('Raw Data'!$A$4:G$998,$F519,13)= 1, 1, 0)</f>
        <v>#NUM!</v>
      </c>
      <c r="R519" t="e">
        <f t="array" ref="R519">IF(--INDEX('Raw Data'!$A$4:H$998,$F519,14)= 1, 1, 0)</f>
        <v>#NUM!</v>
      </c>
      <c r="S519" t="e">
        <f t="array" ref="S519">IF(--INDEX('Raw Data'!$A$4:I$998,$F519,15)= 1, 1, 0)</f>
        <v>#NUM!</v>
      </c>
      <c r="T519" t="e">
        <f t="array" ref="T519">IF(--INDEX('Raw Data'!$A$4:I$998,$F519,15)= 1, 1, 0)</f>
        <v>#NUM!</v>
      </c>
      <c r="U519" t="e">
        <f t="array" ref="U519">IF(--INDEX('Raw Data'!$A$4:J$998,$F519,16)= 1, 1, 0)</f>
        <v>#NUM!</v>
      </c>
      <c r="V519" t="e">
        <f t="array" ref="V519">IF(--INDEX('Raw Data'!$A$4:K$998,$F519,17)= 1, 1, 0)</f>
        <v>#NUM!</v>
      </c>
      <c r="W519" t="e">
        <f t="array" ref="W519">INDEX('Raw Data'!$A:$O,$F519,19)</f>
        <v>#NUM!</v>
      </c>
      <c r="X519" t="e">
        <f t="array" ref="X519">INDEX('Raw Data'!$A:$O,$F519,20)</f>
        <v>#NUM!</v>
      </c>
      <c r="Y519" t="e">
        <f t="array" ref="Y519">INDEX('Raw Data'!$A:$O,F519,21)</f>
        <v>#NUM!</v>
      </c>
      <c r="Z519" t="e">
        <f t="array" ref="Z519">INDEX('Raw Data'!$A:$O,$F519,3)</f>
        <v>#NUM!</v>
      </c>
      <c r="AA519" t="e">
        <f t="array" ref="AA519">INDEX('Raw Data'!$A:$O,$F519,22)</f>
        <v>#NUM!</v>
      </c>
      <c r="AB519" t="e">
        <f t="array" ref="AB519">INDEX('Raw Data'!$A:$O,$F519,23)</f>
        <v>#NUM!</v>
      </c>
    </row>
    <row r="520" spans="1:44" x14ac:dyDescent="0.25">
      <c r="F520" t="e">
        <f t="array" ref="F520">SMALL(IF('Raw Data'!A:A=C507,ROW('Raw Data'!A:A)),ROW('Raw Data'!$13:$13))</f>
        <v>#NUM!</v>
      </c>
      <c r="G520" t="e">
        <f t="array" ref="G520">INDEX('Raw Data'!A:A,F520,9)</f>
        <v>#NUM!</v>
      </c>
      <c r="H520" t="e">
        <f t="array" ref="H520">INDEX('Raw Data'!A:A,F520,10)</f>
        <v>#NUM!</v>
      </c>
      <c r="I520" t="e">
        <f t="array" ref="I520">INDEX('Raw Data'!$A:A,$F520,11)</f>
        <v>#NUM!</v>
      </c>
      <c r="J520" t="e">
        <f t="array" ref="J520">INDEX('Raw Data'!$A:A,F520,12)</f>
        <v>#NUM!</v>
      </c>
      <c r="K520" t="e">
        <f t="array" ref="K520">(--INDEX('Raw Data'!$A$4:B$998,F520,4))</f>
        <v>#NUM!</v>
      </c>
      <c r="L520" t="e">
        <f t="array" ref="L520">(--INDEX('Raw Data'!$A$4:B$998,F520,5))</f>
        <v>#NUM!</v>
      </c>
      <c r="M520" t="e">
        <f t="array" ref="M520">(--INDEX('Raw Data'!$A$4:D$998,$F520,6))</f>
        <v>#NUM!</v>
      </c>
      <c r="N520" t="e">
        <f t="array" ref="N520">(--INDEX('Raw Data'!$A$4:D$998,$F520,7))</f>
        <v>#NUM!</v>
      </c>
      <c r="O520" t="e">
        <f t="array" ref="O520">IF(--INDEX('Raw Data'!$A$4:E$998,$F520,8)= 0, 1, 0)</f>
        <v>#NUM!</v>
      </c>
      <c r="P520" t="e">
        <f t="array" ref="P520">IF(--INDEX('Raw Data'!$A$4:F$998,$F520,8)= 1, 1, 0)</f>
        <v>#NUM!</v>
      </c>
      <c r="Q520" t="e">
        <f t="array" ref="Q520">IF(--INDEX('Raw Data'!$A$4:G$998,$F520,13)= 1, 1, 0)</f>
        <v>#NUM!</v>
      </c>
      <c r="R520" t="e">
        <f t="array" ref="R520">IF(--INDEX('Raw Data'!$A$4:H$998,$F520,14)= 1, 1, 0)</f>
        <v>#NUM!</v>
      </c>
      <c r="S520" t="e">
        <f t="array" ref="S520">IF(--INDEX('Raw Data'!$A$4:I$998,$F520,15)= 1, 1, 0)</f>
        <v>#NUM!</v>
      </c>
      <c r="T520" t="e">
        <f t="array" ref="T520">IF(--INDEX('Raw Data'!$A$4:I$998,$F520,15)= 1, 1, 0)</f>
        <v>#NUM!</v>
      </c>
      <c r="U520" t="e">
        <f t="array" ref="U520">IF(--INDEX('Raw Data'!$A$4:J$998,$F520,16)= 1, 1, 0)</f>
        <v>#NUM!</v>
      </c>
      <c r="V520" t="e">
        <f t="array" ref="V520">IF(--INDEX('Raw Data'!$A$4:K$998,$F520,17)= 1, 1, 0)</f>
        <v>#NUM!</v>
      </c>
      <c r="W520" t="e">
        <f t="array" ref="W520">INDEX('Raw Data'!$A:$O,$F520,19)</f>
        <v>#NUM!</v>
      </c>
      <c r="X520" t="e">
        <f t="array" ref="X520">INDEX('Raw Data'!$A:$O,$F520,20)</f>
        <v>#NUM!</v>
      </c>
      <c r="Y520" t="e">
        <f t="array" ref="Y520">INDEX('Raw Data'!$A:$O,F520,21)</f>
        <v>#NUM!</v>
      </c>
      <c r="Z520" t="e">
        <f t="array" ref="Z520">INDEX('Raw Data'!$A:$O,$F520,3)</f>
        <v>#NUM!</v>
      </c>
      <c r="AA520" t="e">
        <f t="array" ref="AA520">INDEX('Raw Data'!$A:$O,$F520,22)</f>
        <v>#NUM!</v>
      </c>
      <c r="AB520" t="e">
        <f t="array" ref="AB520">INDEX('Raw Data'!$A:$O,$F520,23)</f>
        <v>#NUM!</v>
      </c>
    </row>
    <row r="521" spans="1:44" x14ac:dyDescent="0.25">
      <c r="F521" t="e">
        <f t="array" ref="F521">SMALL(IF('Raw Data'!A:A=C507,ROW('Raw Data'!A:A)),ROW('Raw Data'!$14:$14))</f>
        <v>#NUM!</v>
      </c>
      <c r="G521" t="e">
        <f t="array" ref="G521">INDEX('Raw Data'!A:A,F521,9)</f>
        <v>#NUM!</v>
      </c>
      <c r="H521" t="e">
        <f t="array" ref="H521">INDEX('Raw Data'!A:A,F521,10)</f>
        <v>#NUM!</v>
      </c>
      <c r="I521" t="e">
        <f t="array" ref="I521">INDEX('Raw Data'!$A:A,$F521,11)</f>
        <v>#NUM!</v>
      </c>
      <c r="J521" t="e">
        <f t="array" ref="J521">INDEX('Raw Data'!$A:A,F521,12)</f>
        <v>#NUM!</v>
      </c>
      <c r="K521" t="e">
        <f t="array" ref="K521">(--INDEX('Raw Data'!$A$4:B$998,F521,4))</f>
        <v>#NUM!</v>
      </c>
      <c r="L521" t="e">
        <f t="array" ref="L521">(--INDEX('Raw Data'!$A$4:B$998,F521,5))</f>
        <v>#NUM!</v>
      </c>
      <c r="M521" t="e">
        <f t="array" ref="M521">(--INDEX('Raw Data'!$A$4:D$998,$F521,6))</f>
        <v>#NUM!</v>
      </c>
      <c r="N521" t="e">
        <f t="array" ref="N521">(--INDEX('Raw Data'!$A$4:D$998,$F521,7))</f>
        <v>#NUM!</v>
      </c>
      <c r="O521" t="e">
        <f t="array" ref="O521">IF(--INDEX('Raw Data'!$A$4:E$998,$F521,8)= 0, 1, 0)</f>
        <v>#NUM!</v>
      </c>
      <c r="P521" t="e">
        <f t="array" ref="P521">IF(--INDEX('Raw Data'!$A$4:F$998,$F521,8)= 1, 1, 0)</f>
        <v>#NUM!</v>
      </c>
      <c r="Q521" t="e">
        <f t="array" ref="Q521">IF(--INDEX('Raw Data'!$A$4:G$998,$F521,13)= 1, 1, 0)</f>
        <v>#NUM!</v>
      </c>
      <c r="R521" t="e">
        <f t="array" ref="R521">IF(--INDEX('Raw Data'!$A$4:H$998,$F521,14)= 1, 1, 0)</f>
        <v>#NUM!</v>
      </c>
      <c r="S521" t="e">
        <f t="array" ref="S521">IF(--INDEX('Raw Data'!$A$4:I$998,$F521,15)= 1, 1, 0)</f>
        <v>#NUM!</v>
      </c>
      <c r="T521" t="e">
        <f t="array" ref="T521">IF(--INDEX('Raw Data'!$A$4:I$998,$F521,15)= 1, 1, 0)</f>
        <v>#NUM!</v>
      </c>
      <c r="U521" t="e">
        <f t="array" ref="U521">IF(--INDEX('Raw Data'!$A$4:J$998,$F521,16)= 1, 1, 0)</f>
        <v>#NUM!</v>
      </c>
      <c r="V521" t="e">
        <f t="array" ref="V521">IF(--INDEX('Raw Data'!$A$4:K$998,$F521,17)= 1, 1, 0)</f>
        <v>#NUM!</v>
      </c>
      <c r="W521" t="e">
        <f t="array" ref="W521">INDEX('Raw Data'!$A:$O,$F521,19)</f>
        <v>#NUM!</v>
      </c>
      <c r="X521" t="e">
        <f t="array" ref="X521">INDEX('Raw Data'!$A:$O,$F521,20)</f>
        <v>#NUM!</v>
      </c>
      <c r="Y521" t="e">
        <f t="array" ref="Y521">INDEX('Raw Data'!$A:$O,F521,21)</f>
        <v>#NUM!</v>
      </c>
      <c r="Z521" t="e">
        <f t="array" ref="Z521">INDEX('Raw Data'!$A:$O,$F521,3)</f>
        <v>#NUM!</v>
      </c>
      <c r="AA521" t="e">
        <f t="array" ref="AA521">INDEX('Raw Data'!$A:$O,$F521,22)</f>
        <v>#NUM!</v>
      </c>
      <c r="AB521" t="e">
        <f t="array" ref="AB521">INDEX('Raw Data'!$A:$O,$F521,23)</f>
        <v>#NUM!</v>
      </c>
    </row>
    <row r="522" spans="1:44" x14ac:dyDescent="0.25">
      <c r="F522" t="e">
        <f t="array" ref="F522">SMALL(IF('Raw Data'!A:A=C507,ROW('Raw Data'!A:A)),ROW('Raw Data'!$15:$15))</f>
        <v>#NUM!</v>
      </c>
      <c r="G522" t="e">
        <f t="array" ref="G522">INDEX('Raw Data'!A:A,F522,9)</f>
        <v>#NUM!</v>
      </c>
      <c r="H522" t="e">
        <f t="array" ref="H522">INDEX('Raw Data'!A:A,F522,10)</f>
        <v>#NUM!</v>
      </c>
      <c r="I522" t="e">
        <f t="array" ref="I522">INDEX('Raw Data'!$A:A,$F522,11)</f>
        <v>#NUM!</v>
      </c>
      <c r="J522" t="e">
        <f t="array" ref="J522">INDEX('Raw Data'!$A:A,F522,12)</f>
        <v>#NUM!</v>
      </c>
      <c r="K522" t="e">
        <f t="array" ref="K522">(--INDEX('Raw Data'!$A$4:B$998,F522,4))</f>
        <v>#NUM!</v>
      </c>
      <c r="L522" t="e">
        <f t="array" ref="L522">(--INDEX('Raw Data'!$A$4:B$998,F522,5))</f>
        <v>#NUM!</v>
      </c>
      <c r="M522" t="e">
        <f t="array" ref="M522">(--INDEX('Raw Data'!$A$4:D$998,$F522,6))</f>
        <v>#NUM!</v>
      </c>
      <c r="N522" t="e">
        <f t="array" ref="N522">(--INDEX('Raw Data'!$A$4:D$998,$F522,7))</f>
        <v>#NUM!</v>
      </c>
      <c r="O522" t="e">
        <f t="array" ref="O522">IF(--INDEX('Raw Data'!$A$4:E$998,$F522,8)= 0, 1, 0)</f>
        <v>#NUM!</v>
      </c>
      <c r="P522" t="e">
        <f t="array" ref="P522">IF(--INDEX('Raw Data'!$A$4:F$998,$F522,8)= 1, 1, 0)</f>
        <v>#NUM!</v>
      </c>
      <c r="Q522" t="e">
        <f t="array" ref="Q522">IF(--INDEX('Raw Data'!$A$4:G$998,$F522,13)= 1, 1, 0)</f>
        <v>#NUM!</v>
      </c>
      <c r="R522" t="e">
        <f t="array" ref="R522">IF(--INDEX('Raw Data'!$A$4:H$998,$F522,14)= 1, 1, 0)</f>
        <v>#NUM!</v>
      </c>
      <c r="S522" t="e">
        <f t="array" ref="S522">IF(--INDEX('Raw Data'!$A$4:I$998,$F522,15)= 1, 1, 0)</f>
        <v>#NUM!</v>
      </c>
      <c r="T522" t="e">
        <f t="array" ref="T522">IF(--INDEX('Raw Data'!$A$4:I$998,$F522,15)= 1, 1, 0)</f>
        <v>#NUM!</v>
      </c>
      <c r="U522" t="e">
        <f t="array" ref="U522">IF(--INDEX('Raw Data'!$A$4:J$998,$F522,16)= 1, 1, 0)</f>
        <v>#NUM!</v>
      </c>
      <c r="V522" t="e">
        <f t="array" ref="V522">IF(--INDEX('Raw Data'!$A$4:K$998,$F522,17)= 1, 1, 0)</f>
        <v>#NUM!</v>
      </c>
      <c r="W522" t="e">
        <f t="array" ref="W522">INDEX('Raw Data'!$A:$O,$F522,19)</f>
        <v>#NUM!</v>
      </c>
      <c r="X522" t="e">
        <f t="array" ref="X522">INDEX('Raw Data'!$A:$O,$F522,20)</f>
        <v>#NUM!</v>
      </c>
      <c r="Y522" t="e">
        <f t="array" ref="Y522">INDEX('Raw Data'!$A:$O,F522,21)</f>
        <v>#NUM!</v>
      </c>
      <c r="Z522" t="e">
        <f t="array" ref="Z522">INDEX('Raw Data'!$A:$O,$F522,3)</f>
        <v>#NUM!</v>
      </c>
      <c r="AA522" t="e">
        <f t="array" ref="AA522">INDEX('Raw Data'!$A:$O,$F522,22)</f>
        <v>#NUM!</v>
      </c>
      <c r="AB522" t="e">
        <f t="array" ref="AB522">INDEX('Raw Data'!$A:$O,$F522,23)</f>
        <v>#NUM!</v>
      </c>
    </row>
    <row r="523" spans="1:44" x14ac:dyDescent="0.25">
      <c r="A523" t="s">
        <v>55</v>
      </c>
      <c r="C523" s="2" t="e">
        <f>B513/B512</f>
        <v>#DIV/0!</v>
      </c>
      <c r="F523">
        <f t="array" ref="F523">COUNTIF(F508:F522,"&gt;0")</f>
        <v>0</v>
      </c>
      <c r="G523">
        <f t="array" ref="G523">SUMIF(G508:G522,"&gt;0")</f>
        <v>0</v>
      </c>
      <c r="H523">
        <f t="array" ref="H523">SUMIF(H508:H522,"&gt;0")</f>
        <v>0</v>
      </c>
      <c r="I523">
        <f t="array" ref="I523">SUMIF(I508:I522,"&gt;0")</f>
        <v>0</v>
      </c>
      <c r="J523">
        <f t="array" ref="J523">SUMIF(J508:J522,"&gt;0")</f>
        <v>0</v>
      </c>
      <c r="K523">
        <f t="array" ref="K523">SUMIF(K508:K522,"&gt;0")</f>
        <v>0</v>
      </c>
      <c r="L523">
        <f t="array" ref="L523">SUMIF(L508:L522,"&gt;0")</f>
        <v>0</v>
      </c>
      <c r="M523">
        <f t="array" ref="M523">SUMIF(M508:M522,"&gt;0")</f>
        <v>0</v>
      </c>
      <c r="N523">
        <f t="array" ref="N523">SUMIF(N508:N522,"&gt;0")</f>
        <v>0</v>
      </c>
      <c r="O523">
        <f t="array" ref="O523">SUMIF(O508:O522,"&gt;0")</f>
        <v>0</v>
      </c>
      <c r="P523">
        <f t="array" ref="P523">SUMIF(P508:P522,"&gt;0")</f>
        <v>0</v>
      </c>
      <c r="Q523">
        <f t="array" ref="Q523">SUMIF(Q508:Q522,"&gt;0")</f>
        <v>0</v>
      </c>
      <c r="R523">
        <f t="array" ref="R523">SUMIF(R508:R522,"&gt;0")</f>
        <v>0</v>
      </c>
      <c r="S523">
        <f t="array" ref="S523">SUMIF(S508:S522,"&gt;0")</f>
        <v>0</v>
      </c>
      <c r="T523">
        <f t="array" ref="T523">SUMIF(T508:T522,"&gt;0")</f>
        <v>0</v>
      </c>
      <c r="U523">
        <f t="array" ref="U523">SUMIF(U508:U522,"&gt;0")</f>
        <v>0</v>
      </c>
      <c r="V523">
        <f t="array" ref="V523">SUMIF(V508:V522,"&gt;0")</f>
        <v>0</v>
      </c>
      <c r="W523">
        <f t="array" ref="W523">SUMIF(W508:W522,"&gt;0")</f>
        <v>0</v>
      </c>
      <c r="X523">
        <f t="array" ref="X523">SUMIF(X508:X522,"&gt;0")</f>
        <v>0</v>
      </c>
      <c r="Y523">
        <f t="array" ref="Y523">SUMIF(Y508:Y522,"&gt;0")</f>
        <v>0</v>
      </c>
      <c r="Z523">
        <f t="array" ref="Z523">SUMIF(Z508:Z522,"&gt;0")</f>
        <v>0</v>
      </c>
      <c r="AA523">
        <f t="array" ref="AA523">SUMIF(AA508:AA522,"&gt;0")</f>
        <v>0</v>
      </c>
      <c r="AB523">
        <f t="array" ref="AB523">SUMIF(AB508:AB522,"&gt;0")</f>
        <v>0</v>
      </c>
    </row>
    <row r="524" spans="1:44" x14ac:dyDescent="0.25">
      <c r="A524" t="s">
        <v>58</v>
      </c>
      <c r="C524" s="2">
        <f t="array" ref="C524">IF((K523+L523)&lt;&gt;0, (L523/(K523+L523)),0)</f>
        <v>0</v>
      </c>
      <c r="J524" s="6">
        <f t="array" ref="J524">J523*10</f>
        <v>0</v>
      </c>
      <c r="K524" s="6"/>
      <c r="P524" t="s">
        <v>95</v>
      </c>
      <c r="Q524" s="2" t="e">
        <f t="array" ref="Q524">Q523/$F523</f>
        <v>#DIV/0!</v>
      </c>
      <c r="R524" s="2" t="e">
        <f t="array" ref="R524">R523/$F523</f>
        <v>#DIV/0!</v>
      </c>
      <c r="S524" s="2" t="e">
        <f t="array" ref="S524">S523/$F523</f>
        <v>#DIV/0!</v>
      </c>
      <c r="T524" s="2" t="e">
        <f t="array" ref="T524">T523/$F523</f>
        <v>#DIV/0!</v>
      </c>
      <c r="U524" s="2" t="e">
        <f t="array" ref="U524">U523/$F523</f>
        <v>#DIV/0!</v>
      </c>
      <c r="V524" s="2" t="e">
        <f t="array" ref="V524">V523/$F523</f>
        <v>#DIV/0!</v>
      </c>
      <c r="W524" s="2" t="e">
        <f t="array" ref="W524">W523/$F523</f>
        <v>#DIV/0!</v>
      </c>
      <c r="X524" s="2" t="e">
        <f t="array" ref="X524">X523/$F523</f>
        <v>#DIV/0!</v>
      </c>
      <c r="Z524" s="2" t="e">
        <f t="array" ref="Z524">Z523/F523</f>
        <v>#DIV/0!</v>
      </c>
    </row>
    <row r="525" spans="1:44" x14ac:dyDescent="0.25">
      <c r="A525" t="s">
        <v>60</v>
      </c>
      <c r="C525" s="2">
        <f t="array" ref="C525">IF((M523+N523)&lt;&gt;0, (N523/(M523+N523)),0)</f>
        <v>0</v>
      </c>
      <c r="J525" s="6"/>
      <c r="K525" s="6"/>
    </row>
    <row r="526" spans="1:44" ht="28.5" x14ac:dyDescent="0.45">
      <c r="A526" t="s">
        <v>61</v>
      </c>
      <c r="C526" s="2">
        <f t="array" ref="C526">IF(((K523+N523+L523+M523)&lt;&gt;0), ((L523+N523)/(K523+N523+L523+M523)),0)</f>
        <v>0</v>
      </c>
      <c r="F526" s="17" t="s">
        <v>106</v>
      </c>
      <c r="G526" s="17" t="e">
        <f t="array" ref="G526">'Weighting &amp; Ranking Sheet'!$B$3*Math!$C524+'Weighting &amp; Ranking Sheet'!$B$4*Math!$C525+'Weighting &amp; Ranking Sheet'!$B$5*Math!$C526+'Weighting &amp; Ranking Sheet'!$B$6*Math!$C527+'Weighting &amp; Ranking Sheet'!$B$7*Math!$C511+'Weighting &amp; Ranking Sheet'!$B$8*Math!$C523+'Weighting &amp; Ranking Sheet'!$B$9*Math!$C530+'Weighting &amp; Ranking Sheet'!$B$10*Math!$C528+'Weighting &amp; Ranking Sheet'!$B$11*Math!$C529+'Weighting &amp; Ranking Sheet'!$B$12*Math!$C531*0.01+'Weighting &amp; Ranking Sheet'!$B$13*Math!$Q524+'Weighting &amp; Ranking Sheet'!$B$14*Math!$R524+'Weighting &amp; Ranking Sheet'!$B$15*Math!$S524+'Weighting &amp; Ranking Sheet'!$B$16*Math!$T524+'Weighting &amp; Ranking Sheet'!$B$17*Math!$U524+'Weighting &amp; Ranking Sheet'!$B$18*Math!$V524+'Weighting &amp; Ranking Sheet'!$B$2*Math!$Z524</f>
        <v>#DIV/0!</v>
      </c>
      <c r="J526"/>
      <c r="K526"/>
      <c r="AR526" s="25"/>
    </row>
    <row r="527" spans="1:44" x14ac:dyDescent="0.25">
      <c r="A527" t="s">
        <v>62</v>
      </c>
      <c r="C527" s="2">
        <f t="array" ref="C527">IF((O523+P523&lt;&gt;0),(P523/(O523+P523)), 0)</f>
        <v>0</v>
      </c>
      <c r="J527"/>
      <c r="K527"/>
      <c r="AR527" s="25"/>
    </row>
    <row r="528" spans="1:44" x14ac:dyDescent="0.25">
      <c r="A528" t="s">
        <v>77</v>
      </c>
      <c r="C528" s="8" t="e">
        <f t="array" ref="C528">W523/F523</f>
        <v>#DIV/0!</v>
      </c>
      <c r="J528"/>
      <c r="K528"/>
      <c r="AR528" s="23"/>
    </row>
    <row r="529" spans="1:44" x14ac:dyDescent="0.25">
      <c r="A529" t="s">
        <v>78</v>
      </c>
      <c r="C529" s="8" t="e">
        <f t="array" ref="C529">X523/F523</f>
        <v>#DIV/0!</v>
      </c>
      <c r="J529"/>
      <c r="K529"/>
    </row>
    <row r="530" spans="1:44" x14ac:dyDescent="0.25">
      <c r="A530" t="s">
        <v>91</v>
      </c>
      <c r="C530" s="2" t="e">
        <f t="array" ref="C530">(C511+C523)/2</f>
        <v>#DIV/0!</v>
      </c>
      <c r="J530"/>
      <c r="K530"/>
    </row>
    <row r="531" spans="1:44" x14ac:dyDescent="0.25">
      <c r="A531" t="s">
        <v>92</v>
      </c>
      <c r="C531" s="8" t="e">
        <f t="array" ref="C531">Y523/F523</f>
        <v>#DIV/0!</v>
      </c>
      <c r="J531"/>
      <c r="K531"/>
    </row>
    <row r="532" spans="1:44" x14ac:dyDescent="0.25">
      <c r="C532" s="8"/>
      <c r="J532"/>
      <c r="K532"/>
    </row>
    <row r="533" spans="1:44" x14ac:dyDescent="0.25">
      <c r="C533" s="8"/>
      <c r="J533" s="6"/>
      <c r="K533" s="6"/>
    </row>
    <row r="534" spans="1:44" x14ac:dyDescent="0.25">
      <c r="J534" s="6"/>
      <c r="K534" s="6"/>
    </row>
    <row r="535" spans="1:44" x14ac:dyDescent="0.25">
      <c r="A535" t="s">
        <v>3</v>
      </c>
      <c r="C535" s="5">
        <v>1089</v>
      </c>
      <c r="F535" t="s">
        <v>23</v>
      </c>
    </row>
    <row r="536" spans="1:44" x14ac:dyDescent="0.25">
      <c r="F536" t="e">
        <f t="array" ref="F536">SMALL(IF('Raw Data'!A:A=C535,ROW('Raw Data'!A:A)),ROW('Raw Data'!$1:$1))</f>
        <v>#NUM!</v>
      </c>
      <c r="G536" t="e">
        <f t="array" ref="G536">INDEX('Raw Data'!A:A,F536,9)</f>
        <v>#NUM!</v>
      </c>
      <c r="H536" t="e">
        <f t="array" ref="H536">INDEX('Raw Data'!A:A,F536,10)</f>
        <v>#NUM!</v>
      </c>
      <c r="I536" t="e">
        <f t="array" ref="I536">INDEX('Raw Data'!$A:A,$F536,11)</f>
        <v>#NUM!</v>
      </c>
      <c r="J536" t="e">
        <f t="array" ref="J536">INDEX('Raw Data'!$A:A,F536,12)</f>
        <v>#NUM!</v>
      </c>
      <c r="K536" t="e">
        <f>(--INDEX('Raw Data'!$A$4:B$993,F536,4))</f>
        <v>#NUM!</v>
      </c>
      <c r="L536" t="e">
        <f t="array" ref="L536">(--INDEX('Raw Data'!$A$4:B$993,F536,5))</f>
        <v>#NUM!</v>
      </c>
      <c r="M536" t="e">
        <f t="array" ref="M536">(--INDEX('Raw Data'!$A$4:D$993,$F536,6))</f>
        <v>#NUM!</v>
      </c>
      <c r="N536" t="e">
        <f t="array" ref="N536">(--INDEX('Raw Data'!$A$4:D$993,$F536,7))</f>
        <v>#NUM!</v>
      </c>
      <c r="O536" t="e">
        <f t="array" ref="O536">IF(--INDEX('Raw Data'!$A$4:E$993,$F536,8)= 0, 1, 0)</f>
        <v>#NUM!</v>
      </c>
      <c r="P536" t="e">
        <f t="array" ref="P536">IF(--INDEX('Raw Data'!$A$4:F$993,$F536,8)= 1, 1, 0)</f>
        <v>#NUM!</v>
      </c>
      <c r="Q536" t="e">
        <f t="array" ref="Q536">IF(--INDEX('Raw Data'!$A$4:G$993,$F536,13)= 1, 1, 0)</f>
        <v>#NUM!</v>
      </c>
      <c r="R536" t="e">
        <f t="array" ref="R536">IF(--INDEX('Raw Data'!$A$4:H$993,$F536,14)= 1, 1, 0)</f>
        <v>#NUM!</v>
      </c>
      <c r="S536" t="e">
        <f t="array" ref="S536">IF(--INDEX('Raw Data'!$A$4:I$993,$F536,15)= 1, 1, 0)</f>
        <v>#NUM!</v>
      </c>
      <c r="T536" t="e">
        <f t="array" ref="T536">IF(--INDEX('Raw Data'!$A$4:I$993,$F536,15)= 1, 1, 0)</f>
        <v>#NUM!</v>
      </c>
      <c r="U536" t="e">
        <f t="array" ref="U536">IF(--INDEX('Raw Data'!$A$4:J$993,$F536,16)= 1, 1, 0)</f>
        <v>#NUM!</v>
      </c>
      <c r="V536" t="e">
        <f t="array" ref="V536">IF(--INDEX('Raw Data'!$A$4:K$993,$F536,17)= 1, 1, 0)</f>
        <v>#NUM!</v>
      </c>
      <c r="W536" t="e">
        <f t="array" ref="W536">INDEX('Raw Data'!$A:$O,$F536,19)</f>
        <v>#NUM!</v>
      </c>
      <c r="X536" t="e">
        <f t="array" ref="X536">INDEX('Raw Data'!$A:$O,$F536,20)</f>
        <v>#NUM!</v>
      </c>
      <c r="Y536" t="e">
        <f t="array" ref="Y536">INDEX('Raw Data'!$A:$O,F536,21)</f>
        <v>#NUM!</v>
      </c>
      <c r="Z536" t="e">
        <f t="array" ref="Z536">INDEX('Raw Data'!$A:$O,$F536,3)</f>
        <v>#NUM!</v>
      </c>
      <c r="AA536" t="e">
        <f t="array" ref="AA536">INDEX('Raw Data'!$A:$O,$F536,22)</f>
        <v>#NUM!</v>
      </c>
      <c r="AB536" t="e">
        <f t="array" ref="AB536">INDEX('Raw Data'!$A:$O,$F536,23)</f>
        <v>#NUM!</v>
      </c>
    </row>
    <row r="537" spans="1:44" x14ac:dyDescent="0.25">
      <c r="A537" t="s">
        <v>0</v>
      </c>
      <c r="B537">
        <f>G551</f>
        <v>0</v>
      </c>
      <c r="F537" t="e">
        <f t="array" ref="F537">SMALL(IF('Raw Data'!A:A=C535,ROW('Raw Data'!A:A)),ROW('Raw Data'!$2:$2))</f>
        <v>#NUM!</v>
      </c>
      <c r="G537" t="e">
        <f t="array" ref="G537">INDEX('Raw Data'!A:A,F537,9)</f>
        <v>#NUM!</v>
      </c>
      <c r="H537" t="e">
        <f t="array" ref="H537">INDEX('Raw Data'!A:A,F537,10)</f>
        <v>#NUM!</v>
      </c>
      <c r="I537" t="e">
        <f t="array" ref="I537">INDEX('Raw Data'!$A:A,$F537,11)</f>
        <v>#NUM!</v>
      </c>
      <c r="J537" t="e">
        <f t="array" ref="J537">INDEX('Raw Data'!$A:A,F537,12)</f>
        <v>#NUM!</v>
      </c>
      <c r="K537" t="e">
        <f>(--INDEX('Raw Data'!$A$4:B$993,F537,4))</f>
        <v>#NUM!</v>
      </c>
      <c r="L537" t="e">
        <f t="array" ref="L537">(--INDEX('Raw Data'!$A$4:B$993,F537,5))</f>
        <v>#NUM!</v>
      </c>
      <c r="M537" t="e">
        <f t="array" ref="M537">(--INDEX('Raw Data'!$A$4:D$993,$F537,6))</f>
        <v>#NUM!</v>
      </c>
      <c r="N537" t="e">
        <f t="array" ref="N537">(--INDEX('Raw Data'!$A$4:D$993,$F537,7))</f>
        <v>#NUM!</v>
      </c>
      <c r="O537" t="e">
        <f t="array" ref="O537">IF(--INDEX('Raw Data'!$A$4:E$993,$F537,8)= 0, 1, 0)</f>
        <v>#NUM!</v>
      </c>
      <c r="P537" t="e">
        <f t="array" ref="P537">IF(--INDEX('Raw Data'!$A$4:F$993,$F537,8)= 1, 1, 0)</f>
        <v>#NUM!</v>
      </c>
      <c r="Q537" t="e">
        <f t="array" ref="Q537">IF(--INDEX('Raw Data'!$A$4:G$993,$F537,13)= 1, 1, 0)</f>
        <v>#NUM!</v>
      </c>
      <c r="R537" t="e">
        <f t="array" ref="R537">IF(--INDEX('Raw Data'!$A$4:H$993,$F537,14)= 1, 1, 0)</f>
        <v>#NUM!</v>
      </c>
      <c r="S537" t="e">
        <f t="array" ref="S537">IF(--INDEX('Raw Data'!$A$4:I$993,$F537,15)= 1, 1, 0)</f>
        <v>#NUM!</v>
      </c>
      <c r="T537" t="e">
        <f t="array" ref="T537">IF(--INDEX('Raw Data'!$A$4:I$993,$F537,15)= 1, 1, 0)</f>
        <v>#NUM!</v>
      </c>
      <c r="U537" t="e">
        <f t="array" ref="U537">IF(--INDEX('Raw Data'!$A$4:J$993,$F537,16)= 1, 1, 0)</f>
        <v>#NUM!</v>
      </c>
      <c r="V537" t="e">
        <f t="array" ref="V537">IF(--INDEX('Raw Data'!$A$4:K$993,$F537,17)= 1, 1, 0)</f>
        <v>#NUM!</v>
      </c>
      <c r="W537" t="e">
        <f t="array" ref="W537">INDEX('Raw Data'!$A:$O,$F537,19)</f>
        <v>#NUM!</v>
      </c>
      <c r="X537" t="e">
        <f t="array" ref="X537">INDEX('Raw Data'!$A:$O,$F537,20)</f>
        <v>#NUM!</v>
      </c>
      <c r="Y537" t="e">
        <f t="array" ref="Y537">INDEX('Raw Data'!$A:$O,F537,21)</f>
        <v>#NUM!</v>
      </c>
      <c r="Z537" t="e">
        <f t="array" ref="Z537">INDEX('Raw Data'!$A:$O,$F537,3)</f>
        <v>#NUM!</v>
      </c>
      <c r="AA537" t="e">
        <f t="array" ref="AA537">INDEX('Raw Data'!$A:$O,$F537,22)</f>
        <v>#NUM!</v>
      </c>
      <c r="AB537" t="e">
        <f t="array" ref="AB537">INDEX('Raw Data'!$A:$O,$F537,23)</f>
        <v>#NUM!</v>
      </c>
    </row>
    <row r="538" spans="1:44" x14ac:dyDescent="0.25">
      <c r="A538" t="s">
        <v>1</v>
      </c>
      <c r="B538">
        <f>H551</f>
        <v>0</v>
      </c>
      <c r="F538" t="e">
        <f t="array" ref="F538">SMALL(IF('Raw Data'!A:A=C535,ROW('Raw Data'!A:A)),ROW('Raw Data'!$3:$3))</f>
        <v>#NUM!</v>
      </c>
      <c r="G538" t="e">
        <f t="array" ref="G538">INDEX('Raw Data'!A:A,F538,9)</f>
        <v>#NUM!</v>
      </c>
      <c r="H538" t="e">
        <f t="array" ref="H538">INDEX('Raw Data'!A:A,F538,10)</f>
        <v>#NUM!</v>
      </c>
      <c r="I538" t="e">
        <f t="array" ref="I538">INDEX('Raw Data'!$A:A,$F538,11)</f>
        <v>#NUM!</v>
      </c>
      <c r="J538" t="e">
        <f t="array" ref="J538">INDEX('Raw Data'!$A:A,F538,12)</f>
        <v>#NUM!</v>
      </c>
      <c r="K538" t="e">
        <f>(--INDEX('Raw Data'!$A$4:B$993,F538,4))</f>
        <v>#NUM!</v>
      </c>
      <c r="L538" t="e">
        <f t="array" ref="L538">(--INDEX('Raw Data'!$A$4:B$993,F538,5))</f>
        <v>#NUM!</v>
      </c>
      <c r="M538" t="e">
        <f t="array" ref="M538">(--INDEX('Raw Data'!$A$4:D$993,$F538,6))</f>
        <v>#NUM!</v>
      </c>
      <c r="N538" t="e">
        <f t="array" ref="N538">(--INDEX('Raw Data'!$A$4:D$993,$F538,7))</f>
        <v>#NUM!</v>
      </c>
      <c r="O538" t="e">
        <f t="array" ref="O538">IF(--INDEX('Raw Data'!$A$4:E$993,$F538,8)= 0, 1, 0)</f>
        <v>#NUM!</v>
      </c>
      <c r="P538" t="e">
        <f t="array" ref="P538">IF(--INDEX('Raw Data'!$A$4:F$993,$F538,8)= 1, 1, 0)</f>
        <v>#NUM!</v>
      </c>
      <c r="Q538" t="e">
        <f t="array" ref="Q538">IF(--INDEX('Raw Data'!$A$4:G$993,$F538,13)= 1, 1, 0)</f>
        <v>#NUM!</v>
      </c>
      <c r="R538" t="e">
        <f t="array" ref="R538">IF(--INDEX('Raw Data'!$A$4:H$993,$F538,14)= 1, 1, 0)</f>
        <v>#NUM!</v>
      </c>
      <c r="S538" t="e">
        <f t="array" ref="S538">IF(--INDEX('Raw Data'!$A$4:I$993,$F538,15)= 1, 1, 0)</f>
        <v>#NUM!</v>
      </c>
      <c r="T538" t="e">
        <f t="array" ref="T538">IF(--INDEX('Raw Data'!$A$4:I$993,$F538,15)= 1, 1, 0)</f>
        <v>#NUM!</v>
      </c>
      <c r="U538" t="e">
        <f t="array" ref="U538">IF(--INDEX('Raw Data'!$A$4:J$993,$F538,16)= 1, 1, 0)</f>
        <v>#NUM!</v>
      </c>
      <c r="V538" t="e">
        <f t="array" ref="V538">IF(--INDEX('Raw Data'!$A$4:K$993,$F538,17)= 1, 1, 0)</f>
        <v>#NUM!</v>
      </c>
      <c r="W538" t="e">
        <f t="array" ref="W538">INDEX('Raw Data'!$A:$O,$F538,19)</f>
        <v>#NUM!</v>
      </c>
      <c r="X538" t="e">
        <f t="array" ref="X538">INDEX('Raw Data'!$A:$O,$F538,20)</f>
        <v>#NUM!</v>
      </c>
      <c r="Y538" t="e">
        <f t="array" ref="Y538">INDEX('Raw Data'!$A:$O,F538,21)</f>
        <v>#NUM!</v>
      </c>
      <c r="Z538" t="e">
        <f t="array" ref="Z538">INDEX('Raw Data'!$A:$O,$F538,3)</f>
        <v>#NUM!</v>
      </c>
      <c r="AA538" t="e">
        <f t="array" ref="AA538">INDEX('Raw Data'!$A:$O,$F538,22)</f>
        <v>#NUM!</v>
      </c>
      <c r="AB538" t="e">
        <f t="array" ref="AB538">INDEX('Raw Data'!$A:$O,$F538,23)</f>
        <v>#NUM!</v>
      </c>
    </row>
    <row r="539" spans="1:44" x14ac:dyDescent="0.25">
      <c r="A539" t="s">
        <v>2</v>
      </c>
      <c r="C539" s="3" t="e">
        <f>B538/B537</f>
        <v>#DIV/0!</v>
      </c>
      <c r="F539" t="e">
        <f t="array" ref="F539">SMALL(IF('Raw Data'!A:A=C535,ROW('Raw Data'!A:A)),ROW('Raw Data'!$4:$4))</f>
        <v>#NUM!</v>
      </c>
      <c r="G539" t="e">
        <f t="array" ref="G539">INDEX('Raw Data'!A:A,F539,9)</f>
        <v>#NUM!</v>
      </c>
      <c r="H539" t="e">
        <f t="array" ref="H539">INDEX('Raw Data'!A:A,F539,10)</f>
        <v>#NUM!</v>
      </c>
      <c r="I539" t="e">
        <f t="array" ref="I539">INDEX('Raw Data'!$A:A,$F539,11)</f>
        <v>#NUM!</v>
      </c>
      <c r="J539" t="e">
        <f t="array" ref="J539">INDEX('Raw Data'!$A:A,F539,12)</f>
        <v>#NUM!</v>
      </c>
      <c r="K539" t="e">
        <f>(--INDEX('Raw Data'!$A$4:B$993,F539,4))</f>
        <v>#NUM!</v>
      </c>
      <c r="L539" t="e">
        <f t="array" ref="L539">(--INDEX('Raw Data'!$A$4:B$993,F539,5))</f>
        <v>#NUM!</v>
      </c>
      <c r="M539" t="e">
        <f t="array" ref="M539">(--INDEX('Raw Data'!$A$4:D$993,$F539,6))</f>
        <v>#NUM!</v>
      </c>
      <c r="N539" t="e">
        <f t="array" ref="N539">(--INDEX('Raw Data'!$A$4:D$993,$F539,7))</f>
        <v>#NUM!</v>
      </c>
      <c r="O539" t="e">
        <f t="array" ref="O539">IF(--INDEX('Raw Data'!$A$4:E$993,$F539,8)= 0, 1, 0)</f>
        <v>#NUM!</v>
      </c>
      <c r="P539" t="e">
        <f t="array" ref="P539">IF(--INDEX('Raw Data'!$A$4:F$993,$F539,8)= 1, 1, 0)</f>
        <v>#NUM!</v>
      </c>
      <c r="Q539" t="e">
        <f t="array" ref="Q539">IF(--INDEX('Raw Data'!$A$4:G$993,$F539,13)= 1, 1, 0)</f>
        <v>#NUM!</v>
      </c>
      <c r="R539" t="e">
        <f t="array" ref="R539">IF(--INDEX('Raw Data'!$A$4:H$993,$F539,14)= 1, 1, 0)</f>
        <v>#NUM!</v>
      </c>
      <c r="S539" t="e">
        <f t="array" ref="S539">IF(--INDEX('Raw Data'!$A$4:I$993,$F539,15)= 1, 1, 0)</f>
        <v>#NUM!</v>
      </c>
      <c r="T539" t="e">
        <f t="array" ref="T539">IF(--INDEX('Raw Data'!$A$4:I$993,$F539,15)= 1, 1, 0)</f>
        <v>#NUM!</v>
      </c>
      <c r="U539" t="e">
        <f t="array" ref="U539">IF(--INDEX('Raw Data'!$A$4:J$993,$F539,16)= 1, 1, 0)</f>
        <v>#NUM!</v>
      </c>
      <c r="V539" t="e">
        <f t="array" ref="V539">IF(--INDEX('Raw Data'!$A$4:K$993,$F539,17)= 1, 1, 0)</f>
        <v>#NUM!</v>
      </c>
      <c r="W539" t="e">
        <f t="array" ref="W539">INDEX('Raw Data'!$A:$O,$F539,19)</f>
        <v>#NUM!</v>
      </c>
      <c r="X539" t="e">
        <f t="array" ref="X539">INDEX('Raw Data'!$A:$O,$F539,20)</f>
        <v>#NUM!</v>
      </c>
      <c r="Y539" t="e">
        <f t="array" ref="Y539">INDEX('Raw Data'!$A:$O,F539,21)</f>
        <v>#NUM!</v>
      </c>
      <c r="Z539" t="e">
        <f t="array" ref="Z539">INDEX('Raw Data'!$A:$O,$F539,3)</f>
        <v>#NUM!</v>
      </c>
      <c r="AA539" t="e">
        <f t="array" ref="AA539">INDEX('Raw Data'!$A:$O,$F539,22)</f>
        <v>#NUM!</v>
      </c>
      <c r="AB539" t="e">
        <f t="array" ref="AB539">INDEX('Raw Data'!$A:$O,$F539,23)</f>
        <v>#NUM!</v>
      </c>
    </row>
    <row r="540" spans="1:44" x14ac:dyDescent="0.25">
      <c r="A540" t="s">
        <v>54</v>
      </c>
      <c r="B540">
        <f>I551</f>
        <v>0</v>
      </c>
      <c r="F540" t="e">
        <f t="array" ref="F540">SMALL(IF('Raw Data'!A:A=C535,ROW('Raw Data'!A:A)),ROW('Raw Data'!$5:$5))</f>
        <v>#NUM!</v>
      </c>
      <c r="G540" t="e">
        <f t="array" ref="G540">INDEX('Raw Data'!A:A,F540,9)</f>
        <v>#NUM!</v>
      </c>
      <c r="H540" t="e">
        <f t="array" ref="H540">INDEX('Raw Data'!A:A,F540,10)</f>
        <v>#NUM!</v>
      </c>
      <c r="I540" t="e">
        <f t="array" ref="I540">INDEX('Raw Data'!$A:A,$F540,11)</f>
        <v>#NUM!</v>
      </c>
      <c r="J540" t="e">
        <f t="array" ref="J540">INDEX('Raw Data'!$A:A,F540,12)</f>
        <v>#NUM!</v>
      </c>
      <c r="K540" t="e">
        <f>(--INDEX('Raw Data'!$A$4:B$993,F540,4))</f>
        <v>#NUM!</v>
      </c>
      <c r="L540" t="e">
        <f t="array" ref="L540">(--INDEX('Raw Data'!$A$4:B$993,F540,5))</f>
        <v>#NUM!</v>
      </c>
      <c r="M540" t="e">
        <f t="array" ref="M540">(--INDEX('Raw Data'!$A$4:D$993,$F540,6))</f>
        <v>#NUM!</v>
      </c>
      <c r="N540" t="e">
        <f t="array" ref="N540">(--INDEX('Raw Data'!$A$4:D$993,$F540,7))</f>
        <v>#NUM!</v>
      </c>
      <c r="O540" t="e">
        <f t="array" ref="O540">IF(--INDEX('Raw Data'!$A$4:E$993,$F540,8)= 0, 1, 0)</f>
        <v>#NUM!</v>
      </c>
      <c r="P540" t="e">
        <f t="array" ref="P540">IF(--INDEX('Raw Data'!$A$4:F$993,$F540,8)= 1, 1, 0)</f>
        <v>#NUM!</v>
      </c>
      <c r="Q540" t="e">
        <f t="array" ref="Q540">IF(--INDEX('Raw Data'!$A$4:G$993,$F540,13)= 1, 1, 0)</f>
        <v>#NUM!</v>
      </c>
      <c r="R540" t="e">
        <f t="array" ref="R540">IF(--INDEX('Raw Data'!$A$4:H$993,$F540,14)= 1, 1, 0)</f>
        <v>#NUM!</v>
      </c>
      <c r="S540" t="e">
        <f t="array" ref="S540">IF(--INDEX('Raw Data'!$A$4:I$993,$F540,15)= 1, 1, 0)</f>
        <v>#NUM!</v>
      </c>
      <c r="T540" t="e">
        <f t="array" ref="T540">IF(--INDEX('Raw Data'!$A$4:I$993,$F540,15)= 1, 1, 0)</f>
        <v>#NUM!</v>
      </c>
      <c r="U540" t="e">
        <f t="array" ref="U540">IF(--INDEX('Raw Data'!$A$4:J$993,$F540,16)= 1, 1, 0)</f>
        <v>#NUM!</v>
      </c>
      <c r="V540" t="e">
        <f t="array" ref="V540">IF(--INDEX('Raw Data'!$A$4:K$993,$F540,17)= 1, 1, 0)</f>
        <v>#NUM!</v>
      </c>
      <c r="W540" t="e">
        <f t="array" ref="W540">INDEX('Raw Data'!$A:$O,$F540,19)</f>
        <v>#NUM!</v>
      </c>
      <c r="X540" t="e">
        <f t="array" ref="X540">INDEX('Raw Data'!$A:$O,$F540,20)</f>
        <v>#NUM!</v>
      </c>
      <c r="Y540" t="e">
        <f t="array" ref="Y540">INDEX('Raw Data'!$A:$O,F540,21)</f>
        <v>#NUM!</v>
      </c>
      <c r="Z540" t="e">
        <f t="array" ref="Z540">INDEX('Raw Data'!$A:$O,$F540,3)</f>
        <v>#NUM!</v>
      </c>
      <c r="AA540" t="e">
        <f t="array" ref="AA540">INDEX('Raw Data'!$A:$O,$F540,22)</f>
        <v>#NUM!</v>
      </c>
      <c r="AB540" t="e">
        <f t="array" ref="AB540">INDEX('Raw Data'!$A:$O,$F540,23)</f>
        <v>#NUM!</v>
      </c>
      <c r="AR540" s="25"/>
    </row>
    <row r="541" spans="1:44" x14ac:dyDescent="0.25">
      <c r="A541" t="s">
        <v>35</v>
      </c>
      <c r="B541">
        <f>J551</f>
        <v>0</v>
      </c>
      <c r="F541" t="e">
        <f t="array" ref="F541">SMALL(IF('Raw Data'!A:A=C535,ROW('Raw Data'!A:A)),ROW('Raw Data'!$6:$6))</f>
        <v>#NUM!</v>
      </c>
      <c r="G541" t="e">
        <f t="array" ref="G541">INDEX('Raw Data'!A:A,F541,9)</f>
        <v>#NUM!</v>
      </c>
      <c r="H541" t="e">
        <f t="array" ref="H541">INDEX('Raw Data'!A:A,F541,10)</f>
        <v>#NUM!</v>
      </c>
      <c r="I541" t="e">
        <f t="array" ref="I541">INDEX('Raw Data'!$A:A,$F541,11)</f>
        <v>#NUM!</v>
      </c>
      <c r="J541" t="e">
        <f t="array" ref="J541">INDEX('Raw Data'!$A:A,F541,12)</f>
        <v>#NUM!</v>
      </c>
      <c r="K541" t="e">
        <f>(--INDEX('Raw Data'!$A$4:B$993,F541,4))</f>
        <v>#NUM!</v>
      </c>
      <c r="L541" t="e">
        <f t="array" ref="L541">(--INDEX('Raw Data'!$A$4:B$998,F541,5))</f>
        <v>#NUM!</v>
      </c>
      <c r="M541" t="e">
        <f t="array" ref="M541">(--INDEX('Raw Data'!$A$4:D$998,$F541,6))</f>
        <v>#NUM!</v>
      </c>
      <c r="N541" t="e">
        <f t="array" ref="N541">(--INDEX('Raw Data'!$A$4:D$993,$F541,7))</f>
        <v>#NUM!</v>
      </c>
      <c r="O541" t="e">
        <f t="array" ref="O541">IF(--INDEX('Raw Data'!$A$4:E$993,$F541,8)= 0, 1, 0)</f>
        <v>#NUM!</v>
      </c>
      <c r="P541" t="e">
        <f t="array" ref="P541">IF(--INDEX('Raw Data'!$A$4:F$998,$F541,8)= 1, 1, 0)</f>
        <v>#NUM!</v>
      </c>
      <c r="Q541" t="e">
        <f t="array" ref="Q541">IF(--INDEX('Raw Data'!$A$4:G$998,$F541,13)= 1, 1, 0)</f>
        <v>#NUM!</v>
      </c>
      <c r="R541" t="e">
        <f t="array" ref="R541">IF(--INDEX('Raw Data'!$A$4:H$998,$F541,14)= 1, 1, 0)</f>
        <v>#NUM!</v>
      </c>
      <c r="S541" t="e">
        <f t="array" ref="S541">IF(--INDEX('Raw Data'!$A$4:I$993,$F541,15)= 1, 1, 0)</f>
        <v>#NUM!</v>
      </c>
      <c r="T541" t="e">
        <f t="array" ref="T541">IF(--INDEX('Raw Data'!$A$4:I$998,$F541,15)= 1, 1, 0)</f>
        <v>#NUM!</v>
      </c>
      <c r="U541" t="e">
        <f t="array" ref="U541">IF(--INDEX('Raw Data'!$A$4:J$998,$F541,16)= 1, 1, 0)</f>
        <v>#NUM!</v>
      </c>
      <c r="V541" t="e">
        <f t="array" ref="V541">IF(--INDEX('Raw Data'!$A$4:K$993,$F541,17)= 1, 1, 0)</f>
        <v>#NUM!</v>
      </c>
      <c r="W541" t="e">
        <f t="array" ref="W541">INDEX('Raw Data'!$A:$O,$F541,19)</f>
        <v>#NUM!</v>
      </c>
      <c r="X541" t="e">
        <f t="array" ref="X541">INDEX('Raw Data'!$A:$O,$F541,20)</f>
        <v>#NUM!</v>
      </c>
      <c r="Y541" t="e">
        <f t="array" ref="Y541">INDEX('Raw Data'!$A:$O,F541,21)</f>
        <v>#NUM!</v>
      </c>
      <c r="Z541" t="e">
        <f t="array" ref="Z541">INDEX('Raw Data'!$A:$O,$F541,3)</f>
        <v>#NUM!</v>
      </c>
      <c r="AA541" t="e">
        <f t="array" ref="AA541">INDEX('Raw Data'!$A:$O,$F541,22)</f>
        <v>#NUM!</v>
      </c>
      <c r="AB541" t="e">
        <f t="array" ref="AB541">INDEX('Raw Data'!$A:$O,$F541,23)</f>
        <v>#NUM!</v>
      </c>
      <c r="AR541" s="25"/>
    </row>
    <row r="542" spans="1:44" ht="28.5" x14ac:dyDescent="0.45">
      <c r="F542" t="e">
        <f t="array" ref="F542">SMALL(IF('Raw Data'!A:A=C535,ROW('Raw Data'!A:A)),ROW('Raw Data'!$7:$7))</f>
        <v>#NUM!</v>
      </c>
      <c r="G542" t="e">
        <f t="array" ref="G542">INDEX('Raw Data'!A:A,F542,9)</f>
        <v>#NUM!</v>
      </c>
      <c r="H542" t="e">
        <f t="array" ref="H542">INDEX('Raw Data'!A:A,F542,10)</f>
        <v>#NUM!</v>
      </c>
      <c r="I542" t="e">
        <f t="array" ref="I542">INDEX('Raw Data'!$A:A,$F542,11)</f>
        <v>#NUM!</v>
      </c>
      <c r="J542" t="e">
        <f t="array" ref="J542">INDEX('Raw Data'!$A:A,F542,12)</f>
        <v>#NUM!</v>
      </c>
      <c r="K542" t="e">
        <f t="array" ref="K542">(--INDEX('Raw Data'!$A$4:B$998,F542,4))</f>
        <v>#NUM!</v>
      </c>
      <c r="L542" t="e">
        <f t="array" ref="L542">(--INDEX('Raw Data'!$A$4:B$998,F542,5))</f>
        <v>#NUM!</v>
      </c>
      <c r="M542" t="e">
        <f t="array" ref="M542">(--INDEX('Raw Data'!$A$4:D$998,$F542,6))</f>
        <v>#NUM!</v>
      </c>
      <c r="N542" t="e">
        <f t="array" ref="N542">(--INDEX('Raw Data'!$A$4:D$998,$F542,7))</f>
        <v>#NUM!</v>
      </c>
      <c r="O542" t="e">
        <f t="array" ref="O542">IF(--INDEX('Raw Data'!$A$4:E$998,$F542,8)= 0, 1, 0)</f>
        <v>#NUM!</v>
      </c>
      <c r="P542" t="e">
        <f t="array" ref="P542">IF(--INDEX('Raw Data'!$A$4:F$998,$F542,8)= 1, 1, 0)</f>
        <v>#NUM!</v>
      </c>
      <c r="Q542" t="e">
        <f t="array" ref="Q542">IF(--INDEX('Raw Data'!$A$4:G$998,$F542,13)= 1, 1, 0)</f>
        <v>#NUM!</v>
      </c>
      <c r="R542" t="e">
        <f t="array" ref="R542">IF(--INDEX('Raw Data'!$A$4:H$998,$F542,14)= 1, 1, 0)</f>
        <v>#NUM!</v>
      </c>
      <c r="S542" t="e">
        <f t="array" ref="S542">IF(--INDEX('Raw Data'!$A$4:I$998,$F542,15)= 1, 1, 0)</f>
        <v>#NUM!</v>
      </c>
      <c r="T542" t="e">
        <f t="array" ref="T542">IF(--INDEX('Raw Data'!$A$4:I$998,$F542,15)= 1, 1, 0)</f>
        <v>#NUM!</v>
      </c>
      <c r="U542" t="e">
        <f t="array" ref="U542">IF(--INDEX('Raw Data'!$A$4:J$998,$F542,16)= 1, 1, 0)</f>
        <v>#NUM!</v>
      </c>
      <c r="V542" t="e">
        <f t="array" ref="V542">IF(--INDEX('Raw Data'!$A$4:K$998,$F542,17)= 1, 1, 0)</f>
        <v>#NUM!</v>
      </c>
      <c r="W542" t="e">
        <f t="array" ref="W542">INDEX('Raw Data'!$A:$O,$F542,19)</f>
        <v>#NUM!</v>
      </c>
      <c r="X542" t="e">
        <f t="array" ref="X542">INDEX('Raw Data'!$A:$O,$F542,20)</f>
        <v>#NUM!</v>
      </c>
      <c r="Y542" t="e">
        <f t="array" ref="Y542">INDEX('Raw Data'!$A:$O,F542,21)</f>
        <v>#NUM!</v>
      </c>
      <c r="Z542" t="e">
        <f t="array" ref="Z542">INDEX('Raw Data'!$A:$O,$F542,3)</f>
        <v>#NUM!</v>
      </c>
      <c r="AA542" t="e">
        <f t="array" ref="AA542">INDEX('Raw Data'!$A:$O,$F542,22)</f>
        <v>#NUM!</v>
      </c>
      <c r="AB542" t="e">
        <f t="array" ref="AB542">INDEX('Raw Data'!$A:$O,$F542,23)</f>
        <v>#NUM!</v>
      </c>
      <c r="AM542" s="21"/>
    </row>
    <row r="543" spans="1:44" x14ac:dyDescent="0.25">
      <c r="F543" t="e">
        <f t="array" ref="F543">SMALL(IF('Raw Data'!A:A=C535,ROW('Raw Data'!A:A)),ROW('Raw Data'!$8:$8))</f>
        <v>#NUM!</v>
      </c>
      <c r="G543" t="e">
        <f t="array" ref="G543">INDEX('Raw Data'!A:A,F543,9)</f>
        <v>#NUM!</v>
      </c>
      <c r="H543" t="e">
        <f t="array" ref="H543">INDEX('Raw Data'!A:A,F543,10)</f>
        <v>#NUM!</v>
      </c>
      <c r="I543" t="e">
        <f t="array" ref="I543">INDEX('Raw Data'!$A:A,$F543,11)</f>
        <v>#NUM!</v>
      </c>
      <c r="J543" t="e">
        <f t="array" ref="J543">INDEX('Raw Data'!$A:A,F543,12)</f>
        <v>#NUM!</v>
      </c>
      <c r="K543" t="e">
        <f t="array" ref="K543">(--INDEX('Raw Data'!$A$4:B$998,F543,4))</f>
        <v>#NUM!</v>
      </c>
      <c r="L543" t="e">
        <f t="array" ref="L543">(--INDEX('Raw Data'!$A$4:B$998,F543,5))</f>
        <v>#NUM!</v>
      </c>
      <c r="M543" t="e">
        <f t="array" ref="M543">(--INDEX('Raw Data'!$A$4:D$998,$F543,6))</f>
        <v>#NUM!</v>
      </c>
      <c r="N543" t="e">
        <f t="array" ref="N543">(--INDEX('Raw Data'!$A$4:D$998,$F543,7))</f>
        <v>#NUM!</v>
      </c>
      <c r="O543" t="e">
        <f t="array" ref="O543">IF(--INDEX('Raw Data'!$A$4:E$998,$F543,8)= 0, 1, 0)</f>
        <v>#NUM!</v>
      </c>
      <c r="P543" t="e">
        <f t="array" ref="P543">IF(--INDEX('Raw Data'!$A$4:F$998,$F543,8)= 1, 1, 0)</f>
        <v>#NUM!</v>
      </c>
      <c r="Q543" t="e">
        <f t="array" ref="Q543">IF(--INDEX('Raw Data'!$A$4:G$998,$F543,13)= 1, 1, 0)</f>
        <v>#NUM!</v>
      </c>
      <c r="R543" t="e">
        <f t="array" ref="R543">IF(--INDEX('Raw Data'!$A$4:H$998,$F543,14)= 1, 1, 0)</f>
        <v>#NUM!</v>
      </c>
      <c r="S543" t="e">
        <f t="array" ref="S543">IF(--INDEX('Raw Data'!$A$4:I$998,$F543,15)= 1, 1, 0)</f>
        <v>#NUM!</v>
      </c>
      <c r="T543" t="e">
        <f t="array" ref="T543">IF(--INDEX('Raw Data'!$A$4:I$998,$F543,15)= 1, 1, 0)</f>
        <v>#NUM!</v>
      </c>
      <c r="U543" t="e">
        <f t="array" ref="U543">IF(--INDEX('Raw Data'!$A$4:J$998,$F543,16)= 1, 1, 0)</f>
        <v>#NUM!</v>
      </c>
      <c r="V543" t="e">
        <f t="array" ref="V543">IF(--INDEX('Raw Data'!$A$4:K$998,$F543,17)= 1, 1, 0)</f>
        <v>#NUM!</v>
      </c>
      <c r="W543" t="e">
        <f t="array" ref="W543">INDEX('Raw Data'!$A:$O,$F543,19)</f>
        <v>#NUM!</v>
      </c>
      <c r="X543" t="e">
        <f t="array" ref="X543">INDEX('Raw Data'!$A:$O,$F543,20)</f>
        <v>#NUM!</v>
      </c>
      <c r="Y543" t="e">
        <f t="array" ref="Y543">INDEX('Raw Data'!$A:$O,F543,21)</f>
        <v>#NUM!</v>
      </c>
      <c r="Z543" t="e">
        <f t="array" ref="Z543">INDEX('Raw Data'!$A:$O,$F543,3)</f>
        <v>#NUM!</v>
      </c>
      <c r="AA543" t="e">
        <f t="array" ref="AA543">INDEX('Raw Data'!$A:$O,$F543,22)</f>
        <v>#NUM!</v>
      </c>
      <c r="AB543" t="e">
        <f t="array" ref="AB543">INDEX('Raw Data'!$A:$O,$F543,23)</f>
        <v>#NUM!</v>
      </c>
    </row>
    <row r="544" spans="1:44" x14ac:dyDescent="0.25">
      <c r="F544" t="e">
        <f t="array" ref="F544">SMALL(IF('Raw Data'!A:A=C535,ROW('Raw Data'!A:A)),ROW('Raw Data'!$9:$9))</f>
        <v>#NUM!</v>
      </c>
      <c r="G544" t="e">
        <f t="array" ref="G544">INDEX('Raw Data'!A:A,F544,9)</f>
        <v>#NUM!</v>
      </c>
      <c r="H544" t="e">
        <f t="array" ref="H544">INDEX('Raw Data'!A:A,F544,10)</f>
        <v>#NUM!</v>
      </c>
      <c r="I544" t="e">
        <f t="array" ref="I544">INDEX('Raw Data'!$A:A,$F544,11)</f>
        <v>#NUM!</v>
      </c>
      <c r="J544" t="e">
        <f t="array" ref="J544">INDEX('Raw Data'!$A:A,F544,12)</f>
        <v>#NUM!</v>
      </c>
      <c r="K544" t="e">
        <f t="array" ref="K544">(--INDEX('Raw Data'!$A$4:B$998,F544,4))</f>
        <v>#NUM!</v>
      </c>
      <c r="L544" t="e">
        <f t="array" ref="L544">(--INDEX('Raw Data'!$A$4:B$998,F544,5))</f>
        <v>#NUM!</v>
      </c>
      <c r="M544" t="e">
        <f t="array" ref="M544">(--INDEX('Raw Data'!$A$4:D$998,$F544,6))</f>
        <v>#NUM!</v>
      </c>
      <c r="N544" t="e">
        <f t="array" ref="N544">(--INDEX('Raw Data'!$A$4:D$998,$F544,7))</f>
        <v>#NUM!</v>
      </c>
      <c r="O544" t="e">
        <f t="array" ref="O544">IF(--INDEX('Raw Data'!$A$4:E$998,$F544,8)= 0, 1, 0)</f>
        <v>#NUM!</v>
      </c>
      <c r="P544" t="e">
        <f t="array" ref="P544">IF(--INDEX('Raw Data'!$A$4:F$998,$F544,8)= 1, 1, 0)</f>
        <v>#NUM!</v>
      </c>
      <c r="Q544" t="e">
        <f t="array" ref="Q544">IF(--INDEX('Raw Data'!$A$4:G$998,$F544,13)= 1, 1, 0)</f>
        <v>#NUM!</v>
      </c>
      <c r="R544" t="e">
        <f t="array" ref="R544">IF(--INDEX('Raw Data'!$A$4:H$998,$F544,14)= 1, 1, 0)</f>
        <v>#NUM!</v>
      </c>
      <c r="S544" t="e">
        <f t="array" ref="S544">IF(--INDEX('Raw Data'!$A$4:I$998,$F544,15)= 1, 1, 0)</f>
        <v>#NUM!</v>
      </c>
      <c r="T544" t="e">
        <f t="array" ref="T544">IF(--INDEX('Raw Data'!$A$4:I$998,$F544,15)= 1, 1, 0)</f>
        <v>#NUM!</v>
      </c>
      <c r="U544" t="e">
        <f t="array" ref="U544">IF(--INDEX('Raw Data'!$A$4:J$998,$F544,16)= 1, 1, 0)</f>
        <v>#NUM!</v>
      </c>
      <c r="V544" t="e">
        <f t="array" ref="V544">IF(--INDEX('Raw Data'!$A$4:K$998,$F544,17)= 1, 1, 0)</f>
        <v>#NUM!</v>
      </c>
      <c r="W544" t="e">
        <f t="array" ref="W544">INDEX('Raw Data'!$A:$O,$F544,19)</f>
        <v>#NUM!</v>
      </c>
      <c r="X544" t="e">
        <f t="array" ref="X544">INDEX('Raw Data'!$A:$O,$F544,20)</f>
        <v>#NUM!</v>
      </c>
      <c r="Y544" t="e">
        <f t="array" ref="Y544">INDEX('Raw Data'!$A:$O,F544,21)</f>
        <v>#NUM!</v>
      </c>
      <c r="Z544" t="e">
        <f t="array" ref="Z544">INDEX('Raw Data'!$A:$O,$F544,3)</f>
        <v>#NUM!</v>
      </c>
      <c r="AA544" t="e">
        <f t="array" ref="AA544">INDEX('Raw Data'!$A:$O,$F544,22)</f>
        <v>#NUM!</v>
      </c>
      <c r="AB544" t="e">
        <f t="array" ref="AB544">INDEX('Raw Data'!$A:$O,$F544,23)</f>
        <v>#NUM!</v>
      </c>
    </row>
    <row r="545" spans="1:44" x14ac:dyDescent="0.25">
      <c r="F545" t="e">
        <f t="array" ref="F545">SMALL(IF('Raw Data'!A:A=C535,ROW('Raw Data'!A:A)),ROW('Raw Data'!$10:$10))</f>
        <v>#NUM!</v>
      </c>
      <c r="G545" t="e">
        <f t="array" ref="G545">INDEX('Raw Data'!A:A,F545,9)</f>
        <v>#NUM!</v>
      </c>
      <c r="H545" t="e">
        <f t="array" ref="H545">INDEX('Raw Data'!A:A,F545,10)</f>
        <v>#NUM!</v>
      </c>
      <c r="I545" t="e">
        <f t="array" ref="I545">INDEX('Raw Data'!$A:A,$F545,11)</f>
        <v>#NUM!</v>
      </c>
      <c r="J545" t="e">
        <f t="array" ref="J545">INDEX('Raw Data'!$A:A,F545,12)</f>
        <v>#NUM!</v>
      </c>
      <c r="K545" t="e">
        <f t="array" ref="K545">(--INDEX('Raw Data'!$A$4:B$998,F545,4))</f>
        <v>#NUM!</v>
      </c>
      <c r="L545" t="e">
        <f t="array" ref="L545">(--INDEX('Raw Data'!$A$4:B$998,F545,5))</f>
        <v>#NUM!</v>
      </c>
      <c r="M545" t="e">
        <f t="array" ref="M545">(--INDEX('Raw Data'!$A$4:D$998,$F545,6))</f>
        <v>#NUM!</v>
      </c>
      <c r="N545" t="e">
        <f t="array" ref="N545">(--INDEX('Raw Data'!$A$4:D$998,$F545,7))</f>
        <v>#NUM!</v>
      </c>
      <c r="O545" t="e">
        <f t="array" ref="O545">IF(--INDEX('Raw Data'!$A$4:E$998,$F545,8)= 0, 1, 0)</f>
        <v>#NUM!</v>
      </c>
      <c r="P545" t="e">
        <f t="array" ref="P545">IF(--INDEX('Raw Data'!$A$4:F$998,$F545,8)= 1, 1, 0)</f>
        <v>#NUM!</v>
      </c>
      <c r="Q545" t="e">
        <f t="array" ref="Q545">IF(--INDEX('Raw Data'!$A$4:G$998,$F545,13)= 1, 1, 0)</f>
        <v>#NUM!</v>
      </c>
      <c r="R545" t="e">
        <f t="array" ref="R545">IF(--INDEX('Raw Data'!$A$4:H$998,$F545,14)= 1, 1, 0)</f>
        <v>#NUM!</v>
      </c>
      <c r="S545" t="e">
        <f t="array" ref="S545">IF(--INDEX('Raw Data'!$A$4:I$998,$F545,15)= 1, 1, 0)</f>
        <v>#NUM!</v>
      </c>
      <c r="T545" t="e">
        <f t="array" ref="T545">IF(--INDEX('Raw Data'!$A$4:I$998,$F545,15)= 1, 1, 0)</f>
        <v>#NUM!</v>
      </c>
      <c r="U545" t="e">
        <f t="array" ref="U545">IF(--INDEX('Raw Data'!$A$4:J$998,$F545,16)= 1, 1, 0)</f>
        <v>#NUM!</v>
      </c>
      <c r="V545" t="e">
        <f t="array" ref="V545">IF(--INDEX('Raw Data'!$A$4:K$998,$F545,17)= 1, 1, 0)</f>
        <v>#NUM!</v>
      </c>
      <c r="W545" t="e">
        <f t="array" ref="W545">INDEX('Raw Data'!$A:$O,$F545,19)</f>
        <v>#NUM!</v>
      </c>
      <c r="X545" t="e">
        <f t="array" ref="X545">INDEX('Raw Data'!$A:$O,$F545,20)</f>
        <v>#NUM!</v>
      </c>
      <c r="Y545" t="e">
        <f t="array" ref="Y545">INDEX('Raw Data'!$A:$O,F545,21)</f>
        <v>#NUM!</v>
      </c>
      <c r="Z545" t="e">
        <f t="array" ref="Z545">INDEX('Raw Data'!$A:$O,$F545,3)</f>
        <v>#NUM!</v>
      </c>
      <c r="AA545" t="e">
        <f t="array" ref="AA545">INDEX('Raw Data'!$A:$O,$F545,22)</f>
        <v>#NUM!</v>
      </c>
      <c r="AB545" t="e">
        <f t="array" ref="AB545">INDEX('Raw Data'!$A:$O,$F545,23)</f>
        <v>#NUM!</v>
      </c>
    </row>
    <row r="546" spans="1:44" x14ac:dyDescent="0.25">
      <c r="F546" t="e">
        <f t="array" ref="F546">SMALL(IF('Raw Data'!A:A=C535,ROW('Raw Data'!A:A)),ROW('Raw Data'!$11:$11))</f>
        <v>#NUM!</v>
      </c>
      <c r="G546" t="e">
        <f t="array" ref="G546">INDEX('Raw Data'!A:A,F546,9)</f>
        <v>#NUM!</v>
      </c>
      <c r="H546" t="e">
        <f t="array" ref="H546">INDEX('Raw Data'!A:A,F546,10)</f>
        <v>#NUM!</v>
      </c>
      <c r="I546" t="e">
        <f t="array" ref="I546">INDEX('Raw Data'!$A:A,$F546,11)</f>
        <v>#NUM!</v>
      </c>
      <c r="J546" t="e">
        <f t="array" ref="J546">INDEX('Raw Data'!$A:A,F546,12)</f>
        <v>#NUM!</v>
      </c>
      <c r="K546" t="e">
        <f t="array" ref="K546">(--INDEX('Raw Data'!$A$4:B$998,F546,4))</f>
        <v>#NUM!</v>
      </c>
      <c r="L546" t="e">
        <f t="array" ref="L546">(--INDEX('Raw Data'!$A$4:B$998,F546,5))</f>
        <v>#NUM!</v>
      </c>
      <c r="M546" t="e">
        <f t="array" ref="M546">(--INDEX('Raw Data'!$A$4:D$998,$F546,6))</f>
        <v>#NUM!</v>
      </c>
      <c r="N546" t="e">
        <f t="array" ref="N546">(--INDEX('Raw Data'!$A$4:D$998,$F546,7))</f>
        <v>#NUM!</v>
      </c>
      <c r="O546" t="e">
        <f t="array" ref="O546">IF(--INDEX('Raw Data'!$A$4:E$998,$F546,8)= 0, 1, 0)</f>
        <v>#NUM!</v>
      </c>
      <c r="P546" t="e">
        <f t="array" ref="P546">IF(--INDEX('Raw Data'!$A$4:F$998,$F546,8)= 1, 1, 0)</f>
        <v>#NUM!</v>
      </c>
      <c r="Q546" t="e">
        <f t="array" ref="Q546">IF(--INDEX('Raw Data'!$A$4:G$998,$F546,13)= 1, 1, 0)</f>
        <v>#NUM!</v>
      </c>
      <c r="R546" t="e">
        <f t="array" ref="R546">IF(--INDEX('Raw Data'!$A$4:H$998,$F546,14)= 1, 1, 0)</f>
        <v>#NUM!</v>
      </c>
      <c r="S546" t="e">
        <f t="array" ref="S546">IF(--INDEX('Raw Data'!$A$4:I$998,$F546,15)= 1, 1, 0)</f>
        <v>#NUM!</v>
      </c>
      <c r="T546" t="e">
        <f t="array" ref="T546">IF(--INDEX('Raw Data'!$A$4:I$998,$F546,15)= 1, 1, 0)</f>
        <v>#NUM!</v>
      </c>
      <c r="U546" t="e">
        <f t="array" ref="U546">IF(--INDEX('Raw Data'!$A$4:J$998,$F546,16)= 1, 1, 0)</f>
        <v>#NUM!</v>
      </c>
      <c r="V546" t="e">
        <f t="array" ref="V546">IF(--INDEX('Raw Data'!$A$4:K$998,$F546,17)= 1, 1, 0)</f>
        <v>#NUM!</v>
      </c>
      <c r="W546" t="e">
        <f t="array" ref="W546">INDEX('Raw Data'!$A:$O,$F546,19)</f>
        <v>#NUM!</v>
      </c>
      <c r="X546" t="e">
        <f t="array" ref="X546">INDEX('Raw Data'!$A:$O,$F546,20)</f>
        <v>#NUM!</v>
      </c>
      <c r="Y546" t="e">
        <f t="array" ref="Y546">INDEX('Raw Data'!$A:$O,F546,21)</f>
        <v>#NUM!</v>
      </c>
      <c r="Z546" t="e">
        <f t="array" ref="Z546">INDEX('Raw Data'!$A:$O,$F546,3)</f>
        <v>#NUM!</v>
      </c>
      <c r="AA546" t="e">
        <f t="array" ref="AA546">INDEX('Raw Data'!$A:$O,$F546,22)</f>
        <v>#NUM!</v>
      </c>
      <c r="AB546" t="e">
        <f t="array" ref="AB546">INDEX('Raw Data'!$A:$O,$F546,23)</f>
        <v>#NUM!</v>
      </c>
    </row>
    <row r="547" spans="1:44" x14ac:dyDescent="0.25">
      <c r="F547" t="e">
        <f t="array" ref="F547">SMALL(IF('Raw Data'!A:A=C535,ROW('Raw Data'!A:A)),ROW('Raw Data'!$12:$12))</f>
        <v>#NUM!</v>
      </c>
      <c r="G547" t="e">
        <f t="array" ref="G547">INDEX('Raw Data'!A:A,F547,9)</f>
        <v>#NUM!</v>
      </c>
      <c r="H547" t="e">
        <f t="array" ref="H547">INDEX('Raw Data'!A:A,F547,10)</f>
        <v>#NUM!</v>
      </c>
      <c r="I547" t="e">
        <f t="array" ref="I547">INDEX('Raw Data'!$A:A,$F547,11)</f>
        <v>#NUM!</v>
      </c>
      <c r="J547" t="e">
        <f t="array" ref="J547">INDEX('Raw Data'!$A:A,F547,12)</f>
        <v>#NUM!</v>
      </c>
      <c r="K547" t="e">
        <f t="array" ref="K547">(--INDEX('Raw Data'!$A$4:B$998,F547,4))</f>
        <v>#NUM!</v>
      </c>
      <c r="L547" t="e">
        <f t="array" ref="L547">(--INDEX('Raw Data'!$A$4:B$998,F547,5))</f>
        <v>#NUM!</v>
      </c>
      <c r="M547" t="e">
        <f t="array" ref="M547">(--INDEX('Raw Data'!$A$4:D$998,$F547,6))</f>
        <v>#NUM!</v>
      </c>
      <c r="N547" t="e">
        <f t="array" ref="N547">(--INDEX('Raw Data'!$A$4:D$998,$F547,7))</f>
        <v>#NUM!</v>
      </c>
      <c r="O547" t="e">
        <f t="array" ref="O547">IF(--INDEX('Raw Data'!$A$4:E$998,$F547,8)= 0, 1, 0)</f>
        <v>#NUM!</v>
      </c>
      <c r="P547" t="e">
        <f t="array" ref="P547">IF(--INDEX('Raw Data'!$A$4:F$998,$F547,8)= 1, 1, 0)</f>
        <v>#NUM!</v>
      </c>
      <c r="Q547" t="e">
        <f t="array" ref="Q547">IF(--INDEX('Raw Data'!$A$4:G$998,$F547,13)= 1, 1, 0)</f>
        <v>#NUM!</v>
      </c>
      <c r="R547" t="e">
        <f t="array" ref="R547">IF(--INDEX('Raw Data'!$A$4:H$998,$F547,14)= 1, 1, 0)</f>
        <v>#NUM!</v>
      </c>
      <c r="S547" t="e">
        <f t="array" ref="S547">IF(--INDEX('Raw Data'!$A$4:I$998,$F547,15)= 1, 1, 0)</f>
        <v>#NUM!</v>
      </c>
      <c r="T547" t="e">
        <f t="array" ref="T547">IF(--INDEX('Raw Data'!$A$4:I$998,$F547,15)= 1, 1, 0)</f>
        <v>#NUM!</v>
      </c>
      <c r="U547" t="e">
        <f t="array" ref="U547">IF(--INDEX('Raw Data'!$A$4:J$998,$F547,16)= 1, 1, 0)</f>
        <v>#NUM!</v>
      </c>
      <c r="V547" t="e">
        <f t="array" ref="V547">IF(--INDEX('Raw Data'!$A$4:K$998,$F547,17)= 1, 1, 0)</f>
        <v>#NUM!</v>
      </c>
      <c r="W547" t="e">
        <f t="array" ref="W547">INDEX('Raw Data'!$A:$O,$F547,19)</f>
        <v>#NUM!</v>
      </c>
      <c r="X547" t="e">
        <f t="array" ref="X547">INDEX('Raw Data'!$A:$O,$F547,20)</f>
        <v>#NUM!</v>
      </c>
      <c r="Y547" t="e">
        <f t="array" ref="Y547">INDEX('Raw Data'!$A:$O,F547,21)</f>
        <v>#NUM!</v>
      </c>
      <c r="Z547" t="e">
        <f t="array" ref="Z547">INDEX('Raw Data'!$A:$O,$F547,3)</f>
        <v>#NUM!</v>
      </c>
      <c r="AA547" t="e">
        <f t="array" ref="AA547">INDEX('Raw Data'!$A:$O,$F547,22)</f>
        <v>#NUM!</v>
      </c>
      <c r="AB547" t="e">
        <f t="array" ref="AB547">INDEX('Raw Data'!$A:$O,$F547,23)</f>
        <v>#NUM!</v>
      </c>
    </row>
    <row r="548" spans="1:44" x14ac:dyDescent="0.25">
      <c r="F548" t="e">
        <f t="array" ref="F548">SMALL(IF('Raw Data'!A:A=C535,ROW('Raw Data'!A:A)),ROW('Raw Data'!$13:$13))</f>
        <v>#NUM!</v>
      </c>
      <c r="G548" t="e">
        <f t="array" ref="G548">INDEX('Raw Data'!A:A,F548,9)</f>
        <v>#NUM!</v>
      </c>
      <c r="H548" t="e">
        <f t="array" ref="H548">INDEX('Raw Data'!A:A,F548,10)</f>
        <v>#NUM!</v>
      </c>
      <c r="I548" t="e">
        <f t="array" ref="I548">INDEX('Raw Data'!$A:A,$F548,11)</f>
        <v>#NUM!</v>
      </c>
      <c r="J548" t="e">
        <f t="array" ref="J548">INDEX('Raw Data'!$A:A,F548,12)</f>
        <v>#NUM!</v>
      </c>
      <c r="K548" t="e">
        <f t="array" ref="K548">(--INDEX('Raw Data'!$A$4:B$998,F548,4))</f>
        <v>#NUM!</v>
      </c>
      <c r="L548" t="e">
        <f t="array" ref="L548">(--INDEX('Raw Data'!$A$4:B$998,F548,5))</f>
        <v>#NUM!</v>
      </c>
      <c r="M548" t="e">
        <f t="array" ref="M548">(--INDEX('Raw Data'!$A$4:D$998,$F548,6))</f>
        <v>#NUM!</v>
      </c>
      <c r="N548" t="e">
        <f t="array" ref="N548">(--INDEX('Raw Data'!$A$4:D$998,$F548,7))</f>
        <v>#NUM!</v>
      </c>
      <c r="O548" t="e">
        <f t="array" ref="O548">IF(--INDEX('Raw Data'!$A$4:E$998,$F548,8)= 0, 1, 0)</f>
        <v>#NUM!</v>
      </c>
      <c r="P548" t="e">
        <f t="array" ref="P548">IF(--INDEX('Raw Data'!$A$4:F$998,$F548,8)= 1, 1, 0)</f>
        <v>#NUM!</v>
      </c>
      <c r="Q548" t="e">
        <f t="array" ref="Q548">IF(--INDEX('Raw Data'!$A$4:G$998,$F548,13)= 1, 1, 0)</f>
        <v>#NUM!</v>
      </c>
      <c r="R548" t="e">
        <f t="array" ref="R548">IF(--INDEX('Raw Data'!$A$4:H$998,$F548,14)= 1, 1, 0)</f>
        <v>#NUM!</v>
      </c>
      <c r="S548" t="e">
        <f t="array" ref="S548">IF(--INDEX('Raw Data'!$A$4:I$998,$F548,15)= 1, 1, 0)</f>
        <v>#NUM!</v>
      </c>
      <c r="T548" t="e">
        <f t="array" ref="T548">IF(--INDEX('Raw Data'!$A$4:I$998,$F548,15)= 1, 1, 0)</f>
        <v>#NUM!</v>
      </c>
      <c r="U548" t="e">
        <f t="array" ref="U548">IF(--INDEX('Raw Data'!$A$4:J$998,$F548,16)= 1, 1, 0)</f>
        <v>#NUM!</v>
      </c>
      <c r="V548" t="e">
        <f t="array" ref="V548">IF(--INDEX('Raw Data'!$A$4:K$998,$F548,17)= 1, 1, 0)</f>
        <v>#NUM!</v>
      </c>
      <c r="W548" t="e">
        <f t="array" ref="W548">INDEX('Raw Data'!$A:$O,$F548,19)</f>
        <v>#NUM!</v>
      </c>
      <c r="X548" t="e">
        <f t="array" ref="X548">INDEX('Raw Data'!$A:$O,$F548,20)</f>
        <v>#NUM!</v>
      </c>
      <c r="Y548" t="e">
        <f t="array" ref="Y548">INDEX('Raw Data'!$A:$O,F548,21)</f>
        <v>#NUM!</v>
      </c>
      <c r="Z548" t="e">
        <f t="array" ref="Z548">INDEX('Raw Data'!$A:$O,$F548,3)</f>
        <v>#NUM!</v>
      </c>
      <c r="AA548" t="e">
        <f t="array" ref="AA548">INDEX('Raw Data'!$A:$O,$F548,22)</f>
        <v>#NUM!</v>
      </c>
      <c r="AB548" t="e">
        <f t="array" ref="AB548">INDEX('Raw Data'!$A:$O,$F548,23)</f>
        <v>#NUM!</v>
      </c>
    </row>
    <row r="549" spans="1:44" x14ac:dyDescent="0.25">
      <c r="F549" t="e">
        <f t="array" ref="F549">SMALL(IF('Raw Data'!A:A=C535,ROW('Raw Data'!A:A)),ROW('Raw Data'!$14:$14))</f>
        <v>#NUM!</v>
      </c>
      <c r="G549" t="e">
        <f t="array" ref="G549">INDEX('Raw Data'!A:A,F549,9)</f>
        <v>#NUM!</v>
      </c>
      <c r="H549" t="e">
        <f t="array" ref="H549">INDEX('Raw Data'!A:A,F549,10)</f>
        <v>#NUM!</v>
      </c>
      <c r="I549" t="e">
        <f t="array" ref="I549">INDEX('Raw Data'!$A:A,$F549,11)</f>
        <v>#NUM!</v>
      </c>
      <c r="J549" t="e">
        <f t="array" ref="J549">INDEX('Raw Data'!$A:A,F549,12)</f>
        <v>#NUM!</v>
      </c>
      <c r="K549" t="e">
        <f t="array" ref="K549">(--INDEX('Raw Data'!$A$4:B$998,F549,4))</f>
        <v>#NUM!</v>
      </c>
      <c r="L549" t="e">
        <f t="array" ref="L549">(--INDEX('Raw Data'!$A$4:B$998,F549,5))</f>
        <v>#NUM!</v>
      </c>
      <c r="M549" t="e">
        <f t="array" ref="M549">(--INDEX('Raw Data'!$A$4:D$998,$F549,6))</f>
        <v>#NUM!</v>
      </c>
      <c r="N549" t="e">
        <f t="array" ref="N549">(--INDEX('Raw Data'!$A$4:D$998,$F549,7))</f>
        <v>#NUM!</v>
      </c>
      <c r="O549" t="e">
        <f t="array" ref="O549">IF(--INDEX('Raw Data'!$A$4:E$998,$F549,8)= 0, 1, 0)</f>
        <v>#NUM!</v>
      </c>
      <c r="P549" t="e">
        <f t="array" ref="P549">IF(--INDEX('Raw Data'!$A$4:F$998,$F549,8)= 1, 1, 0)</f>
        <v>#NUM!</v>
      </c>
      <c r="Q549" t="e">
        <f t="array" ref="Q549">IF(--INDEX('Raw Data'!$A$4:G$998,$F549,13)= 1, 1, 0)</f>
        <v>#NUM!</v>
      </c>
      <c r="R549" t="e">
        <f t="array" ref="R549">IF(--INDEX('Raw Data'!$A$4:H$998,$F549,14)= 1, 1, 0)</f>
        <v>#NUM!</v>
      </c>
      <c r="S549" t="e">
        <f t="array" ref="S549">IF(--INDEX('Raw Data'!$A$4:I$998,$F549,15)= 1, 1, 0)</f>
        <v>#NUM!</v>
      </c>
      <c r="T549" t="e">
        <f t="array" ref="T549">IF(--INDEX('Raw Data'!$A$4:I$998,$F549,15)= 1, 1, 0)</f>
        <v>#NUM!</v>
      </c>
      <c r="U549" t="e">
        <f t="array" ref="U549">IF(--INDEX('Raw Data'!$A$4:J$998,$F549,16)= 1, 1, 0)</f>
        <v>#NUM!</v>
      </c>
      <c r="V549" t="e">
        <f t="array" ref="V549">IF(--INDEX('Raw Data'!$A$4:K$998,$F549,17)= 1, 1, 0)</f>
        <v>#NUM!</v>
      </c>
      <c r="W549" t="e">
        <f t="array" ref="W549">INDEX('Raw Data'!$A:$O,$F549,19)</f>
        <v>#NUM!</v>
      </c>
      <c r="X549" t="e">
        <f t="array" ref="X549">INDEX('Raw Data'!$A:$O,$F549,20)</f>
        <v>#NUM!</v>
      </c>
      <c r="Y549" t="e">
        <f t="array" ref="Y549">INDEX('Raw Data'!$A:$O,F549,21)</f>
        <v>#NUM!</v>
      </c>
      <c r="Z549" t="e">
        <f t="array" ref="Z549">INDEX('Raw Data'!$A:$O,$F549,3)</f>
        <v>#NUM!</v>
      </c>
      <c r="AA549" t="e">
        <f t="array" ref="AA549">INDEX('Raw Data'!$A:$O,$F549,22)</f>
        <v>#NUM!</v>
      </c>
      <c r="AB549" t="e">
        <f t="array" ref="AB549">INDEX('Raw Data'!$A:$O,$F549,23)</f>
        <v>#NUM!</v>
      </c>
    </row>
    <row r="550" spans="1:44" x14ac:dyDescent="0.25">
      <c r="F550" t="e">
        <f t="array" ref="F550">SMALL(IF('Raw Data'!A:A=C535,ROW('Raw Data'!A:A)),ROW('Raw Data'!$15:$15))</f>
        <v>#NUM!</v>
      </c>
      <c r="G550" t="e">
        <f t="array" ref="G550">INDEX('Raw Data'!A:A,F550,9)</f>
        <v>#NUM!</v>
      </c>
      <c r="H550" t="e">
        <f t="array" ref="H550">INDEX('Raw Data'!A:A,F550,10)</f>
        <v>#NUM!</v>
      </c>
      <c r="I550" t="e">
        <f t="array" ref="I550">INDEX('Raw Data'!$A:A,$F550,11)</f>
        <v>#NUM!</v>
      </c>
      <c r="J550" t="e">
        <f t="array" ref="J550">INDEX('Raw Data'!$A:A,F550,12)</f>
        <v>#NUM!</v>
      </c>
      <c r="K550" t="e">
        <f t="array" ref="K550">(--INDEX('Raw Data'!$A$4:B$998,F550,4))</f>
        <v>#NUM!</v>
      </c>
      <c r="L550" t="e">
        <f t="array" ref="L550">(--INDEX('Raw Data'!$A$4:B$998,F550,5))</f>
        <v>#NUM!</v>
      </c>
      <c r="M550" t="e">
        <f t="array" ref="M550">(--INDEX('Raw Data'!$A$4:D$998,$F550,6))</f>
        <v>#NUM!</v>
      </c>
      <c r="N550" t="e">
        <f t="array" ref="N550">(--INDEX('Raw Data'!$A$4:D$998,$F550,7))</f>
        <v>#NUM!</v>
      </c>
      <c r="O550" t="e">
        <f t="array" ref="O550">IF(--INDEX('Raw Data'!$A$4:E$998,$F550,8)= 0, 1, 0)</f>
        <v>#NUM!</v>
      </c>
      <c r="P550" t="e">
        <f t="array" ref="P550">IF(--INDEX('Raw Data'!$A$4:F$998,$F550,8)= 1, 1, 0)</f>
        <v>#NUM!</v>
      </c>
      <c r="Q550" t="e">
        <f t="array" ref="Q550">IF(--INDEX('Raw Data'!$A$4:G$998,$F550,13)= 1, 1, 0)</f>
        <v>#NUM!</v>
      </c>
      <c r="R550" t="e">
        <f t="array" ref="R550">IF(--INDEX('Raw Data'!$A$4:H$998,$F550,14)= 1, 1, 0)</f>
        <v>#NUM!</v>
      </c>
      <c r="S550" t="e">
        <f t="array" ref="S550">IF(--INDEX('Raw Data'!$A$4:I$998,$F550,15)= 1, 1, 0)</f>
        <v>#NUM!</v>
      </c>
      <c r="T550" t="e">
        <f t="array" ref="T550">IF(--INDEX('Raw Data'!$A$4:I$998,$F550,15)= 1, 1, 0)</f>
        <v>#NUM!</v>
      </c>
      <c r="U550" t="e">
        <f t="array" ref="U550">IF(--INDEX('Raw Data'!$A$4:J$998,$F550,16)= 1, 1, 0)</f>
        <v>#NUM!</v>
      </c>
      <c r="V550" t="e">
        <f t="array" ref="V550">IF(--INDEX('Raw Data'!$A$4:K$998,$F550,17)= 1, 1, 0)</f>
        <v>#NUM!</v>
      </c>
      <c r="W550" t="e">
        <f t="array" ref="W550">INDEX('Raw Data'!$A:$O,$F550,19)</f>
        <v>#NUM!</v>
      </c>
      <c r="X550" t="e">
        <f t="array" ref="X550">INDEX('Raw Data'!$A:$O,$F550,20)</f>
        <v>#NUM!</v>
      </c>
      <c r="Y550" t="e">
        <f t="array" ref="Y550">INDEX('Raw Data'!$A:$O,F550,21)</f>
        <v>#NUM!</v>
      </c>
      <c r="Z550" t="e">
        <f t="array" ref="Z550">INDEX('Raw Data'!$A:$O,$F550,3)</f>
        <v>#NUM!</v>
      </c>
      <c r="AA550" t="e">
        <f t="array" ref="AA550">INDEX('Raw Data'!$A:$O,$F550,22)</f>
        <v>#NUM!</v>
      </c>
      <c r="AB550" t="e">
        <f t="array" ref="AB550">INDEX('Raw Data'!$A:$O,$F550,23)</f>
        <v>#NUM!</v>
      </c>
    </row>
    <row r="551" spans="1:44" x14ac:dyDescent="0.25">
      <c r="A551" t="s">
        <v>55</v>
      </c>
      <c r="C551" s="2" t="e">
        <f>B541/B540</f>
        <v>#DIV/0!</v>
      </c>
      <c r="F551">
        <f t="array" ref="F551">COUNTIF(F536:F550,"&gt;0")</f>
        <v>0</v>
      </c>
      <c r="G551">
        <f t="array" ref="G551">SUMIF(G536:G550,"&gt;0")</f>
        <v>0</v>
      </c>
      <c r="H551">
        <f t="array" ref="H551">SUMIF(H536:H550,"&gt;0")</f>
        <v>0</v>
      </c>
      <c r="I551">
        <f t="array" ref="I551">SUMIF(I536:I550,"&gt;0")</f>
        <v>0</v>
      </c>
      <c r="J551">
        <f t="array" ref="J551">SUMIF(J536:J550,"&gt;0")</f>
        <v>0</v>
      </c>
      <c r="K551">
        <f t="array" ref="K551">SUMIF(K536:K550,"&gt;0")</f>
        <v>0</v>
      </c>
      <c r="L551">
        <f t="array" ref="L551">SUMIF(L536:L550,"&gt;0")</f>
        <v>0</v>
      </c>
      <c r="M551">
        <f t="array" ref="M551">SUMIF(M536:M550,"&gt;0")</f>
        <v>0</v>
      </c>
      <c r="N551">
        <f t="array" ref="N551">SUMIF(N536:N550,"&gt;0")</f>
        <v>0</v>
      </c>
      <c r="O551">
        <f t="array" ref="O551">SUMIF(O536:O550,"&gt;0")</f>
        <v>0</v>
      </c>
      <c r="P551">
        <f t="array" ref="P551">SUMIF(P536:P550,"&gt;0")</f>
        <v>0</v>
      </c>
      <c r="Q551">
        <f t="array" ref="Q551">SUMIF(Q536:Q550,"&gt;0")</f>
        <v>0</v>
      </c>
      <c r="R551">
        <f t="array" ref="R551">SUMIF(R536:R550,"&gt;0")</f>
        <v>0</v>
      </c>
      <c r="S551">
        <f t="array" ref="S551">SUMIF(S536:S550,"&gt;0")</f>
        <v>0</v>
      </c>
      <c r="T551">
        <f t="array" ref="T551">SUMIF(T536:T550,"&gt;0")</f>
        <v>0</v>
      </c>
      <c r="U551">
        <f t="array" ref="U551">SUMIF(U536:U550,"&gt;0")</f>
        <v>0</v>
      </c>
      <c r="V551">
        <f t="array" ref="V551">SUMIF(V536:V550,"&gt;0")</f>
        <v>0</v>
      </c>
      <c r="W551">
        <f t="array" ref="W551">SUMIF(W536:W550,"&gt;0")</f>
        <v>0</v>
      </c>
      <c r="X551">
        <f t="array" ref="X551">SUMIF(X536:X550,"&gt;0")</f>
        <v>0</v>
      </c>
      <c r="Y551">
        <f t="array" ref="Y551">SUMIF(Y536:Y550,"&gt;0")</f>
        <v>0</v>
      </c>
      <c r="Z551">
        <f t="array" ref="Z551">SUMIF(Z536:Z550,"&gt;0")</f>
        <v>0</v>
      </c>
      <c r="AA551">
        <f t="array" ref="AA551">SUMIF(AA536:AA550,"&gt;0")</f>
        <v>0</v>
      </c>
      <c r="AB551">
        <f t="array" ref="AB551">SUMIF(AB536:AB550,"&gt;0")</f>
        <v>0</v>
      </c>
    </row>
    <row r="552" spans="1:44" x14ac:dyDescent="0.25">
      <c r="A552" t="s">
        <v>58</v>
      </c>
      <c r="C552" s="2">
        <f t="array" ref="C552">IF((K551+L551)&lt;&gt;0, (L551/(K551+L551)),0)</f>
        <v>0</v>
      </c>
      <c r="J552" s="6">
        <f t="array" ref="J552">J551*10</f>
        <v>0</v>
      </c>
      <c r="K552" s="6"/>
      <c r="P552" t="s">
        <v>95</v>
      </c>
      <c r="Q552" s="2" t="e">
        <f t="array" ref="Q552">Q551/$F551</f>
        <v>#DIV/0!</v>
      </c>
      <c r="R552" s="2" t="e">
        <f t="array" ref="R552">R551/$F551</f>
        <v>#DIV/0!</v>
      </c>
      <c r="S552" s="2" t="e">
        <f t="array" ref="S552">S551/$F551</f>
        <v>#DIV/0!</v>
      </c>
      <c r="T552" s="2" t="e">
        <f t="array" ref="T552">T551/$F551</f>
        <v>#DIV/0!</v>
      </c>
      <c r="U552" s="2" t="e">
        <f t="array" ref="U552">U551/$F551</f>
        <v>#DIV/0!</v>
      </c>
      <c r="V552" s="2" t="e">
        <f t="array" ref="V552">V551/$F551</f>
        <v>#DIV/0!</v>
      </c>
      <c r="W552" s="2" t="e">
        <f t="array" ref="W552">W551/$F551</f>
        <v>#DIV/0!</v>
      </c>
      <c r="X552" s="2" t="e">
        <f t="array" ref="X552">X551/$F551</f>
        <v>#DIV/0!</v>
      </c>
      <c r="Z552" s="2" t="e">
        <f t="array" ref="Z552">Z551/F551</f>
        <v>#DIV/0!</v>
      </c>
    </row>
    <row r="553" spans="1:44" x14ac:dyDescent="0.25">
      <c r="A553" t="s">
        <v>60</v>
      </c>
      <c r="C553" s="2">
        <f t="array" ref="C553">IF((M551+N551)&lt;&gt;0, (N551/(M551+N551)),0)</f>
        <v>0</v>
      </c>
      <c r="J553" s="6"/>
      <c r="K553" s="6"/>
    </row>
    <row r="554" spans="1:44" ht="28.5" x14ac:dyDescent="0.45">
      <c r="A554" t="s">
        <v>61</v>
      </c>
      <c r="C554" s="2">
        <f t="array" ref="C554">IF(((K551+N551+L551+M551)&lt;&gt;0), ((L551+N551)/(K551+N551+L551+M551)),0)</f>
        <v>0</v>
      </c>
      <c r="F554" s="17" t="s">
        <v>106</v>
      </c>
      <c r="G554" s="17" t="e">
        <f t="array" ref="G554">'Weighting &amp; Ranking Sheet'!$B$3*Math!$C552+'Weighting &amp; Ranking Sheet'!$B$4*Math!$C553+'Weighting &amp; Ranking Sheet'!$B$5*Math!$C554+'Weighting &amp; Ranking Sheet'!$B$6*Math!$C555+'Weighting &amp; Ranking Sheet'!$B$7*Math!$C539+'Weighting &amp; Ranking Sheet'!$B$8*Math!$C551+'Weighting &amp; Ranking Sheet'!$B$9*Math!$C558+'Weighting &amp; Ranking Sheet'!$B$10*Math!$C556+'Weighting &amp; Ranking Sheet'!$B$11*Math!$C557+'Weighting &amp; Ranking Sheet'!$B$12*Math!$C559*0.01+'Weighting &amp; Ranking Sheet'!$B$13*Math!$Q552+'Weighting &amp; Ranking Sheet'!$B$14*Math!$R552+'Weighting &amp; Ranking Sheet'!$B$15*Math!$S552+'Weighting &amp; Ranking Sheet'!$B$16*Math!$T552+'Weighting &amp; Ranking Sheet'!$B$17*Math!$U552+'Weighting &amp; Ranking Sheet'!$B$18*Math!$V552+'Weighting &amp; Ranking Sheet'!$B$2*Math!$Z552</f>
        <v>#DIV/0!</v>
      </c>
      <c r="J554"/>
      <c r="K554" s="6"/>
      <c r="AR554" s="25"/>
    </row>
    <row r="555" spans="1:44" x14ac:dyDescent="0.25">
      <c r="A555" t="s">
        <v>62</v>
      </c>
      <c r="C555" s="2">
        <f t="array" ref="C555">IF((O551+P551&lt;&gt;0),(P551/(O551+P551)), 0)</f>
        <v>0</v>
      </c>
      <c r="J555"/>
      <c r="K555" s="6"/>
      <c r="AR555" s="25"/>
    </row>
    <row r="556" spans="1:44" x14ac:dyDescent="0.25">
      <c r="A556" t="s">
        <v>77</v>
      </c>
      <c r="C556" s="8" t="e">
        <f t="array" ref="C556">W551/F551</f>
        <v>#DIV/0!</v>
      </c>
      <c r="J556"/>
      <c r="K556" s="6"/>
      <c r="AR556" s="23"/>
    </row>
    <row r="557" spans="1:44" x14ac:dyDescent="0.25">
      <c r="A557" t="s">
        <v>78</v>
      </c>
      <c r="C557" s="8" t="e">
        <f t="array" ref="C557">X551/F551</f>
        <v>#DIV/0!</v>
      </c>
      <c r="J557"/>
      <c r="K557" s="6"/>
    </row>
    <row r="558" spans="1:44" x14ac:dyDescent="0.25">
      <c r="A558" t="s">
        <v>91</v>
      </c>
      <c r="C558" s="2" t="e">
        <f t="array" ref="C558">(C539+C551)/2</f>
        <v>#DIV/0!</v>
      </c>
      <c r="J558"/>
      <c r="K558" s="6"/>
    </row>
    <row r="559" spans="1:44" x14ac:dyDescent="0.25">
      <c r="A559" t="s">
        <v>92</v>
      </c>
      <c r="C559" s="8" t="e">
        <f t="array" ref="C559">Y551/F551</f>
        <v>#DIV/0!</v>
      </c>
      <c r="J559" s="6"/>
      <c r="K559" s="6"/>
    </row>
    <row r="560" spans="1:44" x14ac:dyDescent="0.25">
      <c r="C560" s="8"/>
      <c r="J560" s="6"/>
      <c r="K560" s="6"/>
    </row>
    <row r="561" spans="1:44" x14ac:dyDescent="0.25">
      <c r="C561" s="8"/>
      <c r="J561" s="6"/>
      <c r="K561" s="6"/>
    </row>
    <row r="562" spans="1:44" x14ac:dyDescent="0.25">
      <c r="J562" s="6"/>
      <c r="K562" s="6"/>
    </row>
    <row r="563" spans="1:44" x14ac:dyDescent="0.25">
      <c r="A563" t="s">
        <v>3</v>
      </c>
      <c r="C563" s="5">
        <v>1791</v>
      </c>
      <c r="F563" t="s">
        <v>24</v>
      </c>
    </row>
    <row r="564" spans="1:44" x14ac:dyDescent="0.25">
      <c r="F564" t="e">
        <f t="array" ref="F564">SMALL(IF('Raw Data'!A:A=C563,ROW('Raw Data'!A:A)),ROW('Raw Data'!$1:$1))</f>
        <v>#NUM!</v>
      </c>
      <c r="G564" t="e">
        <f t="array" ref="G564">INDEX('Raw Data'!A:A,F564,9)</f>
        <v>#NUM!</v>
      </c>
      <c r="H564" t="e">
        <f t="array" ref="H564">INDEX('Raw Data'!A:A,F564,10)</f>
        <v>#NUM!</v>
      </c>
      <c r="I564" t="e">
        <f t="array" ref="I564">INDEX('Raw Data'!$A:A,$F564,11)</f>
        <v>#NUM!</v>
      </c>
      <c r="J564" t="e">
        <f t="array" ref="J564">INDEX('Raw Data'!$A:A,F564,12)</f>
        <v>#NUM!</v>
      </c>
      <c r="K564" t="e">
        <f>(--INDEX('Raw Data'!$A$4:B$993,F564,4))</f>
        <v>#NUM!</v>
      </c>
      <c r="L564" t="e">
        <f t="array" ref="L564">(--INDEX('Raw Data'!$A$4:B$993,F564,5))</f>
        <v>#NUM!</v>
      </c>
      <c r="M564" t="e">
        <f t="array" ref="M564">(--INDEX('Raw Data'!$A$4:D$993,$F564,6))</f>
        <v>#NUM!</v>
      </c>
      <c r="N564" t="e">
        <f t="array" ref="N564">(--INDEX('Raw Data'!$A$4:D$993,$F564,7))</f>
        <v>#NUM!</v>
      </c>
      <c r="O564" t="e">
        <f t="array" ref="O564">IF(--INDEX('Raw Data'!$A$4:E$993,$F564,8)= 0, 1, 0)</f>
        <v>#NUM!</v>
      </c>
      <c r="P564" t="e">
        <f t="array" ref="P564">IF(--INDEX('Raw Data'!$A$4:F$993,$F564,8)= 1, 1, 0)</f>
        <v>#NUM!</v>
      </c>
      <c r="Q564" t="e">
        <f t="array" ref="Q564">IF(--INDEX('Raw Data'!$A$4:G$993,$F564,13)= 1, 1, 0)</f>
        <v>#NUM!</v>
      </c>
      <c r="R564" t="e">
        <f t="array" ref="R564">IF(--INDEX('Raw Data'!$A$4:H$993,$F564,14)= 1, 1, 0)</f>
        <v>#NUM!</v>
      </c>
      <c r="S564" t="e">
        <f t="array" ref="S564">IF(--INDEX('Raw Data'!$A$4:I$993,$F564,15)= 1, 1, 0)</f>
        <v>#NUM!</v>
      </c>
      <c r="T564" t="e">
        <f t="array" ref="T564">IF(--INDEX('Raw Data'!$A$4:I$993,$F564,15)= 1, 1, 0)</f>
        <v>#NUM!</v>
      </c>
      <c r="U564" t="e">
        <f t="array" ref="U564">IF(--INDEX('Raw Data'!$A$4:J$993,$F564,16)= 1, 1, 0)</f>
        <v>#NUM!</v>
      </c>
      <c r="V564" t="e">
        <f t="array" ref="V564">IF(--INDEX('Raw Data'!$A$4:K$993,$F564,17)= 1, 1, 0)</f>
        <v>#NUM!</v>
      </c>
      <c r="W564" t="e">
        <f t="array" ref="W564">INDEX('Raw Data'!$A:$O,$F564,19)</f>
        <v>#NUM!</v>
      </c>
      <c r="X564" t="e">
        <f t="array" ref="X564">INDEX('Raw Data'!$A:$O,$F564,20)</f>
        <v>#NUM!</v>
      </c>
      <c r="Y564" t="e">
        <f t="array" ref="Y564">INDEX('Raw Data'!$A:$O,F564,21)</f>
        <v>#NUM!</v>
      </c>
      <c r="Z564" t="e">
        <f t="array" ref="Z564">INDEX('Raw Data'!$A:$O,$F564,3)</f>
        <v>#NUM!</v>
      </c>
      <c r="AA564" t="e">
        <f t="array" ref="AA564">INDEX('Raw Data'!$A:$O,$F564,22)</f>
        <v>#NUM!</v>
      </c>
      <c r="AB564" t="e">
        <f t="array" ref="AB564">INDEX('Raw Data'!$A:$O,$F564,23)</f>
        <v>#NUM!</v>
      </c>
    </row>
    <row r="565" spans="1:44" x14ac:dyDescent="0.25">
      <c r="A565" t="s">
        <v>0</v>
      </c>
      <c r="B565">
        <f>G579</f>
        <v>0</v>
      </c>
      <c r="F565" t="e">
        <f t="array" ref="F565">SMALL(IF('Raw Data'!A:A=C563,ROW('Raw Data'!A:A)),ROW('Raw Data'!$2:$2))</f>
        <v>#NUM!</v>
      </c>
      <c r="G565" t="e">
        <f t="array" ref="G565">INDEX('Raw Data'!A:A,F565,9)</f>
        <v>#NUM!</v>
      </c>
      <c r="H565" t="e">
        <f t="array" ref="H565">INDEX('Raw Data'!A:A,F565,10)</f>
        <v>#NUM!</v>
      </c>
      <c r="I565" t="e">
        <f t="array" ref="I565">INDEX('Raw Data'!$A:A,$F565,11)</f>
        <v>#NUM!</v>
      </c>
      <c r="J565" t="e">
        <f t="array" ref="J565">INDEX('Raw Data'!$A:A,F565,12)</f>
        <v>#NUM!</v>
      </c>
      <c r="K565" t="e">
        <f>(--INDEX('Raw Data'!$A$4:B$993,F565,4))</f>
        <v>#NUM!</v>
      </c>
      <c r="L565" t="e">
        <f t="array" ref="L565">(--INDEX('Raw Data'!$A$4:B$993,F565,5))</f>
        <v>#NUM!</v>
      </c>
      <c r="M565" t="e">
        <f t="array" ref="M565">(--INDEX('Raw Data'!$A$4:D$993,$F565,6))</f>
        <v>#NUM!</v>
      </c>
      <c r="N565" t="e">
        <f t="array" ref="N565">(--INDEX('Raw Data'!$A$4:D$993,$F565,7))</f>
        <v>#NUM!</v>
      </c>
      <c r="O565" t="e">
        <f t="array" ref="O565">IF(--INDEX('Raw Data'!$A$4:E$993,$F565,8)= 0, 1, 0)</f>
        <v>#NUM!</v>
      </c>
      <c r="P565" t="e">
        <f t="array" ref="P565">IF(--INDEX('Raw Data'!$A$4:F$993,$F565,8)= 1, 1, 0)</f>
        <v>#NUM!</v>
      </c>
      <c r="Q565" t="e">
        <f t="array" ref="Q565">IF(--INDEX('Raw Data'!$A$4:G$993,$F565,13)= 1, 1, 0)</f>
        <v>#NUM!</v>
      </c>
      <c r="R565" t="e">
        <f t="array" ref="R565">IF(--INDEX('Raw Data'!$A$4:H$993,$F565,14)= 1, 1, 0)</f>
        <v>#NUM!</v>
      </c>
      <c r="S565" t="e">
        <f t="array" ref="S565">IF(--INDEX('Raw Data'!$A$4:I$993,$F565,15)= 1, 1, 0)</f>
        <v>#NUM!</v>
      </c>
      <c r="T565" t="e">
        <f t="array" ref="T565">IF(--INDEX('Raw Data'!$A$4:I$993,$F565,15)= 1, 1, 0)</f>
        <v>#NUM!</v>
      </c>
      <c r="U565" t="e">
        <f t="array" ref="U565">IF(--INDEX('Raw Data'!$A$4:J$993,$F565,16)= 1, 1, 0)</f>
        <v>#NUM!</v>
      </c>
      <c r="V565" t="e">
        <f t="array" ref="V565">IF(--INDEX('Raw Data'!$A$4:K$993,$F565,17)= 1, 1, 0)</f>
        <v>#NUM!</v>
      </c>
      <c r="W565" t="e">
        <f t="array" ref="W565">INDEX('Raw Data'!$A:$O,$F565,19)</f>
        <v>#NUM!</v>
      </c>
      <c r="X565" t="e">
        <f t="array" ref="X565">INDEX('Raw Data'!$A:$O,$F565,20)</f>
        <v>#NUM!</v>
      </c>
      <c r="Y565" t="e">
        <f t="array" ref="Y565">INDEX('Raw Data'!$A:$O,F565,21)</f>
        <v>#NUM!</v>
      </c>
      <c r="Z565" t="e">
        <f t="array" ref="Z565">INDEX('Raw Data'!$A:$O,$F565,3)</f>
        <v>#NUM!</v>
      </c>
      <c r="AA565" t="e">
        <f t="array" ref="AA565">INDEX('Raw Data'!$A:$O,$F565,22)</f>
        <v>#NUM!</v>
      </c>
      <c r="AB565" t="e">
        <f t="array" ref="AB565">INDEX('Raw Data'!$A:$O,$F565,23)</f>
        <v>#NUM!</v>
      </c>
    </row>
    <row r="566" spans="1:44" x14ac:dyDescent="0.25">
      <c r="A566" t="s">
        <v>1</v>
      </c>
      <c r="B566">
        <f>H579</f>
        <v>0</v>
      </c>
      <c r="F566" t="e">
        <f t="array" ref="F566">SMALL(IF('Raw Data'!A:A=C563,ROW('Raw Data'!A:A)),ROW('Raw Data'!$3:$3))</f>
        <v>#NUM!</v>
      </c>
      <c r="G566" t="e">
        <f t="array" ref="G566">INDEX('Raw Data'!A:A,F566,9)</f>
        <v>#NUM!</v>
      </c>
      <c r="H566" t="e">
        <f t="array" ref="H566">INDEX('Raw Data'!A:A,F566,10)</f>
        <v>#NUM!</v>
      </c>
      <c r="I566" t="e">
        <f t="array" ref="I566">INDEX('Raw Data'!$A:A,$F566,11)</f>
        <v>#NUM!</v>
      </c>
      <c r="J566" t="e">
        <f t="array" ref="J566">INDEX('Raw Data'!$A:A,F566,12)</f>
        <v>#NUM!</v>
      </c>
      <c r="K566" t="e">
        <f>(--INDEX('Raw Data'!$A$4:B$993,F566,4))</f>
        <v>#NUM!</v>
      </c>
      <c r="L566" t="e">
        <f t="array" ref="L566">(--INDEX('Raw Data'!$A$4:B$993,F566,5))</f>
        <v>#NUM!</v>
      </c>
      <c r="M566" t="e">
        <f t="array" ref="M566">(--INDEX('Raw Data'!$A$4:D$993,$F566,6))</f>
        <v>#NUM!</v>
      </c>
      <c r="N566" t="e">
        <f t="array" ref="N566">(--INDEX('Raw Data'!$A$4:D$993,$F566,7))</f>
        <v>#NUM!</v>
      </c>
      <c r="O566" t="e">
        <f t="array" ref="O566">IF(--INDEX('Raw Data'!$A$4:E$993,$F566,8)= 0, 1, 0)</f>
        <v>#NUM!</v>
      </c>
      <c r="P566" t="e">
        <f t="array" ref="P566">IF(--INDEX('Raw Data'!$A$4:F$993,$F566,8)= 1, 1, 0)</f>
        <v>#NUM!</v>
      </c>
      <c r="Q566" t="e">
        <f t="array" ref="Q566">IF(--INDEX('Raw Data'!$A$4:G$993,$F566,13)= 1, 1, 0)</f>
        <v>#NUM!</v>
      </c>
      <c r="R566" t="e">
        <f t="array" ref="R566">IF(--INDEX('Raw Data'!$A$4:H$993,$F566,14)= 1, 1, 0)</f>
        <v>#NUM!</v>
      </c>
      <c r="S566" t="e">
        <f t="array" ref="S566">IF(--INDEX('Raw Data'!$A$4:I$993,$F566,15)= 1, 1, 0)</f>
        <v>#NUM!</v>
      </c>
      <c r="T566" t="e">
        <f t="array" ref="T566">IF(--INDEX('Raw Data'!$A$4:I$993,$F566,15)= 1, 1, 0)</f>
        <v>#NUM!</v>
      </c>
      <c r="U566" t="e">
        <f t="array" ref="U566">IF(--INDEX('Raw Data'!$A$4:J$993,$F566,16)= 1, 1, 0)</f>
        <v>#NUM!</v>
      </c>
      <c r="V566" t="e">
        <f t="array" ref="V566">IF(--INDEX('Raw Data'!$A$4:K$993,$F566,17)= 1, 1, 0)</f>
        <v>#NUM!</v>
      </c>
      <c r="W566" t="e">
        <f t="array" ref="W566">INDEX('Raw Data'!$A:$O,$F566,19)</f>
        <v>#NUM!</v>
      </c>
      <c r="X566" t="e">
        <f t="array" ref="X566">INDEX('Raw Data'!$A:$O,$F566,20)</f>
        <v>#NUM!</v>
      </c>
      <c r="Y566" t="e">
        <f t="array" ref="Y566">INDEX('Raw Data'!$A:$O,F566,21)</f>
        <v>#NUM!</v>
      </c>
      <c r="Z566" t="e">
        <f t="array" ref="Z566">INDEX('Raw Data'!$A:$O,$F566,3)</f>
        <v>#NUM!</v>
      </c>
      <c r="AA566" t="e">
        <f t="array" ref="AA566">INDEX('Raw Data'!$A:$O,$F566,22)</f>
        <v>#NUM!</v>
      </c>
      <c r="AB566" t="e">
        <f t="array" ref="AB566">INDEX('Raw Data'!$A:$O,$F566,23)</f>
        <v>#NUM!</v>
      </c>
    </row>
    <row r="567" spans="1:44" x14ac:dyDescent="0.25">
      <c r="A567" t="s">
        <v>2</v>
      </c>
      <c r="C567" s="3" t="e">
        <f>B566/B565</f>
        <v>#DIV/0!</v>
      </c>
      <c r="F567" t="e">
        <f t="array" ref="F567">SMALL(IF('Raw Data'!A:A=C563,ROW('Raw Data'!A:A)),ROW('Raw Data'!$4:$4))</f>
        <v>#NUM!</v>
      </c>
      <c r="G567" t="e">
        <f t="array" ref="G567">INDEX('Raw Data'!A:A,F567,9)</f>
        <v>#NUM!</v>
      </c>
      <c r="H567" t="e">
        <f t="array" ref="H567">INDEX('Raw Data'!A:A,F567,10)</f>
        <v>#NUM!</v>
      </c>
      <c r="I567" t="e">
        <f t="array" ref="I567">INDEX('Raw Data'!$A:A,$F567,11)</f>
        <v>#NUM!</v>
      </c>
      <c r="J567" t="e">
        <f t="array" ref="J567">INDEX('Raw Data'!$A:A,F567,12)</f>
        <v>#NUM!</v>
      </c>
      <c r="K567" t="e">
        <f>(--INDEX('Raw Data'!$A$4:B$993,F567,4))</f>
        <v>#NUM!</v>
      </c>
      <c r="L567" t="e">
        <f t="array" ref="L567">(--INDEX('Raw Data'!$A$4:B$993,F567,5))</f>
        <v>#NUM!</v>
      </c>
      <c r="M567" t="e">
        <f t="array" ref="M567">(--INDEX('Raw Data'!$A$4:D$993,$F567,6))</f>
        <v>#NUM!</v>
      </c>
      <c r="N567" t="e">
        <f t="array" ref="N567">(--INDEX('Raw Data'!$A$4:D$993,$F567,7))</f>
        <v>#NUM!</v>
      </c>
      <c r="O567" t="e">
        <f t="array" ref="O567">IF(--INDEX('Raw Data'!$A$4:E$993,$F567,8)= 0, 1, 0)</f>
        <v>#NUM!</v>
      </c>
      <c r="P567" t="e">
        <f t="array" ref="P567">IF(--INDEX('Raw Data'!$A$4:F$993,$F567,8)= 1, 1, 0)</f>
        <v>#NUM!</v>
      </c>
      <c r="Q567" t="e">
        <f t="array" ref="Q567">IF(--INDEX('Raw Data'!$A$4:G$993,$F567,13)= 1, 1, 0)</f>
        <v>#NUM!</v>
      </c>
      <c r="R567" t="e">
        <f t="array" ref="R567">IF(--INDEX('Raw Data'!$A$4:H$993,$F567,14)= 1, 1, 0)</f>
        <v>#NUM!</v>
      </c>
      <c r="S567" t="e">
        <f t="array" ref="S567">IF(--INDEX('Raw Data'!$A$4:I$993,$F567,15)= 1, 1, 0)</f>
        <v>#NUM!</v>
      </c>
      <c r="T567" t="e">
        <f t="array" ref="T567">IF(--INDEX('Raw Data'!$A$4:I$993,$F567,15)= 1, 1, 0)</f>
        <v>#NUM!</v>
      </c>
      <c r="U567" t="e">
        <f t="array" ref="U567">IF(--INDEX('Raw Data'!$A$4:J$993,$F567,16)= 1, 1, 0)</f>
        <v>#NUM!</v>
      </c>
      <c r="V567" t="e">
        <f t="array" ref="V567">IF(--INDEX('Raw Data'!$A$4:K$993,$F567,17)= 1, 1, 0)</f>
        <v>#NUM!</v>
      </c>
      <c r="W567" t="e">
        <f t="array" ref="W567">INDEX('Raw Data'!$A:$O,$F567,19)</f>
        <v>#NUM!</v>
      </c>
      <c r="X567" t="e">
        <f t="array" ref="X567">INDEX('Raw Data'!$A:$O,$F567,20)</f>
        <v>#NUM!</v>
      </c>
      <c r="Y567" t="e">
        <f t="array" ref="Y567">INDEX('Raw Data'!$A:$O,F567,21)</f>
        <v>#NUM!</v>
      </c>
      <c r="Z567" t="e">
        <f t="array" ref="Z567">INDEX('Raw Data'!$A:$O,$F567,3)</f>
        <v>#NUM!</v>
      </c>
      <c r="AA567" t="e">
        <f t="array" ref="AA567">INDEX('Raw Data'!$A:$O,$F567,22)</f>
        <v>#NUM!</v>
      </c>
      <c r="AB567" t="e">
        <f t="array" ref="AB567">INDEX('Raw Data'!$A:$O,$F567,23)</f>
        <v>#NUM!</v>
      </c>
    </row>
    <row r="568" spans="1:44" x14ac:dyDescent="0.25">
      <c r="A568" t="s">
        <v>54</v>
      </c>
      <c r="B568">
        <f>I579</f>
        <v>0</v>
      </c>
      <c r="F568" t="e">
        <f t="array" ref="F568">SMALL(IF('Raw Data'!A:A=C563,ROW('Raw Data'!A:A)),ROW('Raw Data'!$5:$5))</f>
        <v>#NUM!</v>
      </c>
      <c r="G568" t="e">
        <f t="array" ref="G568">INDEX('Raw Data'!A:A,F568,9)</f>
        <v>#NUM!</v>
      </c>
      <c r="H568" t="e">
        <f t="array" ref="H568">INDEX('Raw Data'!A:A,F568,10)</f>
        <v>#NUM!</v>
      </c>
      <c r="I568" t="e">
        <f t="array" ref="I568">INDEX('Raw Data'!$A:A,$F568,11)</f>
        <v>#NUM!</v>
      </c>
      <c r="J568" t="e">
        <f t="array" ref="J568">INDEX('Raw Data'!$A:A,F568,12)</f>
        <v>#NUM!</v>
      </c>
      <c r="K568" t="e">
        <f>(--INDEX('Raw Data'!$A$4:B$993,F568,4))</f>
        <v>#NUM!</v>
      </c>
      <c r="L568" t="e">
        <f t="array" ref="L568">(--INDEX('Raw Data'!$A$4:B$993,F568,5))</f>
        <v>#NUM!</v>
      </c>
      <c r="M568" t="e">
        <f t="array" ref="M568">(--INDEX('Raw Data'!$A$4:D$993,$F568,6))</f>
        <v>#NUM!</v>
      </c>
      <c r="N568" t="e">
        <f t="array" ref="N568">(--INDEX('Raw Data'!$A$4:D$993,$F568,7))</f>
        <v>#NUM!</v>
      </c>
      <c r="O568" t="e">
        <f t="array" ref="O568">IF(--INDEX('Raw Data'!$A$4:E$993,$F568,8)= 0, 1, 0)</f>
        <v>#NUM!</v>
      </c>
      <c r="P568" t="e">
        <f t="array" ref="P568">IF(--INDEX('Raw Data'!$A$4:F$993,$F568,8)= 1, 1, 0)</f>
        <v>#NUM!</v>
      </c>
      <c r="Q568" t="e">
        <f t="array" ref="Q568">IF(--INDEX('Raw Data'!$A$4:G$993,$F568,13)= 1, 1, 0)</f>
        <v>#NUM!</v>
      </c>
      <c r="R568" t="e">
        <f t="array" ref="R568">IF(--INDEX('Raw Data'!$A$4:H$993,$F568,14)= 1, 1, 0)</f>
        <v>#NUM!</v>
      </c>
      <c r="S568" t="e">
        <f t="array" ref="S568">IF(--INDEX('Raw Data'!$A$4:I$993,$F568,15)= 1, 1, 0)</f>
        <v>#NUM!</v>
      </c>
      <c r="T568" t="e">
        <f t="array" ref="T568">IF(--INDEX('Raw Data'!$A$4:I$993,$F568,15)= 1, 1, 0)</f>
        <v>#NUM!</v>
      </c>
      <c r="U568" t="e">
        <f t="array" ref="U568">IF(--INDEX('Raw Data'!$A$4:J$993,$F568,16)= 1, 1, 0)</f>
        <v>#NUM!</v>
      </c>
      <c r="V568" t="e">
        <f t="array" ref="V568">IF(--INDEX('Raw Data'!$A$4:K$993,$F568,17)= 1, 1, 0)</f>
        <v>#NUM!</v>
      </c>
      <c r="W568" t="e">
        <f t="array" ref="W568">INDEX('Raw Data'!$A:$O,$F568,19)</f>
        <v>#NUM!</v>
      </c>
      <c r="X568" t="e">
        <f t="array" ref="X568">INDEX('Raw Data'!$A:$O,$F568,20)</f>
        <v>#NUM!</v>
      </c>
      <c r="Y568" t="e">
        <f t="array" ref="Y568">INDEX('Raw Data'!$A:$O,F568,21)</f>
        <v>#NUM!</v>
      </c>
      <c r="Z568" t="e">
        <f t="array" ref="Z568">INDEX('Raw Data'!$A:$O,$F568,3)</f>
        <v>#NUM!</v>
      </c>
      <c r="AA568" t="e">
        <f t="array" ref="AA568">INDEX('Raw Data'!$A:$O,$F568,22)</f>
        <v>#NUM!</v>
      </c>
      <c r="AB568" t="e">
        <f t="array" ref="AB568">INDEX('Raw Data'!$A:$O,$F568,23)</f>
        <v>#NUM!</v>
      </c>
      <c r="AR568" s="25"/>
    </row>
    <row r="569" spans="1:44" x14ac:dyDescent="0.25">
      <c r="A569" t="s">
        <v>35</v>
      </c>
      <c r="B569">
        <f>J579</f>
        <v>0</v>
      </c>
      <c r="F569" t="e">
        <f t="array" ref="F569">SMALL(IF('Raw Data'!A:A=C563,ROW('Raw Data'!A:A)),ROW('Raw Data'!$6:$6))</f>
        <v>#NUM!</v>
      </c>
      <c r="G569" t="e">
        <f t="array" ref="G569">INDEX('Raw Data'!A:A,F569,9)</f>
        <v>#NUM!</v>
      </c>
      <c r="H569" t="e">
        <f t="array" ref="H569">INDEX('Raw Data'!A:A,F569,10)</f>
        <v>#NUM!</v>
      </c>
      <c r="I569" t="e">
        <f t="array" ref="I569">INDEX('Raw Data'!$A:A,$F569,11)</f>
        <v>#NUM!</v>
      </c>
      <c r="J569" t="e">
        <f t="array" ref="J569">INDEX('Raw Data'!$A:A,F569,12)</f>
        <v>#NUM!</v>
      </c>
      <c r="K569" t="e">
        <f>(--INDEX('Raw Data'!$A$4:B$993,F569,4))</f>
        <v>#NUM!</v>
      </c>
      <c r="L569" t="e">
        <f t="array" ref="L569">(--INDEX('Raw Data'!$A$4:B$998,F569,5))</f>
        <v>#NUM!</v>
      </c>
      <c r="M569" t="e">
        <f t="array" ref="M569">(--INDEX('Raw Data'!$A$4:D$998,$F569,6))</f>
        <v>#NUM!</v>
      </c>
      <c r="N569" t="e">
        <f t="array" ref="N569">(--INDEX('Raw Data'!$A$4:D$993,$F569,7))</f>
        <v>#NUM!</v>
      </c>
      <c r="O569" t="e">
        <f t="array" ref="O569">IF(--INDEX('Raw Data'!$A$4:E$993,$F569,8)= 0, 1, 0)</f>
        <v>#NUM!</v>
      </c>
      <c r="P569" t="e">
        <f t="array" ref="P569">IF(--INDEX('Raw Data'!$A$4:F$998,$F569,8)= 1, 1, 0)</f>
        <v>#NUM!</v>
      </c>
      <c r="Q569" t="e">
        <f t="array" ref="Q569">IF(--INDEX('Raw Data'!$A$4:G$998,$F569,13)= 1, 1, 0)</f>
        <v>#NUM!</v>
      </c>
      <c r="R569" t="e">
        <f t="array" ref="R569">IF(--INDEX('Raw Data'!$A$4:H$998,$F569,14)= 1, 1, 0)</f>
        <v>#NUM!</v>
      </c>
      <c r="S569" t="e">
        <f t="array" ref="S569">IF(--INDEX('Raw Data'!$A$4:I$993,$F569,15)= 1, 1, 0)</f>
        <v>#NUM!</v>
      </c>
      <c r="T569" t="e">
        <f t="array" ref="T569">IF(--INDEX('Raw Data'!$A$4:I$998,$F569,15)= 1, 1, 0)</f>
        <v>#NUM!</v>
      </c>
      <c r="U569" t="e">
        <f t="array" ref="U569">IF(--INDEX('Raw Data'!$A$4:J$998,$F569,16)= 1, 1, 0)</f>
        <v>#NUM!</v>
      </c>
      <c r="V569" t="e">
        <f t="array" ref="V569">IF(--INDEX('Raw Data'!$A$4:K$993,$F569,17)= 1, 1, 0)</f>
        <v>#NUM!</v>
      </c>
      <c r="W569" t="e">
        <f t="array" ref="W569">INDEX('Raw Data'!$A:$O,$F569,19)</f>
        <v>#NUM!</v>
      </c>
      <c r="X569" t="e">
        <f t="array" ref="X569">INDEX('Raw Data'!$A:$O,$F569,20)</f>
        <v>#NUM!</v>
      </c>
      <c r="Y569" t="e">
        <f t="array" ref="Y569">INDEX('Raw Data'!$A:$O,F569,21)</f>
        <v>#NUM!</v>
      </c>
      <c r="Z569" t="e">
        <f t="array" ref="Z569">INDEX('Raw Data'!$A:$O,$F569,3)</f>
        <v>#NUM!</v>
      </c>
      <c r="AA569" t="e">
        <f t="array" ref="AA569">INDEX('Raw Data'!$A:$O,$F569,22)</f>
        <v>#NUM!</v>
      </c>
      <c r="AB569" t="e">
        <f t="array" ref="AB569">INDEX('Raw Data'!$A:$O,$F569,23)</f>
        <v>#NUM!</v>
      </c>
      <c r="AR569" s="25"/>
    </row>
    <row r="570" spans="1:44" ht="28.5" x14ac:dyDescent="0.45">
      <c r="F570" t="e">
        <f t="array" ref="F570">SMALL(IF('Raw Data'!A:A=C563,ROW('Raw Data'!A:A)),ROW('Raw Data'!$7:$7))</f>
        <v>#NUM!</v>
      </c>
      <c r="G570" t="e">
        <f t="array" ref="G570">INDEX('Raw Data'!A:A,F570,9)</f>
        <v>#NUM!</v>
      </c>
      <c r="H570" t="e">
        <f t="array" ref="H570">INDEX('Raw Data'!A:A,F570,10)</f>
        <v>#NUM!</v>
      </c>
      <c r="I570" t="e">
        <f t="array" ref="I570">INDEX('Raw Data'!$A:A,$F570,11)</f>
        <v>#NUM!</v>
      </c>
      <c r="J570" t="e">
        <f t="array" ref="J570">INDEX('Raw Data'!$A:A,F570,12)</f>
        <v>#NUM!</v>
      </c>
      <c r="K570" t="e">
        <f t="array" ref="K570">(--INDEX('Raw Data'!$A$4:B$998,F570,4))</f>
        <v>#NUM!</v>
      </c>
      <c r="L570" t="e">
        <f t="array" ref="L570">(--INDEX('Raw Data'!$A$4:B$998,F570,5))</f>
        <v>#NUM!</v>
      </c>
      <c r="M570" t="e">
        <f t="array" ref="M570">(--INDEX('Raw Data'!$A$4:D$998,$F570,6))</f>
        <v>#NUM!</v>
      </c>
      <c r="N570" t="e">
        <f t="array" ref="N570">(--INDEX('Raw Data'!$A$4:D$998,$F570,7))</f>
        <v>#NUM!</v>
      </c>
      <c r="O570" t="e">
        <f t="array" ref="O570">IF(--INDEX('Raw Data'!$A$4:E$998,$F570,8)= 0, 1, 0)</f>
        <v>#NUM!</v>
      </c>
      <c r="P570" t="e">
        <f t="array" ref="P570">IF(--INDEX('Raw Data'!$A$4:F$998,$F570,8)= 1, 1, 0)</f>
        <v>#NUM!</v>
      </c>
      <c r="Q570" t="e">
        <f t="array" ref="Q570">IF(--INDEX('Raw Data'!$A$4:G$998,$F570,13)= 1, 1, 0)</f>
        <v>#NUM!</v>
      </c>
      <c r="R570" t="e">
        <f t="array" ref="R570">IF(--INDEX('Raw Data'!$A$4:H$998,$F570,14)= 1, 1, 0)</f>
        <v>#NUM!</v>
      </c>
      <c r="S570" t="e">
        <f t="array" ref="S570">IF(--INDEX('Raw Data'!$A$4:I$998,$F570,15)= 1, 1, 0)</f>
        <v>#NUM!</v>
      </c>
      <c r="T570" t="e">
        <f t="array" ref="T570">IF(--INDEX('Raw Data'!$A$4:I$998,$F570,15)= 1, 1, 0)</f>
        <v>#NUM!</v>
      </c>
      <c r="U570" t="e">
        <f t="array" ref="U570">IF(--INDEX('Raw Data'!$A$4:J$998,$F570,16)= 1, 1, 0)</f>
        <v>#NUM!</v>
      </c>
      <c r="V570" t="e">
        <f t="array" ref="V570">IF(--INDEX('Raw Data'!$A$4:K$998,$F570,17)= 1, 1, 0)</f>
        <v>#NUM!</v>
      </c>
      <c r="W570" t="e">
        <f t="array" ref="W570">INDEX('Raw Data'!$A:$O,$F570,19)</f>
        <v>#NUM!</v>
      </c>
      <c r="X570" t="e">
        <f t="array" ref="X570">INDEX('Raw Data'!$A:$O,$F570,20)</f>
        <v>#NUM!</v>
      </c>
      <c r="Y570" t="e">
        <f t="array" ref="Y570">INDEX('Raw Data'!$A:$O,F570,21)</f>
        <v>#NUM!</v>
      </c>
      <c r="Z570" t="e">
        <f t="array" ref="Z570">INDEX('Raw Data'!$A:$O,$F570,3)</f>
        <v>#NUM!</v>
      </c>
      <c r="AA570" t="e">
        <f t="array" ref="AA570">INDEX('Raw Data'!$A:$O,$F570,22)</f>
        <v>#NUM!</v>
      </c>
      <c r="AB570" t="e">
        <f t="array" ref="AB570">INDEX('Raw Data'!$A:$O,$F570,23)</f>
        <v>#NUM!</v>
      </c>
      <c r="AM570" s="21"/>
      <c r="AR570" s="25"/>
    </row>
    <row r="571" spans="1:44" x14ac:dyDescent="0.25">
      <c r="F571" t="e">
        <f t="array" ref="F571">SMALL(IF('Raw Data'!A:A=C563,ROW('Raw Data'!A:A)),ROW('Raw Data'!$8:$8))</f>
        <v>#NUM!</v>
      </c>
      <c r="G571" t="e">
        <f t="array" ref="G571">INDEX('Raw Data'!A:A,F571,9)</f>
        <v>#NUM!</v>
      </c>
      <c r="H571" t="e">
        <f t="array" ref="H571">INDEX('Raw Data'!A:A,F571,10)</f>
        <v>#NUM!</v>
      </c>
      <c r="I571" t="e">
        <f t="array" ref="I571">INDEX('Raw Data'!$A:A,$F571,11)</f>
        <v>#NUM!</v>
      </c>
      <c r="J571" t="e">
        <f t="array" ref="J571">INDEX('Raw Data'!$A:A,F571,12)</f>
        <v>#NUM!</v>
      </c>
      <c r="K571" t="e">
        <f t="array" ref="K571">(--INDEX('Raw Data'!$A$4:B$998,F571,4))</f>
        <v>#NUM!</v>
      </c>
      <c r="L571" t="e">
        <f t="array" ref="L571">(--INDEX('Raw Data'!$A$4:B$998,F571,5))</f>
        <v>#NUM!</v>
      </c>
      <c r="M571" t="e">
        <f t="array" ref="M571">(--INDEX('Raw Data'!$A$4:D$998,$F571,6))</f>
        <v>#NUM!</v>
      </c>
      <c r="N571" t="e">
        <f t="array" ref="N571">(--INDEX('Raw Data'!$A$4:D$998,$F571,7))</f>
        <v>#NUM!</v>
      </c>
      <c r="O571" t="e">
        <f t="array" ref="O571">IF(--INDEX('Raw Data'!$A$4:E$998,$F571,8)= 0, 1, 0)</f>
        <v>#NUM!</v>
      </c>
      <c r="P571" t="e">
        <f t="array" ref="P571">IF(--INDEX('Raw Data'!$A$4:F$998,$F571,8)= 1, 1, 0)</f>
        <v>#NUM!</v>
      </c>
      <c r="Q571" t="e">
        <f t="array" ref="Q571">IF(--INDEX('Raw Data'!$A$4:G$998,$F571,13)= 1, 1, 0)</f>
        <v>#NUM!</v>
      </c>
      <c r="R571" t="e">
        <f t="array" ref="R571">IF(--INDEX('Raw Data'!$A$4:H$998,$F571,14)= 1, 1, 0)</f>
        <v>#NUM!</v>
      </c>
      <c r="S571" t="e">
        <f t="array" ref="S571">IF(--INDEX('Raw Data'!$A$4:I$998,$F571,15)= 1, 1, 0)</f>
        <v>#NUM!</v>
      </c>
      <c r="T571" t="e">
        <f t="array" ref="T571">IF(--INDEX('Raw Data'!$A$4:I$998,$F571,15)= 1, 1, 0)</f>
        <v>#NUM!</v>
      </c>
      <c r="U571" t="e">
        <f t="array" ref="U571">IF(--INDEX('Raw Data'!$A$4:J$998,$F571,16)= 1, 1, 0)</f>
        <v>#NUM!</v>
      </c>
      <c r="V571" t="e">
        <f t="array" ref="V571">IF(--INDEX('Raw Data'!$A$4:K$998,$F571,17)= 1, 1, 0)</f>
        <v>#NUM!</v>
      </c>
      <c r="W571" t="e">
        <f t="array" ref="W571">INDEX('Raw Data'!$A:$O,$F571,19)</f>
        <v>#NUM!</v>
      </c>
      <c r="X571" t="e">
        <f t="array" ref="X571">INDEX('Raw Data'!$A:$O,$F571,20)</f>
        <v>#NUM!</v>
      </c>
      <c r="Y571" t="e">
        <f t="array" ref="Y571">INDEX('Raw Data'!$A:$O,F571,21)</f>
        <v>#NUM!</v>
      </c>
      <c r="Z571" t="e">
        <f t="array" ref="Z571">INDEX('Raw Data'!$A:$O,$F571,3)</f>
        <v>#NUM!</v>
      </c>
      <c r="AA571" t="e">
        <f t="array" ref="AA571">INDEX('Raw Data'!$A:$O,$F571,22)</f>
        <v>#NUM!</v>
      </c>
      <c r="AB571" t="e">
        <f t="array" ref="AB571">INDEX('Raw Data'!$A:$O,$F571,23)</f>
        <v>#NUM!</v>
      </c>
      <c r="AR571" s="25"/>
    </row>
    <row r="572" spans="1:44" x14ac:dyDescent="0.25">
      <c r="F572" t="e">
        <f t="array" ref="F572">SMALL(IF('Raw Data'!A:A=C563,ROW('Raw Data'!A:A)),ROW('Raw Data'!$9:$9))</f>
        <v>#NUM!</v>
      </c>
      <c r="G572" t="e">
        <f t="array" ref="G572">INDEX('Raw Data'!A:A,F572,9)</f>
        <v>#NUM!</v>
      </c>
      <c r="H572" t="e">
        <f t="array" ref="H572">INDEX('Raw Data'!A:A,F572,10)</f>
        <v>#NUM!</v>
      </c>
      <c r="I572" t="e">
        <f t="array" ref="I572">INDEX('Raw Data'!$A:A,$F572,11)</f>
        <v>#NUM!</v>
      </c>
      <c r="J572" t="e">
        <f t="array" ref="J572">INDEX('Raw Data'!$A:A,F572,12)</f>
        <v>#NUM!</v>
      </c>
      <c r="K572" t="e">
        <f t="array" ref="K572">(--INDEX('Raw Data'!$A$4:B$998,F572,4))</f>
        <v>#NUM!</v>
      </c>
      <c r="L572" t="e">
        <f t="array" ref="L572">(--INDEX('Raw Data'!$A$4:B$998,F572,5))</f>
        <v>#NUM!</v>
      </c>
      <c r="M572" t="e">
        <f t="array" ref="M572">(--INDEX('Raw Data'!$A$4:D$998,$F572,6))</f>
        <v>#NUM!</v>
      </c>
      <c r="N572" t="e">
        <f t="array" ref="N572">(--INDEX('Raw Data'!$A$4:D$998,$F572,7))</f>
        <v>#NUM!</v>
      </c>
      <c r="O572" t="e">
        <f t="array" ref="O572">IF(--INDEX('Raw Data'!$A$4:E$998,$F572,8)= 0, 1, 0)</f>
        <v>#NUM!</v>
      </c>
      <c r="P572" t="e">
        <f t="array" ref="P572">IF(--INDEX('Raw Data'!$A$4:F$998,$F572,8)= 1, 1, 0)</f>
        <v>#NUM!</v>
      </c>
      <c r="Q572" t="e">
        <f t="array" ref="Q572">IF(--INDEX('Raw Data'!$A$4:G$998,$F572,13)= 1, 1, 0)</f>
        <v>#NUM!</v>
      </c>
      <c r="R572" t="e">
        <f t="array" ref="R572">IF(--INDEX('Raw Data'!$A$4:H$998,$F572,14)= 1, 1, 0)</f>
        <v>#NUM!</v>
      </c>
      <c r="S572" t="e">
        <f t="array" ref="S572">IF(--INDEX('Raw Data'!$A$4:I$998,$F572,15)= 1, 1, 0)</f>
        <v>#NUM!</v>
      </c>
      <c r="T572" t="e">
        <f t="array" ref="T572">IF(--INDEX('Raw Data'!$A$4:I$998,$F572,15)= 1, 1, 0)</f>
        <v>#NUM!</v>
      </c>
      <c r="U572" t="e">
        <f t="array" ref="U572">IF(--INDEX('Raw Data'!$A$4:J$998,$F572,16)= 1, 1, 0)</f>
        <v>#NUM!</v>
      </c>
      <c r="V572" t="e">
        <f t="array" ref="V572">IF(--INDEX('Raw Data'!$A$4:K$998,$F572,17)= 1, 1, 0)</f>
        <v>#NUM!</v>
      </c>
      <c r="W572" t="e">
        <f t="array" ref="W572">INDEX('Raw Data'!$A:$O,$F572,19)</f>
        <v>#NUM!</v>
      </c>
      <c r="X572" t="e">
        <f t="array" ref="X572">INDEX('Raw Data'!$A:$O,$F572,20)</f>
        <v>#NUM!</v>
      </c>
      <c r="Y572" t="e">
        <f t="array" ref="Y572">INDEX('Raw Data'!$A:$O,F572,21)</f>
        <v>#NUM!</v>
      </c>
      <c r="Z572" t="e">
        <f t="array" ref="Z572">INDEX('Raw Data'!$A:$O,$F572,3)</f>
        <v>#NUM!</v>
      </c>
      <c r="AA572" t="e">
        <f t="array" ref="AA572">INDEX('Raw Data'!$A:$O,$F572,22)</f>
        <v>#NUM!</v>
      </c>
      <c r="AB572" t="e">
        <f t="array" ref="AB572">INDEX('Raw Data'!$A:$O,$F572,23)</f>
        <v>#NUM!</v>
      </c>
      <c r="AR572" s="25"/>
    </row>
    <row r="573" spans="1:44" x14ac:dyDescent="0.25">
      <c r="F573" t="e">
        <f t="array" ref="F573">SMALL(IF('Raw Data'!A:A=C563,ROW('Raw Data'!A:A)),ROW('Raw Data'!$10:$10))</f>
        <v>#NUM!</v>
      </c>
      <c r="G573" t="e">
        <f t="array" ref="G573">INDEX('Raw Data'!A:A,F573,9)</f>
        <v>#NUM!</v>
      </c>
      <c r="H573" t="e">
        <f t="array" ref="H573">INDEX('Raw Data'!A:A,F573,10)</f>
        <v>#NUM!</v>
      </c>
      <c r="I573" t="e">
        <f t="array" ref="I573">INDEX('Raw Data'!$A:A,$F573,11)</f>
        <v>#NUM!</v>
      </c>
      <c r="J573" t="e">
        <f t="array" ref="J573">INDEX('Raw Data'!$A:A,F573,12)</f>
        <v>#NUM!</v>
      </c>
      <c r="K573" t="e">
        <f t="array" ref="K573">(--INDEX('Raw Data'!$A$4:B$998,F573,4))</f>
        <v>#NUM!</v>
      </c>
      <c r="L573" t="e">
        <f t="array" ref="L573">(--INDEX('Raw Data'!$A$4:B$998,F573,5))</f>
        <v>#NUM!</v>
      </c>
      <c r="M573" t="e">
        <f t="array" ref="M573">(--INDEX('Raw Data'!$A$4:D$998,$F573,6))</f>
        <v>#NUM!</v>
      </c>
      <c r="N573" t="e">
        <f t="array" ref="N573">(--INDEX('Raw Data'!$A$4:D$998,$F573,7))</f>
        <v>#NUM!</v>
      </c>
      <c r="O573" t="e">
        <f t="array" ref="O573">IF(--INDEX('Raw Data'!$A$4:E$998,$F573,8)= 0, 1, 0)</f>
        <v>#NUM!</v>
      </c>
      <c r="P573" t="e">
        <f t="array" ref="P573">IF(--INDEX('Raw Data'!$A$4:F$998,$F573,8)= 1, 1, 0)</f>
        <v>#NUM!</v>
      </c>
      <c r="Q573" t="e">
        <f t="array" ref="Q573">IF(--INDEX('Raw Data'!$A$4:G$998,$F573,13)= 1, 1, 0)</f>
        <v>#NUM!</v>
      </c>
      <c r="R573" t="e">
        <f t="array" ref="R573">IF(--INDEX('Raw Data'!$A$4:H$998,$F573,14)= 1, 1, 0)</f>
        <v>#NUM!</v>
      </c>
      <c r="S573" t="e">
        <f t="array" ref="S573">IF(--INDEX('Raw Data'!$A$4:I$998,$F573,15)= 1, 1, 0)</f>
        <v>#NUM!</v>
      </c>
      <c r="T573" t="e">
        <f t="array" ref="T573">IF(--INDEX('Raw Data'!$A$4:I$998,$F573,15)= 1, 1, 0)</f>
        <v>#NUM!</v>
      </c>
      <c r="U573" t="e">
        <f t="array" ref="U573">IF(--INDEX('Raw Data'!$A$4:J$998,$F573,16)= 1, 1, 0)</f>
        <v>#NUM!</v>
      </c>
      <c r="V573" t="e">
        <f t="array" ref="V573">IF(--INDEX('Raw Data'!$A$4:K$998,$F573,17)= 1, 1, 0)</f>
        <v>#NUM!</v>
      </c>
      <c r="W573" t="e">
        <f t="array" ref="W573">INDEX('Raw Data'!$A:$O,$F573,19)</f>
        <v>#NUM!</v>
      </c>
      <c r="X573" t="e">
        <f t="array" ref="X573">INDEX('Raw Data'!$A:$O,$F573,20)</f>
        <v>#NUM!</v>
      </c>
      <c r="Y573" t="e">
        <f t="array" ref="Y573">INDEX('Raw Data'!$A:$O,F573,21)</f>
        <v>#NUM!</v>
      </c>
      <c r="Z573" t="e">
        <f t="array" ref="Z573">INDEX('Raw Data'!$A:$O,$F573,3)</f>
        <v>#NUM!</v>
      </c>
      <c r="AA573" t="e">
        <f t="array" ref="AA573">INDEX('Raw Data'!$A:$O,$F573,22)</f>
        <v>#NUM!</v>
      </c>
      <c r="AB573" t="e">
        <f t="array" ref="AB573">INDEX('Raw Data'!$A:$O,$F573,23)</f>
        <v>#NUM!</v>
      </c>
      <c r="AR573" s="25"/>
    </row>
    <row r="574" spans="1:44" x14ac:dyDescent="0.25">
      <c r="F574" t="e">
        <f t="array" ref="F574">SMALL(IF('Raw Data'!A:A=C563,ROW('Raw Data'!A:A)),ROW('Raw Data'!$11:$11))</f>
        <v>#NUM!</v>
      </c>
      <c r="G574" t="e">
        <f t="array" ref="G574">INDEX('Raw Data'!A:A,F574,9)</f>
        <v>#NUM!</v>
      </c>
      <c r="H574" t="e">
        <f t="array" ref="H574">INDEX('Raw Data'!A:A,F574,10)</f>
        <v>#NUM!</v>
      </c>
      <c r="I574" t="e">
        <f t="array" ref="I574">INDEX('Raw Data'!$A:A,$F574,11)</f>
        <v>#NUM!</v>
      </c>
      <c r="J574" t="e">
        <f t="array" ref="J574">INDEX('Raw Data'!$A:A,F574,12)</f>
        <v>#NUM!</v>
      </c>
      <c r="K574" t="e">
        <f t="array" ref="K574">(--INDEX('Raw Data'!$A$4:B$998,F574,4))</f>
        <v>#NUM!</v>
      </c>
      <c r="L574" t="e">
        <f t="array" ref="L574">(--INDEX('Raw Data'!$A$4:B$998,F574,5))</f>
        <v>#NUM!</v>
      </c>
      <c r="M574" t="e">
        <f t="array" ref="M574">(--INDEX('Raw Data'!$A$4:D$998,$F574,6))</f>
        <v>#NUM!</v>
      </c>
      <c r="N574" t="e">
        <f t="array" ref="N574">(--INDEX('Raw Data'!$A$4:D$998,$F574,7))</f>
        <v>#NUM!</v>
      </c>
      <c r="O574" t="e">
        <f t="array" ref="O574">IF(--INDEX('Raw Data'!$A$4:E$998,$F574,8)= 0, 1, 0)</f>
        <v>#NUM!</v>
      </c>
      <c r="P574" t="e">
        <f t="array" ref="P574">IF(--INDEX('Raw Data'!$A$4:F$998,$F574,8)= 1, 1, 0)</f>
        <v>#NUM!</v>
      </c>
      <c r="Q574" t="e">
        <f t="array" ref="Q574">IF(--INDEX('Raw Data'!$A$4:G$998,$F574,13)= 1, 1, 0)</f>
        <v>#NUM!</v>
      </c>
      <c r="R574" t="e">
        <f t="array" ref="R574">IF(--INDEX('Raw Data'!$A$4:H$998,$F574,14)= 1, 1, 0)</f>
        <v>#NUM!</v>
      </c>
      <c r="S574" t="e">
        <f t="array" ref="S574">IF(--INDEX('Raw Data'!$A$4:I$998,$F574,15)= 1, 1, 0)</f>
        <v>#NUM!</v>
      </c>
      <c r="T574" t="e">
        <f t="array" ref="T574">IF(--INDEX('Raw Data'!$A$4:I$998,$F574,15)= 1, 1, 0)</f>
        <v>#NUM!</v>
      </c>
      <c r="U574" t="e">
        <f t="array" ref="U574">IF(--INDEX('Raw Data'!$A$4:J$998,$F574,16)= 1, 1, 0)</f>
        <v>#NUM!</v>
      </c>
      <c r="V574" t="e">
        <f t="array" ref="V574">IF(--INDEX('Raw Data'!$A$4:K$998,$F574,17)= 1, 1, 0)</f>
        <v>#NUM!</v>
      </c>
      <c r="W574" t="e">
        <f t="array" ref="W574">INDEX('Raw Data'!$A:$O,$F574,19)</f>
        <v>#NUM!</v>
      </c>
      <c r="X574" t="e">
        <f t="array" ref="X574">INDEX('Raw Data'!$A:$O,$F574,20)</f>
        <v>#NUM!</v>
      </c>
      <c r="Y574" t="e">
        <f t="array" ref="Y574">INDEX('Raw Data'!$A:$O,F574,21)</f>
        <v>#NUM!</v>
      </c>
      <c r="Z574" t="e">
        <f t="array" ref="Z574">INDEX('Raw Data'!$A:$O,$F574,3)</f>
        <v>#NUM!</v>
      </c>
      <c r="AA574" t="e">
        <f t="array" ref="AA574">INDEX('Raw Data'!$A:$O,$F574,22)</f>
        <v>#NUM!</v>
      </c>
      <c r="AB574" t="e">
        <f t="array" ref="AB574">INDEX('Raw Data'!$A:$O,$F574,23)</f>
        <v>#NUM!</v>
      </c>
      <c r="AR574" s="25"/>
    </row>
    <row r="575" spans="1:44" x14ac:dyDescent="0.25">
      <c r="F575" t="e">
        <f t="array" ref="F575">SMALL(IF('Raw Data'!A:A=C563,ROW('Raw Data'!A:A)),ROW('Raw Data'!$12:$12))</f>
        <v>#NUM!</v>
      </c>
      <c r="G575" t="e">
        <f t="array" ref="G575">INDEX('Raw Data'!A:A,F575,9)</f>
        <v>#NUM!</v>
      </c>
      <c r="H575" t="e">
        <f t="array" ref="H575">INDEX('Raw Data'!A:A,F575,10)</f>
        <v>#NUM!</v>
      </c>
      <c r="I575" t="e">
        <f t="array" ref="I575">INDEX('Raw Data'!$A:A,$F575,11)</f>
        <v>#NUM!</v>
      </c>
      <c r="J575" t="e">
        <f t="array" ref="J575">INDEX('Raw Data'!$A:A,F575,12)</f>
        <v>#NUM!</v>
      </c>
      <c r="K575" t="e">
        <f t="array" ref="K575">(--INDEX('Raw Data'!$A$4:B$998,F575,4))</f>
        <v>#NUM!</v>
      </c>
      <c r="L575" t="e">
        <f t="array" ref="L575">(--INDEX('Raw Data'!$A$4:B$998,F575,5))</f>
        <v>#NUM!</v>
      </c>
      <c r="M575" t="e">
        <f t="array" ref="M575">(--INDEX('Raw Data'!$A$4:D$998,$F575,6))</f>
        <v>#NUM!</v>
      </c>
      <c r="N575" t="e">
        <f t="array" ref="N575">(--INDEX('Raw Data'!$A$4:D$998,$F575,7))</f>
        <v>#NUM!</v>
      </c>
      <c r="O575" t="e">
        <f t="array" ref="O575">IF(--INDEX('Raw Data'!$A$4:E$998,$F575,8)= 0, 1, 0)</f>
        <v>#NUM!</v>
      </c>
      <c r="P575" t="e">
        <f t="array" ref="P575">IF(--INDEX('Raw Data'!$A$4:F$998,$F575,8)= 1, 1, 0)</f>
        <v>#NUM!</v>
      </c>
      <c r="Q575" t="e">
        <f t="array" ref="Q575">IF(--INDEX('Raw Data'!$A$4:G$998,$F575,13)= 1, 1, 0)</f>
        <v>#NUM!</v>
      </c>
      <c r="R575" t="e">
        <f t="array" ref="R575">IF(--INDEX('Raw Data'!$A$4:H$998,$F575,14)= 1, 1, 0)</f>
        <v>#NUM!</v>
      </c>
      <c r="S575" t="e">
        <f t="array" ref="S575">IF(--INDEX('Raw Data'!$A$4:I$998,$F575,15)= 1, 1, 0)</f>
        <v>#NUM!</v>
      </c>
      <c r="T575" t="e">
        <f t="array" ref="T575">IF(--INDEX('Raw Data'!$A$4:I$998,$F575,15)= 1, 1, 0)</f>
        <v>#NUM!</v>
      </c>
      <c r="U575" t="e">
        <f t="array" ref="U575">IF(--INDEX('Raw Data'!$A$4:J$998,$F575,16)= 1, 1, 0)</f>
        <v>#NUM!</v>
      </c>
      <c r="V575" t="e">
        <f t="array" ref="V575">IF(--INDEX('Raw Data'!$A$4:K$998,$F575,17)= 1, 1, 0)</f>
        <v>#NUM!</v>
      </c>
      <c r="W575" t="e">
        <f t="array" ref="W575">INDEX('Raw Data'!$A:$O,$F575,19)</f>
        <v>#NUM!</v>
      </c>
      <c r="X575" t="e">
        <f t="array" ref="X575">INDEX('Raw Data'!$A:$O,$F575,20)</f>
        <v>#NUM!</v>
      </c>
      <c r="Y575" t="e">
        <f t="array" ref="Y575">INDEX('Raw Data'!$A:$O,F575,21)</f>
        <v>#NUM!</v>
      </c>
      <c r="Z575" t="e">
        <f t="array" ref="Z575">INDEX('Raw Data'!$A:$O,$F575,3)</f>
        <v>#NUM!</v>
      </c>
      <c r="AA575" t="e">
        <f t="array" ref="AA575">INDEX('Raw Data'!$A:$O,$F575,22)</f>
        <v>#NUM!</v>
      </c>
      <c r="AB575" t="e">
        <f t="array" ref="AB575">INDEX('Raw Data'!$A:$O,$F575,23)</f>
        <v>#NUM!</v>
      </c>
      <c r="AR575" s="25"/>
    </row>
    <row r="576" spans="1:44" x14ac:dyDescent="0.25">
      <c r="F576" t="e">
        <f t="array" ref="F576">SMALL(IF('Raw Data'!A:A=C563,ROW('Raw Data'!A:A)),ROW('Raw Data'!$13:$13))</f>
        <v>#NUM!</v>
      </c>
      <c r="G576" t="e">
        <f t="array" ref="G576">INDEX('Raw Data'!A:A,F576,9)</f>
        <v>#NUM!</v>
      </c>
      <c r="H576" t="e">
        <f t="array" ref="H576">INDEX('Raw Data'!A:A,F576,10)</f>
        <v>#NUM!</v>
      </c>
      <c r="I576" t="e">
        <f t="array" ref="I576">INDEX('Raw Data'!$A:A,$F576,11)</f>
        <v>#NUM!</v>
      </c>
      <c r="J576" t="e">
        <f t="array" ref="J576">INDEX('Raw Data'!$A:A,F576,12)</f>
        <v>#NUM!</v>
      </c>
      <c r="K576" t="e">
        <f t="array" ref="K576">(--INDEX('Raw Data'!$A$4:B$998,F576,4))</f>
        <v>#NUM!</v>
      </c>
      <c r="L576" t="e">
        <f t="array" ref="L576">(--INDEX('Raw Data'!$A$4:B$998,F576,5))</f>
        <v>#NUM!</v>
      </c>
      <c r="M576" t="e">
        <f t="array" ref="M576">(--INDEX('Raw Data'!$A$4:D$998,$F576,6))</f>
        <v>#NUM!</v>
      </c>
      <c r="N576" t="e">
        <f t="array" ref="N576">(--INDEX('Raw Data'!$A$4:D$998,$F576,7))</f>
        <v>#NUM!</v>
      </c>
      <c r="O576" t="e">
        <f t="array" ref="O576">IF(--INDEX('Raw Data'!$A$4:E$998,$F576,8)= 0, 1, 0)</f>
        <v>#NUM!</v>
      </c>
      <c r="P576" t="e">
        <f t="array" ref="P576">IF(--INDEX('Raw Data'!$A$4:F$998,$F576,8)= 1, 1, 0)</f>
        <v>#NUM!</v>
      </c>
      <c r="Q576" t="e">
        <f t="array" ref="Q576">IF(--INDEX('Raw Data'!$A$4:G$998,$F576,13)= 1, 1, 0)</f>
        <v>#NUM!</v>
      </c>
      <c r="R576" t="e">
        <f t="array" ref="R576">IF(--INDEX('Raw Data'!$A$4:H$998,$F576,14)= 1, 1, 0)</f>
        <v>#NUM!</v>
      </c>
      <c r="S576" t="e">
        <f t="array" ref="S576">IF(--INDEX('Raw Data'!$A$4:I$998,$F576,15)= 1, 1, 0)</f>
        <v>#NUM!</v>
      </c>
      <c r="T576" t="e">
        <f t="array" ref="T576">IF(--INDEX('Raw Data'!$A$4:I$998,$F576,15)= 1, 1, 0)</f>
        <v>#NUM!</v>
      </c>
      <c r="U576" t="e">
        <f t="array" ref="U576">IF(--INDEX('Raw Data'!$A$4:J$998,$F576,16)= 1, 1, 0)</f>
        <v>#NUM!</v>
      </c>
      <c r="V576" t="e">
        <f t="array" ref="V576">IF(--INDEX('Raw Data'!$A$4:K$998,$F576,17)= 1, 1, 0)</f>
        <v>#NUM!</v>
      </c>
      <c r="W576" t="e">
        <f t="array" ref="W576">INDEX('Raw Data'!$A:$O,$F576,19)</f>
        <v>#NUM!</v>
      </c>
      <c r="X576" t="e">
        <f t="array" ref="X576">INDEX('Raw Data'!$A:$O,$F576,20)</f>
        <v>#NUM!</v>
      </c>
      <c r="Y576" t="e">
        <f t="array" ref="Y576">INDEX('Raw Data'!$A:$O,F576,21)</f>
        <v>#NUM!</v>
      </c>
      <c r="Z576" t="e">
        <f t="array" ref="Z576">INDEX('Raw Data'!$A:$O,$F576,3)</f>
        <v>#NUM!</v>
      </c>
      <c r="AA576" t="e">
        <f t="array" ref="AA576">INDEX('Raw Data'!$A:$O,$F576,22)</f>
        <v>#NUM!</v>
      </c>
      <c r="AB576" t="e">
        <f t="array" ref="AB576">INDEX('Raw Data'!$A:$O,$F576,23)</f>
        <v>#NUM!</v>
      </c>
      <c r="AR576" s="25"/>
    </row>
    <row r="577" spans="1:44" x14ac:dyDescent="0.25">
      <c r="F577" t="e">
        <f t="array" ref="F577">SMALL(IF('Raw Data'!A:A=C563,ROW('Raw Data'!A:A)),ROW('Raw Data'!$14:$14))</f>
        <v>#NUM!</v>
      </c>
      <c r="G577" t="e">
        <f t="array" ref="G577">INDEX('Raw Data'!A:A,F577,9)</f>
        <v>#NUM!</v>
      </c>
      <c r="H577" t="e">
        <f t="array" ref="H577">INDEX('Raw Data'!A:A,F577,10)</f>
        <v>#NUM!</v>
      </c>
      <c r="I577" t="e">
        <f t="array" ref="I577">INDEX('Raw Data'!$A:A,$F577,11)</f>
        <v>#NUM!</v>
      </c>
      <c r="J577" t="e">
        <f t="array" ref="J577">INDEX('Raw Data'!$A:A,F577,12)</f>
        <v>#NUM!</v>
      </c>
      <c r="K577" t="e">
        <f t="array" ref="K577">(--INDEX('Raw Data'!$A$4:B$998,F577,4))</f>
        <v>#NUM!</v>
      </c>
      <c r="L577" t="e">
        <f t="array" ref="L577">(--INDEX('Raw Data'!$A$4:B$998,F577,5))</f>
        <v>#NUM!</v>
      </c>
      <c r="M577" t="e">
        <f t="array" ref="M577">(--INDEX('Raw Data'!$A$4:D$998,$F577,6))</f>
        <v>#NUM!</v>
      </c>
      <c r="N577" t="e">
        <f t="array" ref="N577">(--INDEX('Raw Data'!$A$4:D$998,$F577,7))</f>
        <v>#NUM!</v>
      </c>
      <c r="O577" t="e">
        <f t="array" ref="O577">IF(--INDEX('Raw Data'!$A$4:E$998,$F577,8)= 0, 1, 0)</f>
        <v>#NUM!</v>
      </c>
      <c r="P577" t="e">
        <f t="array" ref="P577">IF(--INDEX('Raw Data'!$A$4:F$998,$F577,8)= 1, 1, 0)</f>
        <v>#NUM!</v>
      </c>
      <c r="Q577" t="e">
        <f t="array" ref="Q577">IF(--INDEX('Raw Data'!$A$4:G$998,$F577,13)= 1, 1, 0)</f>
        <v>#NUM!</v>
      </c>
      <c r="R577" t="e">
        <f t="array" ref="R577">IF(--INDEX('Raw Data'!$A$4:H$998,$F577,14)= 1, 1, 0)</f>
        <v>#NUM!</v>
      </c>
      <c r="S577" t="e">
        <f t="array" ref="S577">IF(--INDEX('Raw Data'!$A$4:I$998,$F577,15)= 1, 1, 0)</f>
        <v>#NUM!</v>
      </c>
      <c r="T577" t="e">
        <f t="array" ref="T577">IF(--INDEX('Raw Data'!$A$4:I$998,$F577,15)= 1, 1, 0)</f>
        <v>#NUM!</v>
      </c>
      <c r="U577" t="e">
        <f t="array" ref="U577">IF(--INDEX('Raw Data'!$A$4:J$998,$F577,16)= 1, 1, 0)</f>
        <v>#NUM!</v>
      </c>
      <c r="V577" t="e">
        <f t="array" ref="V577">IF(--INDEX('Raw Data'!$A$4:K$998,$F577,17)= 1, 1, 0)</f>
        <v>#NUM!</v>
      </c>
      <c r="W577" t="e">
        <f t="array" ref="W577">INDEX('Raw Data'!$A:$O,$F577,19)</f>
        <v>#NUM!</v>
      </c>
      <c r="X577" t="e">
        <f t="array" ref="X577">INDEX('Raw Data'!$A:$O,$F577,20)</f>
        <v>#NUM!</v>
      </c>
      <c r="Y577" t="e">
        <f t="array" ref="Y577">INDEX('Raw Data'!$A:$O,F577,21)</f>
        <v>#NUM!</v>
      </c>
      <c r="Z577" t="e">
        <f t="array" ref="Z577">INDEX('Raw Data'!$A:$O,$F577,3)</f>
        <v>#NUM!</v>
      </c>
      <c r="AA577" t="e">
        <f t="array" ref="AA577">INDEX('Raw Data'!$A:$O,$F577,22)</f>
        <v>#NUM!</v>
      </c>
      <c r="AB577" t="e">
        <f t="array" ref="AB577">INDEX('Raw Data'!$A:$O,$F577,23)</f>
        <v>#NUM!</v>
      </c>
      <c r="AR577" s="25"/>
    </row>
    <row r="578" spans="1:44" x14ac:dyDescent="0.25">
      <c r="F578" t="e">
        <f t="array" ref="F578">SMALL(IF('Raw Data'!A:A=C563,ROW('Raw Data'!A:A)),ROW('Raw Data'!$15:$15))</f>
        <v>#NUM!</v>
      </c>
      <c r="G578" t="e">
        <f t="array" ref="G578">INDEX('Raw Data'!A:A,F578,9)</f>
        <v>#NUM!</v>
      </c>
      <c r="H578" t="e">
        <f t="array" ref="H578">INDEX('Raw Data'!A:A,F578,10)</f>
        <v>#NUM!</v>
      </c>
      <c r="I578" t="e">
        <f t="array" ref="I578">INDEX('Raw Data'!$A:A,$F578,11)</f>
        <v>#NUM!</v>
      </c>
      <c r="J578" t="e">
        <f t="array" ref="J578">INDEX('Raw Data'!$A:A,F578,12)</f>
        <v>#NUM!</v>
      </c>
      <c r="K578" t="e">
        <f t="array" ref="K578">(--INDEX('Raw Data'!$A$4:B$998,F578,4))</f>
        <v>#NUM!</v>
      </c>
      <c r="L578" t="e">
        <f t="array" ref="L578">(--INDEX('Raw Data'!$A$4:B$998,F578,5))</f>
        <v>#NUM!</v>
      </c>
      <c r="M578" t="e">
        <f t="array" ref="M578">(--INDEX('Raw Data'!$A$4:D$998,$F578,6))</f>
        <v>#NUM!</v>
      </c>
      <c r="N578" t="e">
        <f t="array" ref="N578">(--INDEX('Raw Data'!$A$4:D$998,$F578,7))</f>
        <v>#NUM!</v>
      </c>
      <c r="O578" t="e">
        <f t="array" ref="O578">IF(--INDEX('Raw Data'!$A$4:E$998,$F578,8)= 0, 1, 0)</f>
        <v>#NUM!</v>
      </c>
      <c r="P578" t="e">
        <f t="array" ref="P578">IF(--INDEX('Raw Data'!$A$4:F$998,$F578,8)= 1, 1, 0)</f>
        <v>#NUM!</v>
      </c>
      <c r="Q578" t="e">
        <f t="array" ref="Q578">IF(--INDEX('Raw Data'!$A$4:G$998,$F578,13)= 1, 1, 0)</f>
        <v>#NUM!</v>
      </c>
      <c r="R578" t="e">
        <f t="array" ref="R578">IF(--INDEX('Raw Data'!$A$4:H$998,$F578,14)= 1, 1, 0)</f>
        <v>#NUM!</v>
      </c>
      <c r="S578" t="e">
        <f t="array" ref="S578">IF(--INDEX('Raw Data'!$A$4:I$998,$F578,15)= 1, 1, 0)</f>
        <v>#NUM!</v>
      </c>
      <c r="T578" t="e">
        <f t="array" ref="T578">IF(--INDEX('Raw Data'!$A$4:I$998,$F578,15)= 1, 1, 0)</f>
        <v>#NUM!</v>
      </c>
      <c r="U578" t="e">
        <f t="array" ref="U578">IF(--INDEX('Raw Data'!$A$4:J$998,$F578,16)= 1, 1, 0)</f>
        <v>#NUM!</v>
      </c>
      <c r="V578" t="e">
        <f t="array" ref="V578">IF(--INDEX('Raw Data'!$A$4:K$998,$F578,17)= 1, 1, 0)</f>
        <v>#NUM!</v>
      </c>
      <c r="W578" t="e">
        <f t="array" ref="W578">INDEX('Raw Data'!$A:$O,$F578,19)</f>
        <v>#NUM!</v>
      </c>
      <c r="X578" t="e">
        <f t="array" ref="X578">INDEX('Raw Data'!$A:$O,$F578,20)</f>
        <v>#NUM!</v>
      </c>
      <c r="Y578" t="e">
        <f t="array" ref="Y578">INDEX('Raw Data'!$A:$O,F578,21)</f>
        <v>#NUM!</v>
      </c>
      <c r="Z578" t="e">
        <f t="array" ref="Z578">INDEX('Raw Data'!$A:$O,$F578,3)</f>
        <v>#NUM!</v>
      </c>
      <c r="AA578" t="e">
        <f t="array" ref="AA578">INDEX('Raw Data'!$A:$O,$F578,22)</f>
        <v>#NUM!</v>
      </c>
      <c r="AB578" t="e">
        <f t="array" ref="AB578">INDEX('Raw Data'!$A:$O,$F578,23)</f>
        <v>#NUM!</v>
      </c>
      <c r="AR578" s="25"/>
    </row>
    <row r="579" spans="1:44" x14ac:dyDescent="0.25">
      <c r="A579" t="s">
        <v>55</v>
      </c>
      <c r="C579" s="2" t="e">
        <f>B569/B568</f>
        <v>#DIV/0!</v>
      </c>
      <c r="F579">
        <f t="array" ref="F579">COUNTIF(F564:F578,"&gt;0")</f>
        <v>0</v>
      </c>
      <c r="G579">
        <f t="array" ref="G579">SUMIF(G564:G578,"&gt;0")</f>
        <v>0</v>
      </c>
      <c r="H579">
        <f t="array" ref="H579">SUMIF(H564:H578,"&gt;0")</f>
        <v>0</v>
      </c>
      <c r="I579">
        <f t="array" ref="I579">SUMIF(I564:I578,"&gt;0")</f>
        <v>0</v>
      </c>
      <c r="J579">
        <f t="array" ref="J579">SUMIF(J564:J578,"&gt;0")</f>
        <v>0</v>
      </c>
      <c r="K579">
        <f t="array" ref="K579">SUMIF(K564:K578,"&gt;0")</f>
        <v>0</v>
      </c>
      <c r="L579">
        <f t="array" ref="L579">SUMIF(L564:L578,"&gt;0")</f>
        <v>0</v>
      </c>
      <c r="M579">
        <f t="array" ref="M579">SUMIF(M564:M578,"&gt;0")</f>
        <v>0</v>
      </c>
      <c r="N579">
        <f t="array" ref="N579">SUMIF(N564:N578,"&gt;0")</f>
        <v>0</v>
      </c>
      <c r="O579">
        <f t="array" ref="O579">SUMIF(O564:O578,"&gt;0")</f>
        <v>0</v>
      </c>
      <c r="P579">
        <f t="array" ref="P579">SUMIF(P564:P578,"&gt;0")</f>
        <v>0</v>
      </c>
      <c r="Q579">
        <f t="array" ref="Q579">SUMIF(Q564:Q578,"&gt;0")</f>
        <v>0</v>
      </c>
      <c r="R579">
        <f t="array" ref="R579">SUMIF(R564:R578,"&gt;0")</f>
        <v>0</v>
      </c>
      <c r="S579">
        <f t="array" ref="S579">SUMIF(S564:S578,"&gt;0")</f>
        <v>0</v>
      </c>
      <c r="T579">
        <f t="array" ref="T579">SUMIF(T564:T578,"&gt;0")</f>
        <v>0</v>
      </c>
      <c r="U579">
        <f t="array" ref="U579">SUMIF(U564:U578,"&gt;0")</f>
        <v>0</v>
      </c>
      <c r="V579">
        <f t="array" ref="V579">SUMIF(V564:V578,"&gt;0")</f>
        <v>0</v>
      </c>
      <c r="W579">
        <f t="array" ref="W579">SUMIF(W564:W578,"&gt;0")</f>
        <v>0</v>
      </c>
      <c r="X579">
        <f t="array" ref="X579">SUMIF(X564:X578,"&gt;0")</f>
        <v>0</v>
      </c>
      <c r="Y579">
        <f t="array" ref="Y579">SUMIF(Y564:Y578,"&gt;0")</f>
        <v>0</v>
      </c>
      <c r="Z579">
        <f t="array" ref="Z579">SUMIF(Z564:Z578,"&gt;0")</f>
        <v>0</v>
      </c>
      <c r="AA579">
        <f t="array" ref="AA579">SUMIF(AA564:AA578,"&gt;0")</f>
        <v>0</v>
      </c>
      <c r="AB579">
        <f t="array" ref="AB579">SUMIF(AB564:AB578,"&gt;0")</f>
        <v>0</v>
      </c>
      <c r="AR579" s="25"/>
    </row>
    <row r="580" spans="1:44" x14ac:dyDescent="0.25">
      <c r="A580" t="s">
        <v>58</v>
      </c>
      <c r="C580" s="2">
        <f t="array" ref="C580">IF((K579+L579)&lt;&gt;0, (L579/(K579+L579)),0)</f>
        <v>0</v>
      </c>
      <c r="J580" s="6">
        <f t="array" ref="J580">J579*10</f>
        <v>0</v>
      </c>
      <c r="K580" s="6"/>
      <c r="P580" t="s">
        <v>95</v>
      </c>
      <c r="Q580" s="2" t="e">
        <f t="array" ref="Q580">Q579/$F579</f>
        <v>#DIV/0!</v>
      </c>
      <c r="R580" s="2" t="e">
        <f t="array" ref="R580">R579/$F579</f>
        <v>#DIV/0!</v>
      </c>
      <c r="S580" s="2" t="e">
        <f t="array" ref="S580">S579/$F579</f>
        <v>#DIV/0!</v>
      </c>
      <c r="T580" s="2" t="e">
        <f t="array" ref="T580">T579/$F579</f>
        <v>#DIV/0!</v>
      </c>
      <c r="U580" s="2" t="e">
        <f t="array" ref="U580">U579/$F579</f>
        <v>#DIV/0!</v>
      </c>
      <c r="V580" s="2" t="e">
        <f t="array" ref="V580">V579/$F579</f>
        <v>#DIV/0!</v>
      </c>
      <c r="W580" s="2" t="e">
        <f t="array" ref="W580">W579/$F579</f>
        <v>#DIV/0!</v>
      </c>
      <c r="X580" s="2" t="e">
        <f t="array" ref="X580">X579/$F579</f>
        <v>#DIV/0!</v>
      </c>
      <c r="Z580" s="2" t="e">
        <f t="array" ref="Z580">Z579/F579</f>
        <v>#DIV/0!</v>
      </c>
      <c r="AR580" s="25"/>
    </row>
    <row r="581" spans="1:44" x14ac:dyDescent="0.25">
      <c r="A581" t="s">
        <v>60</v>
      </c>
      <c r="C581" s="2">
        <f t="array" ref="C581">IF((M579+N579)&lt;&gt;0, (N579/(M579+N579)),0)</f>
        <v>0</v>
      </c>
      <c r="J581" s="6"/>
      <c r="K581" s="6"/>
      <c r="AR581" s="25"/>
    </row>
    <row r="582" spans="1:44" ht="28.5" x14ac:dyDescent="0.45">
      <c r="A582" t="s">
        <v>61</v>
      </c>
      <c r="C582" s="2">
        <f t="array" ref="C582">IF(((K579+N579+L579+M579)&lt;&gt;0), ((L579+N579)/(K579+N579+L579+M579)),0)</f>
        <v>0</v>
      </c>
      <c r="F582" s="17" t="s">
        <v>106</v>
      </c>
      <c r="G582" s="17" t="e">
        <f t="array" ref="G582">'Weighting &amp; Ranking Sheet'!$B$3*Math!$C580+'Weighting &amp; Ranking Sheet'!$B$4*Math!$C581+'Weighting &amp; Ranking Sheet'!$B$5*Math!$C582+'Weighting &amp; Ranking Sheet'!$B$6*Math!$C583+'Weighting &amp; Ranking Sheet'!$B$7*Math!$C567+'Weighting &amp; Ranking Sheet'!$B$8*Math!$C579+'Weighting &amp; Ranking Sheet'!$B$9*Math!$C586+'Weighting &amp; Ranking Sheet'!$B$10*Math!$C584+'Weighting &amp; Ranking Sheet'!$B$11*Math!$C585+'Weighting &amp; Ranking Sheet'!$B$12*Math!$C587*0.01+'Weighting &amp; Ranking Sheet'!$B$13*Math!$Q580+'Weighting &amp; Ranking Sheet'!$B$14*Math!$R580+'Weighting &amp; Ranking Sheet'!$B$15*Math!$S580+'Weighting &amp; Ranking Sheet'!$B$16*Math!$T580+'Weighting &amp; Ranking Sheet'!$B$17*Math!$U580+'Weighting &amp; Ranking Sheet'!$B$18*Math!$V580+'Weighting &amp; Ranking Sheet'!$B$2*Math!$Z580</f>
        <v>#DIV/0!</v>
      </c>
      <c r="J582"/>
      <c r="K582"/>
      <c r="AR582" s="25"/>
    </row>
    <row r="583" spans="1:44" x14ac:dyDescent="0.25">
      <c r="A583" t="s">
        <v>62</v>
      </c>
      <c r="C583" s="2">
        <f t="array" ref="C583">IF((O579+P579&lt;&gt;0),(P579/(O579+P579)), 0)</f>
        <v>0</v>
      </c>
      <c r="J583"/>
      <c r="K583"/>
      <c r="AR583" s="25"/>
    </row>
    <row r="584" spans="1:44" x14ac:dyDescent="0.25">
      <c r="A584" t="s">
        <v>77</v>
      </c>
      <c r="C584" s="8" t="e">
        <f t="array" ref="C584">W579/F579</f>
        <v>#DIV/0!</v>
      </c>
      <c r="J584"/>
      <c r="K584"/>
      <c r="AR584" s="23"/>
    </row>
    <row r="585" spans="1:44" x14ac:dyDescent="0.25">
      <c r="A585" t="s">
        <v>78</v>
      </c>
      <c r="C585" s="8" t="e">
        <f t="array" ref="C585">X579/F579</f>
        <v>#DIV/0!</v>
      </c>
      <c r="J585"/>
      <c r="K585"/>
    </row>
    <row r="586" spans="1:44" x14ac:dyDescent="0.25">
      <c r="A586" t="s">
        <v>91</v>
      </c>
      <c r="C586" s="2" t="e">
        <f t="array" ref="C586">(C567+C579)/2</f>
        <v>#DIV/0!</v>
      </c>
      <c r="J586"/>
      <c r="K586"/>
    </row>
    <row r="587" spans="1:44" x14ac:dyDescent="0.25">
      <c r="A587" t="s">
        <v>92</v>
      </c>
      <c r="C587" s="8" t="e">
        <f t="array" ref="C587">Y579/F579</f>
        <v>#DIV/0!</v>
      </c>
      <c r="J587"/>
      <c r="K587"/>
    </row>
    <row r="588" spans="1:44" x14ac:dyDescent="0.25">
      <c r="C588" s="8"/>
      <c r="J588" s="6"/>
      <c r="K588" s="6"/>
    </row>
    <row r="589" spans="1:44" x14ac:dyDescent="0.25">
      <c r="C589" s="8"/>
      <c r="J589" s="6"/>
      <c r="K589" s="6"/>
    </row>
    <row r="590" spans="1:44" x14ac:dyDescent="0.25">
      <c r="J590" s="6"/>
      <c r="K590" s="6"/>
    </row>
    <row r="591" spans="1:44" x14ac:dyDescent="0.25">
      <c r="A591" t="s">
        <v>3</v>
      </c>
      <c r="C591" s="5">
        <v>1807</v>
      </c>
      <c r="F591" t="s">
        <v>25</v>
      </c>
    </row>
    <row r="592" spans="1:44" x14ac:dyDescent="0.25">
      <c r="F592" t="e">
        <f t="array" ref="F592">SMALL(IF('Raw Data'!A:A=C591,ROW('Raw Data'!A:A)),ROW('Raw Data'!$1:$1))</f>
        <v>#NUM!</v>
      </c>
      <c r="G592" t="e">
        <f t="array" ref="G592">INDEX('Raw Data'!A:A,F592,9)</f>
        <v>#NUM!</v>
      </c>
      <c r="H592" t="e">
        <f t="array" ref="H592">INDEX('Raw Data'!A:A,F592,10)</f>
        <v>#NUM!</v>
      </c>
      <c r="I592" t="e">
        <f t="array" ref="I592">INDEX('Raw Data'!$A:A,$F592,11)</f>
        <v>#NUM!</v>
      </c>
      <c r="J592" t="e">
        <f t="array" ref="J592">INDEX('Raw Data'!$A:A,F592,12)</f>
        <v>#NUM!</v>
      </c>
      <c r="K592" t="e">
        <f>(--INDEX('Raw Data'!$A$4:B$993,F592,4))</f>
        <v>#NUM!</v>
      </c>
      <c r="L592" t="e">
        <f t="array" ref="L592">(--INDEX('Raw Data'!$A$4:B$993,F592,5))</f>
        <v>#NUM!</v>
      </c>
      <c r="M592" t="e">
        <f t="array" ref="M592">(--INDEX('Raw Data'!$A$4:D$993,$F592,6))</f>
        <v>#NUM!</v>
      </c>
      <c r="N592" t="e">
        <f t="array" ref="N592">(--INDEX('Raw Data'!$A$4:D$993,$F592,7))</f>
        <v>#NUM!</v>
      </c>
      <c r="O592" t="e">
        <f t="array" ref="O592">IF(--INDEX('Raw Data'!$A$4:E$993,$F592,8)= 0, 1, 0)</f>
        <v>#NUM!</v>
      </c>
      <c r="P592" t="e">
        <f t="array" ref="P592">IF(--INDEX('Raw Data'!$A$4:F$993,$F592,8)= 1, 1, 0)</f>
        <v>#NUM!</v>
      </c>
      <c r="Q592" t="e">
        <f t="array" ref="Q592">IF(--INDEX('Raw Data'!$A$4:G$993,$F592,13)= 1, 1, 0)</f>
        <v>#NUM!</v>
      </c>
      <c r="R592" t="e">
        <f t="array" ref="R592">IF(--INDEX('Raw Data'!$A$4:H$993,$F592,14)= 1, 1, 0)</f>
        <v>#NUM!</v>
      </c>
      <c r="S592" t="e">
        <f t="array" ref="S592">IF(--INDEX('Raw Data'!$A$4:I$993,$F592,15)= 1, 1, 0)</f>
        <v>#NUM!</v>
      </c>
      <c r="T592" t="e">
        <f t="array" ref="T592">IF(--INDEX('Raw Data'!$A$4:I$993,$F592,15)= 1, 1, 0)</f>
        <v>#NUM!</v>
      </c>
      <c r="U592" t="e">
        <f t="array" ref="U592">IF(--INDEX('Raw Data'!$A$4:J$993,$F592,16)= 1, 1, 0)</f>
        <v>#NUM!</v>
      </c>
      <c r="V592" t="e">
        <f t="array" ref="V592">IF(--INDEX('Raw Data'!$A$4:K$993,$F592,17)= 1, 1, 0)</f>
        <v>#NUM!</v>
      </c>
      <c r="W592" t="e">
        <f t="array" ref="W592">INDEX('Raw Data'!$A:$O,$F592,19)</f>
        <v>#NUM!</v>
      </c>
      <c r="X592" t="e">
        <f t="array" ref="X592">INDEX('Raw Data'!$A:$O,$F592,20)</f>
        <v>#NUM!</v>
      </c>
      <c r="Y592" t="e">
        <f t="array" ref="Y592">INDEX('Raw Data'!$A:$O,F592,21)</f>
        <v>#NUM!</v>
      </c>
      <c r="Z592" t="e">
        <f t="array" ref="Z592">INDEX('Raw Data'!$A:$O,$F592,3)</f>
        <v>#NUM!</v>
      </c>
      <c r="AA592" t="e">
        <f t="array" ref="AA592">INDEX('Raw Data'!$A:$O,$F592,22)</f>
        <v>#NUM!</v>
      </c>
      <c r="AB592" t="e">
        <f t="array" ref="AB592">INDEX('Raw Data'!$A:$O,$F592,23)</f>
        <v>#NUM!</v>
      </c>
    </row>
    <row r="593" spans="1:44" x14ac:dyDescent="0.25">
      <c r="A593" t="s">
        <v>0</v>
      </c>
      <c r="B593">
        <f>G607</f>
        <v>0</v>
      </c>
      <c r="F593" t="e">
        <f t="array" ref="F593">SMALL(IF('Raw Data'!A:A=C591,ROW('Raw Data'!A:A)),ROW('Raw Data'!$2:$2))</f>
        <v>#NUM!</v>
      </c>
      <c r="G593" t="e">
        <f t="array" ref="G593">INDEX('Raw Data'!A:A,F593,9)</f>
        <v>#NUM!</v>
      </c>
      <c r="H593" t="e">
        <f t="array" ref="H593">INDEX('Raw Data'!A:A,F593,10)</f>
        <v>#NUM!</v>
      </c>
      <c r="I593" t="e">
        <f t="array" ref="I593">INDEX('Raw Data'!$A:A,$F593,11)</f>
        <v>#NUM!</v>
      </c>
      <c r="J593" t="e">
        <f t="array" ref="J593">INDEX('Raw Data'!$A:A,F593,12)</f>
        <v>#NUM!</v>
      </c>
      <c r="K593" t="e">
        <f>(--INDEX('Raw Data'!$A$4:B$993,F593,4))</f>
        <v>#NUM!</v>
      </c>
      <c r="L593" t="e">
        <f t="array" ref="L593">(--INDEX('Raw Data'!$A$4:B$993,F593,5))</f>
        <v>#NUM!</v>
      </c>
      <c r="M593" t="e">
        <f t="array" ref="M593">(--INDEX('Raw Data'!$A$4:D$993,$F593,6))</f>
        <v>#NUM!</v>
      </c>
      <c r="N593" t="e">
        <f t="array" ref="N593">(--INDEX('Raw Data'!$A$4:D$993,$F593,7))</f>
        <v>#NUM!</v>
      </c>
      <c r="O593" t="e">
        <f t="array" ref="O593">IF(--INDEX('Raw Data'!$A$4:E$993,$F593,8)= 0, 1, 0)</f>
        <v>#NUM!</v>
      </c>
      <c r="P593" t="e">
        <f t="array" ref="P593">IF(--INDEX('Raw Data'!$A$4:F$993,$F593,8)= 1, 1, 0)</f>
        <v>#NUM!</v>
      </c>
      <c r="Q593" t="e">
        <f t="array" ref="Q593">IF(--INDEX('Raw Data'!$A$4:G$993,$F593,13)= 1, 1, 0)</f>
        <v>#NUM!</v>
      </c>
      <c r="R593" t="e">
        <f t="array" ref="R593">IF(--INDEX('Raw Data'!$A$4:H$993,$F593,14)= 1, 1, 0)</f>
        <v>#NUM!</v>
      </c>
      <c r="S593" t="e">
        <f t="array" ref="S593">IF(--INDEX('Raw Data'!$A$4:I$993,$F593,15)= 1, 1, 0)</f>
        <v>#NUM!</v>
      </c>
      <c r="T593" t="e">
        <f t="array" ref="T593">IF(--INDEX('Raw Data'!$A$4:I$993,$F593,15)= 1, 1, 0)</f>
        <v>#NUM!</v>
      </c>
      <c r="U593" t="e">
        <f t="array" ref="U593">IF(--INDEX('Raw Data'!$A$4:J$993,$F593,16)= 1, 1, 0)</f>
        <v>#NUM!</v>
      </c>
      <c r="V593" t="e">
        <f t="array" ref="V593">IF(--INDEX('Raw Data'!$A$4:K$993,$F593,17)= 1, 1, 0)</f>
        <v>#NUM!</v>
      </c>
      <c r="W593" t="e">
        <f t="array" ref="W593">INDEX('Raw Data'!$A:$O,$F593,19)</f>
        <v>#NUM!</v>
      </c>
      <c r="X593" t="e">
        <f t="array" ref="X593">INDEX('Raw Data'!$A:$O,$F593,20)</f>
        <v>#NUM!</v>
      </c>
      <c r="Y593" t="e">
        <f t="array" ref="Y593">INDEX('Raw Data'!$A:$O,F593,21)</f>
        <v>#NUM!</v>
      </c>
      <c r="Z593" t="e">
        <f t="array" ref="Z593">INDEX('Raw Data'!$A:$O,$F593,3)</f>
        <v>#NUM!</v>
      </c>
      <c r="AA593" t="e">
        <f t="array" ref="AA593">INDEX('Raw Data'!$A:$O,$F593,22)</f>
        <v>#NUM!</v>
      </c>
      <c r="AB593" t="e">
        <f t="array" ref="AB593">INDEX('Raw Data'!$A:$O,$F593,23)</f>
        <v>#NUM!</v>
      </c>
    </row>
    <row r="594" spans="1:44" x14ac:dyDescent="0.25">
      <c r="A594" t="s">
        <v>1</v>
      </c>
      <c r="B594">
        <f>H607</f>
        <v>0</v>
      </c>
      <c r="F594" t="e">
        <f t="array" ref="F594">SMALL(IF('Raw Data'!A:A=C591,ROW('Raw Data'!A:A)),ROW('Raw Data'!$3:$3))</f>
        <v>#NUM!</v>
      </c>
      <c r="G594" t="e">
        <f t="array" ref="G594">INDEX('Raw Data'!A:A,F594,9)</f>
        <v>#NUM!</v>
      </c>
      <c r="H594" t="e">
        <f t="array" ref="H594">INDEX('Raw Data'!A:A,F594,10)</f>
        <v>#NUM!</v>
      </c>
      <c r="I594" t="e">
        <f t="array" ref="I594">INDEX('Raw Data'!$A:A,$F594,11)</f>
        <v>#NUM!</v>
      </c>
      <c r="J594" t="e">
        <f t="array" ref="J594">INDEX('Raw Data'!$A:A,F594,12)</f>
        <v>#NUM!</v>
      </c>
      <c r="K594" t="e">
        <f>(--INDEX('Raw Data'!$A$4:B$993,F594,4))</f>
        <v>#NUM!</v>
      </c>
      <c r="L594" t="e">
        <f t="array" ref="L594">(--INDEX('Raw Data'!$A$4:B$993,F594,5))</f>
        <v>#NUM!</v>
      </c>
      <c r="M594" t="e">
        <f t="array" ref="M594">(--INDEX('Raw Data'!$A$4:D$993,$F594,6))</f>
        <v>#NUM!</v>
      </c>
      <c r="N594" t="e">
        <f t="array" ref="N594">(--INDEX('Raw Data'!$A$4:D$993,$F594,7))</f>
        <v>#NUM!</v>
      </c>
      <c r="O594" t="e">
        <f t="array" ref="O594">IF(--INDEX('Raw Data'!$A$4:E$993,$F594,8)= 0, 1, 0)</f>
        <v>#NUM!</v>
      </c>
      <c r="P594" t="e">
        <f t="array" ref="P594">IF(--INDEX('Raw Data'!$A$4:F$993,$F594,8)= 1, 1, 0)</f>
        <v>#NUM!</v>
      </c>
      <c r="Q594" t="e">
        <f t="array" ref="Q594">IF(--INDEX('Raw Data'!$A$4:G$993,$F594,13)= 1, 1, 0)</f>
        <v>#NUM!</v>
      </c>
      <c r="R594" t="e">
        <f t="array" ref="R594">IF(--INDEX('Raw Data'!$A$4:H$993,$F594,14)= 1, 1, 0)</f>
        <v>#NUM!</v>
      </c>
      <c r="S594" t="e">
        <f t="array" ref="S594">IF(--INDEX('Raw Data'!$A$4:I$993,$F594,15)= 1, 1, 0)</f>
        <v>#NUM!</v>
      </c>
      <c r="T594" t="e">
        <f t="array" ref="T594">IF(--INDEX('Raw Data'!$A$4:I$993,$F594,15)= 1, 1, 0)</f>
        <v>#NUM!</v>
      </c>
      <c r="U594" t="e">
        <f t="array" ref="U594">IF(--INDEX('Raw Data'!$A$4:J$993,$F594,16)= 1, 1, 0)</f>
        <v>#NUM!</v>
      </c>
      <c r="V594" t="e">
        <f t="array" ref="V594">IF(--INDEX('Raw Data'!$A$4:K$993,$F594,17)= 1, 1, 0)</f>
        <v>#NUM!</v>
      </c>
      <c r="W594" t="e">
        <f t="array" ref="W594">INDEX('Raw Data'!$A:$O,$F594,19)</f>
        <v>#NUM!</v>
      </c>
      <c r="X594" t="e">
        <f t="array" ref="X594">INDEX('Raw Data'!$A:$O,$F594,20)</f>
        <v>#NUM!</v>
      </c>
      <c r="Y594" t="e">
        <f t="array" ref="Y594">INDEX('Raw Data'!$A:$O,F594,21)</f>
        <v>#NUM!</v>
      </c>
      <c r="Z594" t="e">
        <f t="array" ref="Z594">INDEX('Raw Data'!$A:$O,$F594,3)</f>
        <v>#NUM!</v>
      </c>
      <c r="AA594" t="e">
        <f t="array" ref="AA594">INDEX('Raw Data'!$A:$O,$F594,22)</f>
        <v>#NUM!</v>
      </c>
      <c r="AB594" t="e">
        <f t="array" ref="AB594">INDEX('Raw Data'!$A:$O,$F594,23)</f>
        <v>#NUM!</v>
      </c>
    </row>
    <row r="595" spans="1:44" x14ac:dyDescent="0.25">
      <c r="A595" t="s">
        <v>2</v>
      </c>
      <c r="C595" s="3" t="e">
        <f>B594/B593</f>
        <v>#DIV/0!</v>
      </c>
      <c r="F595" t="e">
        <f t="array" ref="F595">SMALL(IF('Raw Data'!A:A=C591,ROW('Raw Data'!A:A)),ROW('Raw Data'!$4:$4))</f>
        <v>#NUM!</v>
      </c>
      <c r="G595" t="e">
        <f t="array" ref="G595">INDEX('Raw Data'!A:A,F595,9)</f>
        <v>#NUM!</v>
      </c>
      <c r="H595" t="e">
        <f t="array" ref="H595">INDEX('Raw Data'!A:A,F595,10)</f>
        <v>#NUM!</v>
      </c>
      <c r="I595" t="e">
        <f t="array" ref="I595">INDEX('Raw Data'!$A:A,$F595,11)</f>
        <v>#NUM!</v>
      </c>
      <c r="J595" t="e">
        <f t="array" ref="J595">INDEX('Raw Data'!$A:A,F595,12)</f>
        <v>#NUM!</v>
      </c>
      <c r="K595" t="e">
        <f>(--INDEX('Raw Data'!$A$4:B$993,F595,4))</f>
        <v>#NUM!</v>
      </c>
      <c r="L595" t="e">
        <f t="array" ref="L595">(--INDEX('Raw Data'!$A$4:B$993,F595,5))</f>
        <v>#NUM!</v>
      </c>
      <c r="M595" t="e">
        <f t="array" ref="M595">(--INDEX('Raw Data'!$A$4:D$993,$F595,6))</f>
        <v>#NUM!</v>
      </c>
      <c r="N595" t="e">
        <f t="array" ref="N595">(--INDEX('Raw Data'!$A$4:D$993,$F595,7))</f>
        <v>#NUM!</v>
      </c>
      <c r="O595" t="e">
        <f t="array" ref="O595">IF(--INDEX('Raw Data'!$A$4:E$993,$F595,8)= 0, 1, 0)</f>
        <v>#NUM!</v>
      </c>
      <c r="P595" t="e">
        <f t="array" ref="P595">IF(--INDEX('Raw Data'!$A$4:F$993,$F595,8)= 1, 1, 0)</f>
        <v>#NUM!</v>
      </c>
      <c r="Q595" t="e">
        <f t="array" ref="Q595">IF(--INDEX('Raw Data'!$A$4:G$993,$F595,13)= 1, 1, 0)</f>
        <v>#NUM!</v>
      </c>
      <c r="R595" t="e">
        <f t="array" ref="R595">IF(--INDEX('Raw Data'!$A$4:H$993,$F595,14)= 1, 1, 0)</f>
        <v>#NUM!</v>
      </c>
      <c r="S595" t="e">
        <f t="array" ref="S595">IF(--INDEX('Raw Data'!$A$4:I$993,$F595,15)= 1, 1, 0)</f>
        <v>#NUM!</v>
      </c>
      <c r="T595" t="e">
        <f t="array" ref="T595">IF(--INDEX('Raw Data'!$A$4:I$993,$F595,15)= 1, 1, 0)</f>
        <v>#NUM!</v>
      </c>
      <c r="U595" t="e">
        <f t="array" ref="U595">IF(--INDEX('Raw Data'!$A$4:J$993,$F595,16)= 1, 1, 0)</f>
        <v>#NUM!</v>
      </c>
      <c r="V595" t="e">
        <f t="array" ref="V595">IF(--INDEX('Raw Data'!$A$4:K$993,$F595,17)= 1, 1, 0)</f>
        <v>#NUM!</v>
      </c>
      <c r="W595" t="e">
        <f t="array" ref="W595">INDEX('Raw Data'!$A:$O,$F595,19)</f>
        <v>#NUM!</v>
      </c>
      <c r="X595" t="e">
        <f t="array" ref="X595">INDEX('Raw Data'!$A:$O,$F595,20)</f>
        <v>#NUM!</v>
      </c>
      <c r="Y595" t="e">
        <f t="array" ref="Y595">INDEX('Raw Data'!$A:$O,F595,21)</f>
        <v>#NUM!</v>
      </c>
      <c r="Z595" t="e">
        <f t="array" ref="Z595">INDEX('Raw Data'!$A:$O,$F595,3)</f>
        <v>#NUM!</v>
      </c>
      <c r="AA595" t="e">
        <f t="array" ref="AA595">INDEX('Raw Data'!$A:$O,$F595,22)</f>
        <v>#NUM!</v>
      </c>
      <c r="AB595" t="e">
        <f t="array" ref="AB595">INDEX('Raw Data'!$A:$O,$F595,23)</f>
        <v>#NUM!</v>
      </c>
    </row>
    <row r="596" spans="1:44" x14ac:dyDescent="0.25">
      <c r="A596" t="s">
        <v>54</v>
      </c>
      <c r="B596">
        <f>I607</f>
        <v>0</v>
      </c>
      <c r="F596" t="e">
        <f t="array" ref="F596">SMALL(IF('Raw Data'!A:A=C591,ROW('Raw Data'!A:A)),ROW('Raw Data'!$5:$5))</f>
        <v>#NUM!</v>
      </c>
      <c r="G596" t="e">
        <f t="array" ref="G596">INDEX('Raw Data'!A:A,F596,9)</f>
        <v>#NUM!</v>
      </c>
      <c r="H596" t="e">
        <f t="array" ref="H596">INDEX('Raw Data'!A:A,F596,10)</f>
        <v>#NUM!</v>
      </c>
      <c r="I596" t="e">
        <f t="array" ref="I596">INDEX('Raw Data'!$A:A,$F596,11)</f>
        <v>#NUM!</v>
      </c>
      <c r="J596" t="e">
        <f t="array" ref="J596">INDEX('Raw Data'!$A:A,F596,12)</f>
        <v>#NUM!</v>
      </c>
      <c r="K596" t="e">
        <f>(--INDEX('Raw Data'!$A$4:B$993,F596,4))</f>
        <v>#NUM!</v>
      </c>
      <c r="L596" t="e">
        <f t="array" ref="L596">(--INDEX('Raw Data'!$A$4:B$993,F596,5))</f>
        <v>#NUM!</v>
      </c>
      <c r="M596" t="e">
        <f t="array" ref="M596">(--INDEX('Raw Data'!$A$4:D$993,$F596,6))</f>
        <v>#NUM!</v>
      </c>
      <c r="N596" t="e">
        <f t="array" ref="N596">(--INDEX('Raw Data'!$A$4:D$993,$F596,7))</f>
        <v>#NUM!</v>
      </c>
      <c r="O596" t="e">
        <f t="array" ref="O596">IF(--INDEX('Raw Data'!$A$4:E$993,$F596,8)= 0, 1, 0)</f>
        <v>#NUM!</v>
      </c>
      <c r="P596" t="e">
        <f t="array" ref="P596">IF(--INDEX('Raw Data'!$A$4:F$993,$F596,8)= 1, 1, 0)</f>
        <v>#NUM!</v>
      </c>
      <c r="Q596" t="e">
        <f t="array" ref="Q596">IF(--INDEX('Raw Data'!$A$4:G$993,$F596,13)= 1, 1, 0)</f>
        <v>#NUM!</v>
      </c>
      <c r="R596" t="e">
        <f t="array" ref="R596">IF(--INDEX('Raw Data'!$A$4:H$993,$F596,14)= 1, 1, 0)</f>
        <v>#NUM!</v>
      </c>
      <c r="S596" t="e">
        <f t="array" ref="S596">IF(--INDEX('Raw Data'!$A$4:I$993,$F596,15)= 1, 1, 0)</f>
        <v>#NUM!</v>
      </c>
      <c r="T596" t="e">
        <f t="array" ref="T596">IF(--INDEX('Raw Data'!$A$4:I$993,$F596,15)= 1, 1, 0)</f>
        <v>#NUM!</v>
      </c>
      <c r="U596" t="e">
        <f t="array" ref="U596">IF(--INDEX('Raw Data'!$A$4:J$993,$F596,16)= 1, 1, 0)</f>
        <v>#NUM!</v>
      </c>
      <c r="V596" t="e">
        <f t="array" ref="V596">IF(--INDEX('Raw Data'!$A$4:K$993,$F596,17)= 1, 1, 0)</f>
        <v>#NUM!</v>
      </c>
      <c r="W596" t="e">
        <f t="array" ref="W596">INDEX('Raw Data'!$A:$O,$F596,19)</f>
        <v>#NUM!</v>
      </c>
      <c r="X596" t="e">
        <f t="array" ref="X596">INDEX('Raw Data'!$A:$O,$F596,20)</f>
        <v>#NUM!</v>
      </c>
      <c r="Y596" t="e">
        <f t="array" ref="Y596">INDEX('Raw Data'!$A:$O,F596,21)</f>
        <v>#NUM!</v>
      </c>
      <c r="Z596" t="e">
        <f t="array" ref="Z596">INDEX('Raw Data'!$A:$O,$F596,3)</f>
        <v>#NUM!</v>
      </c>
      <c r="AA596" t="e">
        <f t="array" ref="AA596">INDEX('Raw Data'!$A:$O,$F596,22)</f>
        <v>#NUM!</v>
      </c>
      <c r="AB596" t="e">
        <f t="array" ref="AB596">INDEX('Raw Data'!$A:$O,$F596,23)</f>
        <v>#NUM!</v>
      </c>
      <c r="AR596" s="25"/>
    </row>
    <row r="597" spans="1:44" x14ac:dyDescent="0.25">
      <c r="A597" t="s">
        <v>35</v>
      </c>
      <c r="B597">
        <f>J607</f>
        <v>0</v>
      </c>
      <c r="F597" t="e">
        <f t="array" ref="F597">SMALL(IF('Raw Data'!A:A=C591,ROW('Raw Data'!A:A)),ROW('Raw Data'!$6:$6))</f>
        <v>#NUM!</v>
      </c>
      <c r="G597" t="e">
        <f t="array" ref="G597">INDEX('Raw Data'!A:A,F597,9)</f>
        <v>#NUM!</v>
      </c>
      <c r="H597" t="e">
        <f t="array" ref="H597">INDEX('Raw Data'!A:A,F597,10)</f>
        <v>#NUM!</v>
      </c>
      <c r="I597" t="e">
        <f t="array" ref="I597">INDEX('Raw Data'!$A:A,$F597,11)</f>
        <v>#NUM!</v>
      </c>
      <c r="J597" t="e">
        <f t="array" ref="J597">INDEX('Raw Data'!$A:A,F597,12)</f>
        <v>#NUM!</v>
      </c>
      <c r="K597" t="e">
        <f>(--INDEX('Raw Data'!$A$4:B$993,F597,4))</f>
        <v>#NUM!</v>
      </c>
      <c r="L597" t="e">
        <f t="array" ref="L597">(--INDEX('Raw Data'!$A$4:B$998,F597,5))</f>
        <v>#NUM!</v>
      </c>
      <c r="M597" t="e">
        <f t="array" ref="M597">(--INDEX('Raw Data'!$A$4:D$998,$F597,6))</f>
        <v>#NUM!</v>
      </c>
      <c r="N597" t="e">
        <f t="array" ref="N597">(--INDEX('Raw Data'!$A$4:D$993,$F597,7))</f>
        <v>#NUM!</v>
      </c>
      <c r="O597" t="e">
        <f t="array" ref="O597">IF(--INDEX('Raw Data'!$A$4:E$993,$F597,8)= 0, 1, 0)</f>
        <v>#NUM!</v>
      </c>
      <c r="P597" t="e">
        <f t="array" ref="P597">IF(--INDEX('Raw Data'!$A$4:F$998,$F597,8)= 1, 1, 0)</f>
        <v>#NUM!</v>
      </c>
      <c r="Q597" t="e">
        <f t="array" ref="Q597">IF(--INDEX('Raw Data'!$A$4:G$998,$F597,13)= 1, 1, 0)</f>
        <v>#NUM!</v>
      </c>
      <c r="R597" t="e">
        <f t="array" ref="R597">IF(--INDEX('Raw Data'!$A$4:H$998,$F597,14)= 1, 1, 0)</f>
        <v>#NUM!</v>
      </c>
      <c r="S597" t="e">
        <f t="array" ref="S597">IF(--INDEX('Raw Data'!$A$4:I$993,$F597,15)= 1, 1, 0)</f>
        <v>#NUM!</v>
      </c>
      <c r="T597" t="e">
        <f t="array" ref="T597">IF(--INDEX('Raw Data'!$A$4:I$998,$F597,15)= 1, 1, 0)</f>
        <v>#NUM!</v>
      </c>
      <c r="U597" t="e">
        <f t="array" ref="U597">IF(--INDEX('Raw Data'!$A$4:J$998,$F597,16)= 1, 1, 0)</f>
        <v>#NUM!</v>
      </c>
      <c r="V597" t="e">
        <f t="array" ref="V597">IF(--INDEX('Raw Data'!$A$4:K$993,$F597,17)= 1, 1, 0)</f>
        <v>#NUM!</v>
      </c>
      <c r="W597" t="e">
        <f t="array" ref="W597">INDEX('Raw Data'!$A:$O,$F597,19)</f>
        <v>#NUM!</v>
      </c>
      <c r="X597" t="e">
        <f t="array" ref="X597">INDEX('Raw Data'!$A:$O,$F597,20)</f>
        <v>#NUM!</v>
      </c>
      <c r="Y597" t="e">
        <f t="array" ref="Y597">INDEX('Raw Data'!$A:$O,F597,21)</f>
        <v>#NUM!</v>
      </c>
      <c r="Z597" t="e">
        <f t="array" ref="Z597">INDEX('Raw Data'!$A:$O,$F597,3)</f>
        <v>#NUM!</v>
      </c>
      <c r="AA597" t="e">
        <f t="array" ref="AA597">INDEX('Raw Data'!$A:$O,$F597,22)</f>
        <v>#NUM!</v>
      </c>
      <c r="AB597" t="e">
        <f t="array" ref="AB597">INDEX('Raw Data'!$A:$O,$F597,23)</f>
        <v>#NUM!</v>
      </c>
      <c r="AR597" s="25"/>
    </row>
    <row r="598" spans="1:44" ht="28.5" x14ac:dyDescent="0.45">
      <c r="F598" t="e">
        <f t="array" ref="F598">SMALL(IF('Raw Data'!A:A=C591,ROW('Raw Data'!A:A)),ROW('Raw Data'!$7:$7))</f>
        <v>#NUM!</v>
      </c>
      <c r="G598" t="e">
        <f t="array" ref="G598">INDEX('Raw Data'!A:A,F598,9)</f>
        <v>#NUM!</v>
      </c>
      <c r="H598" t="e">
        <f t="array" ref="H598">INDEX('Raw Data'!A:A,F598,10)</f>
        <v>#NUM!</v>
      </c>
      <c r="I598" t="e">
        <f t="array" ref="I598">INDEX('Raw Data'!$A:A,$F598,11)</f>
        <v>#NUM!</v>
      </c>
      <c r="J598" t="e">
        <f t="array" ref="J598">INDEX('Raw Data'!$A:A,F598,12)</f>
        <v>#NUM!</v>
      </c>
      <c r="K598" t="e">
        <f t="array" ref="K598">(--INDEX('Raw Data'!$A$4:B$998,F598,4))</f>
        <v>#NUM!</v>
      </c>
      <c r="L598" t="e">
        <f t="array" ref="L598">(--INDEX('Raw Data'!$A$4:B$998,F598,5))</f>
        <v>#NUM!</v>
      </c>
      <c r="M598" t="e">
        <f t="array" ref="M598">(--INDEX('Raw Data'!$A$4:D$998,$F598,6))</f>
        <v>#NUM!</v>
      </c>
      <c r="N598" t="e">
        <f t="array" ref="N598">(--INDEX('Raw Data'!$A$4:D$998,$F598,7))</f>
        <v>#NUM!</v>
      </c>
      <c r="O598" t="e">
        <f t="array" ref="O598">IF(--INDEX('Raw Data'!$A$4:E$998,$F598,8)= 0, 1, 0)</f>
        <v>#NUM!</v>
      </c>
      <c r="P598" t="e">
        <f t="array" ref="P598">IF(--INDEX('Raw Data'!$A$4:F$998,$F598,8)= 1, 1, 0)</f>
        <v>#NUM!</v>
      </c>
      <c r="Q598" t="e">
        <f t="array" ref="Q598">IF(--INDEX('Raw Data'!$A$4:G$998,$F598,13)= 1, 1, 0)</f>
        <v>#NUM!</v>
      </c>
      <c r="R598" t="e">
        <f t="array" ref="R598">IF(--INDEX('Raw Data'!$A$4:H$998,$F598,14)= 1, 1, 0)</f>
        <v>#NUM!</v>
      </c>
      <c r="S598" t="e">
        <f t="array" ref="S598">IF(--INDEX('Raw Data'!$A$4:I$998,$F598,15)= 1, 1, 0)</f>
        <v>#NUM!</v>
      </c>
      <c r="T598" t="e">
        <f t="array" ref="T598">IF(--INDEX('Raw Data'!$A$4:I$998,$F598,15)= 1, 1, 0)</f>
        <v>#NUM!</v>
      </c>
      <c r="U598" t="e">
        <f t="array" ref="U598">IF(--INDEX('Raw Data'!$A$4:J$998,$F598,16)= 1, 1, 0)</f>
        <v>#NUM!</v>
      </c>
      <c r="V598" t="e">
        <f t="array" ref="V598">IF(--INDEX('Raw Data'!$A$4:K$998,$F598,17)= 1, 1, 0)</f>
        <v>#NUM!</v>
      </c>
      <c r="W598" t="e">
        <f t="array" ref="W598">INDEX('Raw Data'!$A:$O,$F598,19)</f>
        <v>#NUM!</v>
      </c>
      <c r="X598" t="e">
        <f t="array" ref="X598">INDEX('Raw Data'!$A:$O,$F598,20)</f>
        <v>#NUM!</v>
      </c>
      <c r="Y598" t="e">
        <f t="array" ref="Y598">INDEX('Raw Data'!$A:$O,F598,21)</f>
        <v>#NUM!</v>
      </c>
      <c r="Z598" t="e">
        <f t="array" ref="Z598">INDEX('Raw Data'!$A:$O,$F598,3)</f>
        <v>#NUM!</v>
      </c>
      <c r="AA598" t="e">
        <f t="array" ref="AA598">INDEX('Raw Data'!$A:$O,$F598,22)</f>
        <v>#NUM!</v>
      </c>
      <c r="AB598" t="e">
        <f t="array" ref="AB598">INDEX('Raw Data'!$A:$O,$F598,23)</f>
        <v>#NUM!</v>
      </c>
      <c r="AM598" s="21"/>
    </row>
    <row r="599" spans="1:44" x14ac:dyDescent="0.25">
      <c r="F599" t="e">
        <f t="array" ref="F599">SMALL(IF('Raw Data'!A:A=C591,ROW('Raw Data'!A:A)),ROW('Raw Data'!$8:$8))</f>
        <v>#NUM!</v>
      </c>
      <c r="G599" t="e">
        <f t="array" ref="G599">INDEX('Raw Data'!A:A,F599,9)</f>
        <v>#NUM!</v>
      </c>
      <c r="H599" t="e">
        <f t="array" ref="H599">INDEX('Raw Data'!A:A,F599,10)</f>
        <v>#NUM!</v>
      </c>
      <c r="I599" t="e">
        <f t="array" ref="I599">INDEX('Raw Data'!$A:A,$F599,11)</f>
        <v>#NUM!</v>
      </c>
      <c r="J599" t="e">
        <f t="array" ref="J599">INDEX('Raw Data'!$A:A,F599,12)</f>
        <v>#NUM!</v>
      </c>
      <c r="K599" t="e">
        <f t="array" ref="K599">(--INDEX('Raw Data'!$A$4:B$998,F599,4))</f>
        <v>#NUM!</v>
      </c>
      <c r="L599" t="e">
        <f t="array" ref="L599">(--INDEX('Raw Data'!$A$4:B$998,F599,5))</f>
        <v>#NUM!</v>
      </c>
      <c r="M599" t="e">
        <f t="array" ref="M599">(--INDEX('Raw Data'!$A$4:D$998,$F599,6))</f>
        <v>#NUM!</v>
      </c>
      <c r="N599" t="e">
        <f t="array" ref="N599">(--INDEX('Raw Data'!$A$4:D$998,$F599,7))</f>
        <v>#NUM!</v>
      </c>
      <c r="O599" t="e">
        <f t="array" ref="O599">IF(--INDEX('Raw Data'!$A$4:E$998,$F599,8)= 0, 1, 0)</f>
        <v>#NUM!</v>
      </c>
      <c r="P599" t="e">
        <f t="array" ref="P599">IF(--INDEX('Raw Data'!$A$4:F$998,$F599,8)= 1, 1, 0)</f>
        <v>#NUM!</v>
      </c>
      <c r="Q599" t="e">
        <f t="array" ref="Q599">IF(--INDEX('Raw Data'!$A$4:G$998,$F599,13)= 1, 1, 0)</f>
        <v>#NUM!</v>
      </c>
      <c r="R599" t="e">
        <f t="array" ref="R599">IF(--INDEX('Raw Data'!$A$4:H$998,$F599,14)= 1, 1, 0)</f>
        <v>#NUM!</v>
      </c>
      <c r="S599" t="e">
        <f t="array" ref="S599">IF(--INDEX('Raw Data'!$A$4:I$998,$F599,15)= 1, 1, 0)</f>
        <v>#NUM!</v>
      </c>
      <c r="T599" t="e">
        <f t="array" ref="T599">IF(--INDEX('Raw Data'!$A$4:I$998,$F599,15)= 1, 1, 0)</f>
        <v>#NUM!</v>
      </c>
      <c r="U599" t="e">
        <f t="array" ref="U599">IF(--INDEX('Raw Data'!$A$4:J$998,$F599,16)= 1, 1, 0)</f>
        <v>#NUM!</v>
      </c>
      <c r="V599" t="e">
        <f t="array" ref="V599">IF(--INDEX('Raw Data'!$A$4:K$998,$F599,17)= 1, 1, 0)</f>
        <v>#NUM!</v>
      </c>
      <c r="W599" t="e">
        <f t="array" ref="W599">INDEX('Raw Data'!$A:$O,$F599,19)</f>
        <v>#NUM!</v>
      </c>
      <c r="X599" t="e">
        <f t="array" ref="X599">INDEX('Raw Data'!$A:$O,$F599,20)</f>
        <v>#NUM!</v>
      </c>
      <c r="Y599" t="e">
        <f t="array" ref="Y599">INDEX('Raw Data'!$A:$O,F599,21)</f>
        <v>#NUM!</v>
      </c>
      <c r="Z599" t="e">
        <f t="array" ref="Z599">INDEX('Raw Data'!$A:$O,$F599,3)</f>
        <v>#NUM!</v>
      </c>
      <c r="AA599" t="e">
        <f t="array" ref="AA599">INDEX('Raw Data'!$A:$O,$F599,22)</f>
        <v>#NUM!</v>
      </c>
      <c r="AB599" t="e">
        <f t="array" ref="AB599">INDEX('Raw Data'!$A:$O,$F599,23)</f>
        <v>#NUM!</v>
      </c>
    </row>
    <row r="600" spans="1:44" x14ac:dyDescent="0.25">
      <c r="F600" t="e">
        <f t="array" ref="F600">SMALL(IF('Raw Data'!A:A=C591,ROW('Raw Data'!A:A)),ROW('Raw Data'!$9:$9))</f>
        <v>#NUM!</v>
      </c>
      <c r="G600" t="e">
        <f t="array" ref="G600">INDEX('Raw Data'!A:A,F600,9)</f>
        <v>#NUM!</v>
      </c>
      <c r="H600" t="e">
        <f t="array" ref="H600">INDEX('Raw Data'!A:A,F600,10)</f>
        <v>#NUM!</v>
      </c>
      <c r="I600" t="e">
        <f t="array" ref="I600">INDEX('Raw Data'!$A:A,$F600,11)</f>
        <v>#NUM!</v>
      </c>
      <c r="J600" t="e">
        <f t="array" ref="J600">INDEX('Raw Data'!$A:A,F600,12)</f>
        <v>#NUM!</v>
      </c>
      <c r="K600" t="e">
        <f t="array" ref="K600">(--INDEX('Raw Data'!$A$4:B$998,F600,4))</f>
        <v>#NUM!</v>
      </c>
      <c r="L600" t="e">
        <f t="array" ref="L600">(--INDEX('Raw Data'!$A$4:B$998,F600,5))</f>
        <v>#NUM!</v>
      </c>
      <c r="M600" t="e">
        <f t="array" ref="M600">(--INDEX('Raw Data'!$A$4:D$998,$F600,6))</f>
        <v>#NUM!</v>
      </c>
      <c r="N600" t="e">
        <f t="array" ref="N600">(--INDEX('Raw Data'!$A$4:D$998,$F600,7))</f>
        <v>#NUM!</v>
      </c>
      <c r="O600" t="e">
        <f t="array" ref="O600">IF(--INDEX('Raw Data'!$A$4:E$998,$F600,8)= 0, 1, 0)</f>
        <v>#NUM!</v>
      </c>
      <c r="P600" t="e">
        <f t="array" ref="P600">IF(--INDEX('Raw Data'!$A$4:F$998,$F600,8)= 1, 1, 0)</f>
        <v>#NUM!</v>
      </c>
      <c r="Q600" t="e">
        <f t="array" ref="Q600">IF(--INDEX('Raw Data'!$A$4:G$998,$F600,13)= 1, 1, 0)</f>
        <v>#NUM!</v>
      </c>
      <c r="R600" t="e">
        <f t="array" ref="R600">IF(--INDEX('Raw Data'!$A$4:H$998,$F600,14)= 1, 1, 0)</f>
        <v>#NUM!</v>
      </c>
      <c r="S600" t="e">
        <f t="array" ref="S600">IF(--INDEX('Raw Data'!$A$4:I$998,$F600,15)= 1, 1, 0)</f>
        <v>#NUM!</v>
      </c>
      <c r="T600" t="e">
        <f t="array" ref="T600">IF(--INDEX('Raw Data'!$A$4:I$998,$F600,15)= 1, 1, 0)</f>
        <v>#NUM!</v>
      </c>
      <c r="U600" t="e">
        <f t="array" ref="U600">IF(--INDEX('Raw Data'!$A$4:J$998,$F600,16)= 1, 1, 0)</f>
        <v>#NUM!</v>
      </c>
      <c r="V600" t="e">
        <f t="array" ref="V600">IF(--INDEX('Raw Data'!$A$4:K$998,$F600,17)= 1, 1, 0)</f>
        <v>#NUM!</v>
      </c>
      <c r="W600" t="e">
        <f t="array" ref="W600">INDEX('Raw Data'!$A:$O,$F600,19)</f>
        <v>#NUM!</v>
      </c>
      <c r="X600" t="e">
        <f t="array" ref="X600">INDEX('Raw Data'!$A:$O,$F600,20)</f>
        <v>#NUM!</v>
      </c>
      <c r="Y600" t="e">
        <f t="array" ref="Y600">INDEX('Raw Data'!$A:$O,F600,21)</f>
        <v>#NUM!</v>
      </c>
      <c r="Z600" t="e">
        <f t="array" ref="Z600">INDEX('Raw Data'!$A:$O,$F600,3)</f>
        <v>#NUM!</v>
      </c>
      <c r="AA600" t="e">
        <f t="array" ref="AA600">INDEX('Raw Data'!$A:$O,$F600,22)</f>
        <v>#NUM!</v>
      </c>
      <c r="AB600" t="e">
        <f t="array" ref="AB600">INDEX('Raw Data'!$A:$O,$F600,23)</f>
        <v>#NUM!</v>
      </c>
    </row>
    <row r="601" spans="1:44" x14ac:dyDescent="0.25">
      <c r="F601" t="e">
        <f t="array" ref="F601">SMALL(IF('Raw Data'!A:A=C591,ROW('Raw Data'!A:A)),ROW('Raw Data'!$10:$10))</f>
        <v>#NUM!</v>
      </c>
      <c r="G601" t="e">
        <f t="array" ref="G601">INDEX('Raw Data'!A:A,F601,9)</f>
        <v>#NUM!</v>
      </c>
      <c r="H601" t="e">
        <f t="array" ref="H601">INDEX('Raw Data'!A:A,F601,10)</f>
        <v>#NUM!</v>
      </c>
      <c r="I601" t="e">
        <f t="array" ref="I601">INDEX('Raw Data'!$A:A,$F601,11)</f>
        <v>#NUM!</v>
      </c>
      <c r="J601" t="e">
        <f t="array" ref="J601">INDEX('Raw Data'!$A:A,F601,12)</f>
        <v>#NUM!</v>
      </c>
      <c r="K601" t="e">
        <f t="array" ref="K601">(--INDEX('Raw Data'!$A$4:B$998,F601,4))</f>
        <v>#NUM!</v>
      </c>
      <c r="L601" t="e">
        <f t="array" ref="L601">(--INDEX('Raw Data'!$A$4:B$998,F601,5))</f>
        <v>#NUM!</v>
      </c>
      <c r="M601" t="e">
        <f t="array" ref="M601">(--INDEX('Raw Data'!$A$4:D$998,$F601,6))</f>
        <v>#NUM!</v>
      </c>
      <c r="N601" t="e">
        <f t="array" ref="N601">(--INDEX('Raw Data'!$A$4:D$998,$F601,7))</f>
        <v>#NUM!</v>
      </c>
      <c r="O601" t="e">
        <f t="array" ref="O601">IF(--INDEX('Raw Data'!$A$4:E$998,$F601,8)= 0, 1, 0)</f>
        <v>#NUM!</v>
      </c>
      <c r="P601" t="e">
        <f t="array" ref="P601">IF(--INDEX('Raw Data'!$A$4:F$998,$F601,8)= 1, 1, 0)</f>
        <v>#NUM!</v>
      </c>
      <c r="Q601" t="e">
        <f t="array" ref="Q601">IF(--INDEX('Raw Data'!$A$4:G$998,$F601,13)= 1, 1, 0)</f>
        <v>#NUM!</v>
      </c>
      <c r="R601" t="e">
        <f t="array" ref="R601">IF(--INDEX('Raw Data'!$A$4:H$998,$F601,14)= 1, 1, 0)</f>
        <v>#NUM!</v>
      </c>
      <c r="S601" t="e">
        <f t="array" ref="S601">IF(--INDEX('Raw Data'!$A$4:I$998,$F601,15)= 1, 1, 0)</f>
        <v>#NUM!</v>
      </c>
      <c r="T601" t="e">
        <f t="array" ref="T601">IF(--INDEX('Raw Data'!$A$4:I$998,$F601,15)= 1, 1, 0)</f>
        <v>#NUM!</v>
      </c>
      <c r="U601" t="e">
        <f t="array" ref="U601">IF(--INDEX('Raw Data'!$A$4:J$998,$F601,16)= 1, 1, 0)</f>
        <v>#NUM!</v>
      </c>
      <c r="V601" t="e">
        <f t="array" ref="V601">IF(--INDEX('Raw Data'!$A$4:K$998,$F601,17)= 1, 1, 0)</f>
        <v>#NUM!</v>
      </c>
      <c r="W601" t="e">
        <f t="array" ref="W601">INDEX('Raw Data'!$A:$O,$F601,19)</f>
        <v>#NUM!</v>
      </c>
      <c r="X601" t="e">
        <f t="array" ref="X601">INDEX('Raw Data'!$A:$O,$F601,20)</f>
        <v>#NUM!</v>
      </c>
      <c r="Y601" t="e">
        <f t="array" ref="Y601">INDEX('Raw Data'!$A:$O,F601,21)</f>
        <v>#NUM!</v>
      </c>
      <c r="Z601" t="e">
        <f t="array" ref="Z601">INDEX('Raw Data'!$A:$O,$F601,3)</f>
        <v>#NUM!</v>
      </c>
      <c r="AA601" t="e">
        <f t="array" ref="AA601">INDEX('Raw Data'!$A:$O,$F601,22)</f>
        <v>#NUM!</v>
      </c>
      <c r="AB601" t="e">
        <f t="array" ref="AB601">INDEX('Raw Data'!$A:$O,$F601,23)</f>
        <v>#NUM!</v>
      </c>
    </row>
    <row r="602" spans="1:44" x14ac:dyDescent="0.25">
      <c r="F602" t="e">
        <f t="array" ref="F602">SMALL(IF('Raw Data'!A:A=C591,ROW('Raw Data'!A:A)),ROW('Raw Data'!$11:$11))</f>
        <v>#NUM!</v>
      </c>
      <c r="G602" t="e">
        <f t="array" ref="G602">INDEX('Raw Data'!A:A,F602,9)</f>
        <v>#NUM!</v>
      </c>
      <c r="H602" t="e">
        <f t="array" ref="H602">INDEX('Raw Data'!A:A,F602,10)</f>
        <v>#NUM!</v>
      </c>
      <c r="I602" t="e">
        <f t="array" ref="I602">INDEX('Raw Data'!$A:A,$F602,11)</f>
        <v>#NUM!</v>
      </c>
      <c r="J602" t="e">
        <f t="array" ref="J602">INDEX('Raw Data'!$A:A,F602,12)</f>
        <v>#NUM!</v>
      </c>
      <c r="K602" t="e">
        <f t="array" ref="K602">(--INDEX('Raw Data'!$A$4:B$998,F602,4))</f>
        <v>#NUM!</v>
      </c>
      <c r="L602" t="e">
        <f t="array" ref="L602">(--INDEX('Raw Data'!$A$4:B$998,F602,5))</f>
        <v>#NUM!</v>
      </c>
      <c r="M602" t="e">
        <f t="array" ref="M602">(--INDEX('Raw Data'!$A$4:D$998,$F602,6))</f>
        <v>#NUM!</v>
      </c>
      <c r="N602" t="e">
        <f t="array" ref="N602">(--INDEX('Raw Data'!$A$4:D$998,$F602,7))</f>
        <v>#NUM!</v>
      </c>
      <c r="O602" t="e">
        <f t="array" ref="O602">IF(--INDEX('Raw Data'!$A$4:E$998,$F602,8)= 0, 1, 0)</f>
        <v>#NUM!</v>
      </c>
      <c r="P602" t="e">
        <f t="array" ref="P602">IF(--INDEX('Raw Data'!$A$4:F$998,$F602,8)= 1, 1, 0)</f>
        <v>#NUM!</v>
      </c>
      <c r="Q602" t="e">
        <f t="array" ref="Q602">IF(--INDEX('Raw Data'!$A$4:G$998,$F602,13)= 1, 1, 0)</f>
        <v>#NUM!</v>
      </c>
      <c r="R602" t="e">
        <f t="array" ref="R602">IF(--INDEX('Raw Data'!$A$4:H$998,$F602,14)= 1, 1, 0)</f>
        <v>#NUM!</v>
      </c>
      <c r="S602" t="e">
        <f t="array" ref="S602">IF(--INDEX('Raw Data'!$A$4:I$998,$F602,15)= 1, 1, 0)</f>
        <v>#NUM!</v>
      </c>
      <c r="T602" t="e">
        <f t="array" ref="T602">IF(--INDEX('Raw Data'!$A$4:I$998,$F602,15)= 1, 1, 0)</f>
        <v>#NUM!</v>
      </c>
      <c r="U602" t="e">
        <f t="array" ref="U602">IF(--INDEX('Raw Data'!$A$4:J$998,$F602,16)= 1, 1, 0)</f>
        <v>#NUM!</v>
      </c>
      <c r="V602" t="e">
        <f t="array" ref="V602">IF(--INDEX('Raw Data'!$A$4:K$998,$F602,17)= 1, 1, 0)</f>
        <v>#NUM!</v>
      </c>
      <c r="W602" t="e">
        <f t="array" ref="W602">INDEX('Raw Data'!$A:$O,$F602,19)</f>
        <v>#NUM!</v>
      </c>
      <c r="X602" t="e">
        <f t="array" ref="X602">INDEX('Raw Data'!$A:$O,$F602,20)</f>
        <v>#NUM!</v>
      </c>
      <c r="Y602" t="e">
        <f t="array" ref="Y602">INDEX('Raw Data'!$A:$O,F602,21)</f>
        <v>#NUM!</v>
      </c>
      <c r="Z602" t="e">
        <f t="array" ref="Z602">INDEX('Raw Data'!$A:$O,$F602,3)</f>
        <v>#NUM!</v>
      </c>
      <c r="AA602" t="e">
        <f t="array" ref="AA602">INDEX('Raw Data'!$A:$O,$F602,22)</f>
        <v>#NUM!</v>
      </c>
      <c r="AB602" t="e">
        <f t="array" ref="AB602">INDEX('Raw Data'!$A:$O,$F602,23)</f>
        <v>#NUM!</v>
      </c>
    </row>
    <row r="603" spans="1:44" x14ac:dyDescent="0.25">
      <c r="F603" t="e">
        <f t="array" ref="F603">SMALL(IF('Raw Data'!A:A=C591,ROW('Raw Data'!A:A)),ROW('Raw Data'!$12:$12))</f>
        <v>#NUM!</v>
      </c>
      <c r="G603" t="e">
        <f t="array" ref="G603">INDEX('Raw Data'!A:A,F603,9)</f>
        <v>#NUM!</v>
      </c>
      <c r="H603" t="e">
        <f t="array" ref="H603">INDEX('Raw Data'!A:A,F603,10)</f>
        <v>#NUM!</v>
      </c>
      <c r="I603" t="e">
        <f t="array" ref="I603">INDEX('Raw Data'!$A:A,$F603,11)</f>
        <v>#NUM!</v>
      </c>
      <c r="J603" t="e">
        <f t="array" ref="J603">INDEX('Raw Data'!$A:A,F603,12)</f>
        <v>#NUM!</v>
      </c>
      <c r="K603" t="e">
        <f t="array" ref="K603">(--INDEX('Raw Data'!$A$4:B$998,F603,4))</f>
        <v>#NUM!</v>
      </c>
      <c r="L603" t="e">
        <f t="array" ref="L603">(--INDEX('Raw Data'!$A$4:B$998,F603,5))</f>
        <v>#NUM!</v>
      </c>
      <c r="M603" t="e">
        <f t="array" ref="M603">(--INDEX('Raw Data'!$A$4:D$998,$F603,6))</f>
        <v>#NUM!</v>
      </c>
      <c r="N603" t="e">
        <f t="array" ref="N603">(--INDEX('Raw Data'!$A$4:D$998,$F603,7))</f>
        <v>#NUM!</v>
      </c>
      <c r="O603" t="e">
        <f t="array" ref="O603">IF(--INDEX('Raw Data'!$A$4:E$998,$F603,8)= 0, 1, 0)</f>
        <v>#NUM!</v>
      </c>
      <c r="P603" t="e">
        <f t="array" ref="P603">IF(--INDEX('Raw Data'!$A$4:F$998,$F603,8)= 1, 1, 0)</f>
        <v>#NUM!</v>
      </c>
      <c r="Q603" t="e">
        <f t="array" ref="Q603">IF(--INDEX('Raw Data'!$A$4:G$998,$F603,13)= 1, 1, 0)</f>
        <v>#NUM!</v>
      </c>
      <c r="R603" t="e">
        <f t="array" ref="R603">IF(--INDEX('Raw Data'!$A$4:H$998,$F603,14)= 1, 1, 0)</f>
        <v>#NUM!</v>
      </c>
      <c r="S603" t="e">
        <f t="array" ref="S603">IF(--INDEX('Raw Data'!$A$4:I$998,$F603,15)= 1, 1, 0)</f>
        <v>#NUM!</v>
      </c>
      <c r="T603" t="e">
        <f t="array" ref="T603">IF(--INDEX('Raw Data'!$A$4:I$998,$F603,15)= 1, 1, 0)</f>
        <v>#NUM!</v>
      </c>
      <c r="U603" t="e">
        <f t="array" ref="U603">IF(--INDEX('Raw Data'!$A$4:J$998,$F603,16)= 1, 1, 0)</f>
        <v>#NUM!</v>
      </c>
      <c r="V603" t="e">
        <f t="array" ref="V603">IF(--INDEX('Raw Data'!$A$4:K$998,$F603,17)= 1, 1, 0)</f>
        <v>#NUM!</v>
      </c>
      <c r="W603" t="e">
        <f t="array" ref="W603">INDEX('Raw Data'!$A:$O,$F603,19)</f>
        <v>#NUM!</v>
      </c>
      <c r="X603" t="e">
        <f t="array" ref="X603">INDEX('Raw Data'!$A:$O,$F603,20)</f>
        <v>#NUM!</v>
      </c>
      <c r="Y603" t="e">
        <f t="array" ref="Y603">INDEX('Raw Data'!$A:$O,F603,21)</f>
        <v>#NUM!</v>
      </c>
      <c r="Z603" t="e">
        <f t="array" ref="Z603">INDEX('Raw Data'!$A:$O,$F603,3)</f>
        <v>#NUM!</v>
      </c>
      <c r="AA603" t="e">
        <f t="array" ref="AA603">INDEX('Raw Data'!$A:$O,$F603,22)</f>
        <v>#NUM!</v>
      </c>
      <c r="AB603" t="e">
        <f t="array" ref="AB603">INDEX('Raw Data'!$A:$O,$F603,23)</f>
        <v>#NUM!</v>
      </c>
    </row>
    <row r="604" spans="1:44" x14ac:dyDescent="0.25">
      <c r="F604" t="e">
        <f t="array" ref="F604">SMALL(IF('Raw Data'!A:A=C591,ROW('Raw Data'!A:A)),ROW('Raw Data'!$13:$13))</f>
        <v>#NUM!</v>
      </c>
      <c r="G604" t="e">
        <f t="array" ref="G604">INDEX('Raw Data'!A:A,F604,9)</f>
        <v>#NUM!</v>
      </c>
      <c r="H604" t="e">
        <f t="array" ref="H604">INDEX('Raw Data'!A:A,F604,10)</f>
        <v>#NUM!</v>
      </c>
      <c r="I604" t="e">
        <f t="array" ref="I604">INDEX('Raw Data'!$A:A,$F604,11)</f>
        <v>#NUM!</v>
      </c>
      <c r="J604" t="e">
        <f t="array" ref="J604">INDEX('Raw Data'!$A:A,F604,12)</f>
        <v>#NUM!</v>
      </c>
      <c r="K604" t="e">
        <f t="array" ref="K604">(--INDEX('Raw Data'!$A$4:B$998,F604,4))</f>
        <v>#NUM!</v>
      </c>
      <c r="L604" t="e">
        <f t="array" ref="L604">(--INDEX('Raw Data'!$A$4:B$998,F604,5))</f>
        <v>#NUM!</v>
      </c>
      <c r="M604" t="e">
        <f t="array" ref="M604">(--INDEX('Raw Data'!$A$4:D$998,$F604,6))</f>
        <v>#NUM!</v>
      </c>
      <c r="N604" t="e">
        <f t="array" ref="N604">(--INDEX('Raw Data'!$A$4:D$998,$F604,7))</f>
        <v>#NUM!</v>
      </c>
      <c r="O604" t="e">
        <f t="array" ref="O604">IF(--INDEX('Raw Data'!$A$4:E$998,$F604,8)= 0, 1, 0)</f>
        <v>#NUM!</v>
      </c>
      <c r="P604" t="e">
        <f t="array" ref="P604">IF(--INDEX('Raw Data'!$A$4:F$998,$F604,8)= 1, 1, 0)</f>
        <v>#NUM!</v>
      </c>
      <c r="Q604" t="e">
        <f t="array" ref="Q604">IF(--INDEX('Raw Data'!$A$4:G$998,$F604,13)= 1, 1, 0)</f>
        <v>#NUM!</v>
      </c>
      <c r="R604" t="e">
        <f t="array" ref="R604">IF(--INDEX('Raw Data'!$A$4:H$998,$F604,14)= 1, 1, 0)</f>
        <v>#NUM!</v>
      </c>
      <c r="S604" t="e">
        <f t="array" ref="S604">IF(--INDEX('Raw Data'!$A$4:I$998,$F604,15)= 1, 1, 0)</f>
        <v>#NUM!</v>
      </c>
      <c r="T604" t="e">
        <f t="array" ref="T604">IF(--INDEX('Raw Data'!$A$4:I$998,$F604,15)= 1, 1, 0)</f>
        <v>#NUM!</v>
      </c>
      <c r="U604" t="e">
        <f t="array" ref="U604">IF(--INDEX('Raw Data'!$A$4:J$998,$F604,16)= 1, 1, 0)</f>
        <v>#NUM!</v>
      </c>
      <c r="V604" t="e">
        <f t="array" ref="V604">IF(--INDEX('Raw Data'!$A$4:K$998,$F604,17)= 1, 1, 0)</f>
        <v>#NUM!</v>
      </c>
      <c r="W604" t="e">
        <f t="array" ref="W604">INDEX('Raw Data'!$A:$O,$F604,19)</f>
        <v>#NUM!</v>
      </c>
      <c r="X604" t="e">
        <f t="array" ref="X604">INDEX('Raw Data'!$A:$O,$F604,20)</f>
        <v>#NUM!</v>
      </c>
      <c r="Y604" t="e">
        <f t="array" ref="Y604">INDEX('Raw Data'!$A:$O,F604,21)</f>
        <v>#NUM!</v>
      </c>
      <c r="Z604" t="e">
        <f t="array" ref="Z604">INDEX('Raw Data'!$A:$O,$F604,3)</f>
        <v>#NUM!</v>
      </c>
      <c r="AA604" t="e">
        <f t="array" ref="AA604">INDEX('Raw Data'!$A:$O,$F604,22)</f>
        <v>#NUM!</v>
      </c>
      <c r="AB604" t="e">
        <f t="array" ref="AB604">INDEX('Raw Data'!$A:$O,$F604,23)</f>
        <v>#NUM!</v>
      </c>
    </row>
    <row r="605" spans="1:44" x14ac:dyDescent="0.25">
      <c r="F605" t="e">
        <f t="array" ref="F605">SMALL(IF('Raw Data'!A:A=C591,ROW('Raw Data'!A:A)),ROW('Raw Data'!$14:$14))</f>
        <v>#NUM!</v>
      </c>
      <c r="G605" t="e">
        <f t="array" ref="G605">INDEX('Raw Data'!A:A,F605,9)</f>
        <v>#NUM!</v>
      </c>
      <c r="H605" t="e">
        <f t="array" ref="H605">INDEX('Raw Data'!A:A,F605,10)</f>
        <v>#NUM!</v>
      </c>
      <c r="I605" t="e">
        <f t="array" ref="I605">INDEX('Raw Data'!$A:A,$F605,11)</f>
        <v>#NUM!</v>
      </c>
      <c r="J605" t="e">
        <f t="array" ref="J605">INDEX('Raw Data'!$A:A,F605,12)</f>
        <v>#NUM!</v>
      </c>
      <c r="K605" t="e">
        <f t="array" ref="K605">(--INDEX('Raw Data'!$A$4:B$998,F605,4))</f>
        <v>#NUM!</v>
      </c>
      <c r="L605" t="e">
        <f t="array" ref="L605">(--INDEX('Raw Data'!$A$4:B$998,F605,5))</f>
        <v>#NUM!</v>
      </c>
      <c r="M605" t="e">
        <f t="array" ref="M605">(--INDEX('Raw Data'!$A$4:D$998,$F605,6))</f>
        <v>#NUM!</v>
      </c>
      <c r="N605" t="e">
        <f t="array" ref="N605">(--INDEX('Raw Data'!$A$4:D$998,$F605,7))</f>
        <v>#NUM!</v>
      </c>
      <c r="O605" t="e">
        <f t="array" ref="O605">IF(--INDEX('Raw Data'!$A$4:E$998,$F605,8)= 0, 1, 0)</f>
        <v>#NUM!</v>
      </c>
      <c r="P605" t="e">
        <f t="array" ref="P605">IF(--INDEX('Raw Data'!$A$4:F$998,$F605,8)= 1, 1, 0)</f>
        <v>#NUM!</v>
      </c>
      <c r="Q605" t="e">
        <f t="array" ref="Q605">IF(--INDEX('Raw Data'!$A$4:G$998,$F605,13)= 1, 1, 0)</f>
        <v>#NUM!</v>
      </c>
      <c r="R605" t="e">
        <f t="array" ref="R605">IF(--INDEX('Raw Data'!$A$4:H$998,$F605,14)= 1, 1, 0)</f>
        <v>#NUM!</v>
      </c>
      <c r="S605" t="e">
        <f t="array" ref="S605">IF(--INDEX('Raw Data'!$A$4:I$998,$F605,15)= 1, 1, 0)</f>
        <v>#NUM!</v>
      </c>
      <c r="T605" t="e">
        <f t="array" ref="T605">IF(--INDEX('Raw Data'!$A$4:I$998,$F605,15)= 1, 1, 0)</f>
        <v>#NUM!</v>
      </c>
      <c r="U605" t="e">
        <f t="array" ref="U605">IF(--INDEX('Raw Data'!$A$4:J$998,$F605,16)= 1, 1, 0)</f>
        <v>#NUM!</v>
      </c>
      <c r="V605" t="e">
        <f t="array" ref="V605">IF(--INDEX('Raw Data'!$A$4:K$998,$F605,17)= 1, 1, 0)</f>
        <v>#NUM!</v>
      </c>
      <c r="W605" t="e">
        <f t="array" ref="W605">INDEX('Raw Data'!$A:$O,$F605,19)</f>
        <v>#NUM!</v>
      </c>
      <c r="X605" t="e">
        <f t="array" ref="X605">INDEX('Raw Data'!$A:$O,$F605,20)</f>
        <v>#NUM!</v>
      </c>
      <c r="Y605" t="e">
        <f t="array" ref="Y605">INDEX('Raw Data'!$A:$O,F605,21)</f>
        <v>#NUM!</v>
      </c>
      <c r="Z605" t="e">
        <f t="array" ref="Z605">INDEX('Raw Data'!$A:$O,$F605,3)</f>
        <v>#NUM!</v>
      </c>
      <c r="AA605" t="e">
        <f t="array" ref="AA605">INDEX('Raw Data'!$A:$O,$F605,22)</f>
        <v>#NUM!</v>
      </c>
      <c r="AB605" t="e">
        <f t="array" ref="AB605">INDEX('Raw Data'!$A:$O,$F605,23)</f>
        <v>#NUM!</v>
      </c>
    </row>
    <row r="606" spans="1:44" x14ac:dyDescent="0.25">
      <c r="F606" t="e">
        <f t="array" ref="F606">SMALL(IF('Raw Data'!A:A=C591,ROW('Raw Data'!A:A)),ROW('Raw Data'!$15:$15))</f>
        <v>#NUM!</v>
      </c>
      <c r="G606" t="e">
        <f t="array" ref="G606">INDEX('Raw Data'!A:A,F606,9)</f>
        <v>#NUM!</v>
      </c>
      <c r="H606" t="e">
        <f t="array" ref="H606">INDEX('Raw Data'!A:A,F606,10)</f>
        <v>#NUM!</v>
      </c>
      <c r="I606" t="e">
        <f t="array" ref="I606">INDEX('Raw Data'!$A:A,$F606,11)</f>
        <v>#NUM!</v>
      </c>
      <c r="J606" t="e">
        <f t="array" ref="J606">INDEX('Raw Data'!$A:A,F606,12)</f>
        <v>#NUM!</v>
      </c>
      <c r="K606" t="e">
        <f t="array" ref="K606">(--INDEX('Raw Data'!$A$4:B$998,F606,4))</f>
        <v>#NUM!</v>
      </c>
      <c r="L606" t="e">
        <f t="array" ref="L606">(--INDEX('Raw Data'!$A$4:B$998,F606,5))</f>
        <v>#NUM!</v>
      </c>
      <c r="M606" t="e">
        <f t="array" ref="M606">(--INDEX('Raw Data'!$A$4:D$998,$F606,6))</f>
        <v>#NUM!</v>
      </c>
      <c r="N606" t="e">
        <f t="array" ref="N606">(--INDEX('Raw Data'!$A$4:D$998,$F606,7))</f>
        <v>#NUM!</v>
      </c>
      <c r="O606" t="e">
        <f t="array" ref="O606">IF(--INDEX('Raw Data'!$A$4:E$998,$F606,8)= 0, 1, 0)</f>
        <v>#NUM!</v>
      </c>
      <c r="P606" t="e">
        <f t="array" ref="P606">IF(--INDEX('Raw Data'!$A$4:F$998,$F606,8)= 1, 1, 0)</f>
        <v>#NUM!</v>
      </c>
      <c r="Q606" t="e">
        <f t="array" ref="Q606">IF(--INDEX('Raw Data'!$A$4:G$998,$F606,13)= 1, 1, 0)</f>
        <v>#NUM!</v>
      </c>
      <c r="R606" t="e">
        <f t="array" ref="R606">IF(--INDEX('Raw Data'!$A$4:H$998,$F606,14)= 1, 1, 0)</f>
        <v>#NUM!</v>
      </c>
      <c r="S606" t="e">
        <f t="array" ref="S606">IF(--INDEX('Raw Data'!$A$4:I$998,$F606,15)= 1, 1, 0)</f>
        <v>#NUM!</v>
      </c>
      <c r="T606" t="e">
        <f t="array" ref="T606">IF(--INDEX('Raw Data'!$A$4:I$998,$F606,15)= 1, 1, 0)</f>
        <v>#NUM!</v>
      </c>
      <c r="U606" t="e">
        <f t="array" ref="U606">IF(--INDEX('Raw Data'!$A$4:J$998,$F606,16)= 1, 1, 0)</f>
        <v>#NUM!</v>
      </c>
      <c r="V606" t="e">
        <f t="array" ref="V606">IF(--INDEX('Raw Data'!$A$4:K$998,$F606,17)= 1, 1, 0)</f>
        <v>#NUM!</v>
      </c>
      <c r="W606" t="e">
        <f t="array" ref="W606">INDEX('Raw Data'!$A:$O,$F606,19)</f>
        <v>#NUM!</v>
      </c>
      <c r="X606" t="e">
        <f t="array" ref="X606">INDEX('Raw Data'!$A:$O,$F606,20)</f>
        <v>#NUM!</v>
      </c>
      <c r="Y606" t="e">
        <f t="array" ref="Y606">INDEX('Raw Data'!$A:$O,F606,21)</f>
        <v>#NUM!</v>
      </c>
      <c r="Z606" t="e">
        <f t="array" ref="Z606">INDEX('Raw Data'!$A:$O,$F606,3)</f>
        <v>#NUM!</v>
      </c>
      <c r="AA606" t="e">
        <f t="array" ref="AA606">INDEX('Raw Data'!$A:$O,$F606,22)</f>
        <v>#NUM!</v>
      </c>
      <c r="AB606" t="e">
        <f t="array" ref="AB606">INDEX('Raw Data'!$A:$O,$F606,23)</f>
        <v>#NUM!</v>
      </c>
    </row>
    <row r="607" spans="1:44" x14ac:dyDescent="0.25">
      <c r="A607" t="s">
        <v>55</v>
      </c>
      <c r="C607" s="2" t="e">
        <f>B597/B596</f>
        <v>#DIV/0!</v>
      </c>
      <c r="F607">
        <f t="array" ref="F607">COUNTIF(F592:F606,"&gt;0")</f>
        <v>0</v>
      </c>
      <c r="G607">
        <f t="array" ref="G607">SUMIF(G592:G606,"&gt;0")</f>
        <v>0</v>
      </c>
      <c r="H607">
        <f t="array" ref="H607">SUMIF(H592:H606,"&gt;0")</f>
        <v>0</v>
      </c>
      <c r="I607">
        <f t="array" ref="I607">SUMIF(I592:I606,"&gt;0")</f>
        <v>0</v>
      </c>
      <c r="J607">
        <f t="array" ref="J607">SUMIF(J592:J606,"&gt;0")</f>
        <v>0</v>
      </c>
      <c r="K607">
        <f t="array" ref="K607">SUMIF(K592:K606,"&gt;0")</f>
        <v>0</v>
      </c>
      <c r="L607">
        <f t="array" ref="L607">SUMIF(L592:L606,"&gt;0")</f>
        <v>0</v>
      </c>
      <c r="M607">
        <f t="array" ref="M607">SUMIF(M592:M606,"&gt;0")</f>
        <v>0</v>
      </c>
      <c r="N607">
        <f t="array" ref="N607">SUMIF(N592:N606,"&gt;0")</f>
        <v>0</v>
      </c>
      <c r="O607">
        <f t="array" ref="O607">SUMIF(O592:O606,"&gt;0")</f>
        <v>0</v>
      </c>
      <c r="P607">
        <f t="array" ref="P607">SUMIF(P592:P606,"&gt;0")</f>
        <v>0</v>
      </c>
      <c r="Q607">
        <f t="array" ref="Q607">SUMIF(Q592:Q606,"&gt;0")</f>
        <v>0</v>
      </c>
      <c r="R607">
        <f t="array" ref="R607">SUMIF(R592:R606,"&gt;0")</f>
        <v>0</v>
      </c>
      <c r="S607">
        <f t="array" ref="S607">SUMIF(S592:S606,"&gt;0")</f>
        <v>0</v>
      </c>
      <c r="T607">
        <f t="array" ref="T607">SUMIF(T592:T606,"&gt;0")</f>
        <v>0</v>
      </c>
      <c r="U607">
        <f t="array" ref="U607">SUMIF(U592:U606,"&gt;0")</f>
        <v>0</v>
      </c>
      <c r="V607">
        <f t="array" ref="V607">SUMIF(V592:V606,"&gt;0")</f>
        <v>0</v>
      </c>
      <c r="W607">
        <f t="array" ref="W607">SUMIF(W592:W606,"&gt;0")</f>
        <v>0</v>
      </c>
      <c r="X607">
        <f t="array" ref="X607">SUMIF(X592:X606,"&gt;0")</f>
        <v>0</v>
      </c>
      <c r="Y607">
        <f t="array" ref="Y607">SUMIF(Y592:Y606,"&gt;0")</f>
        <v>0</v>
      </c>
      <c r="Z607">
        <f t="array" ref="Z607">SUMIF(Z592:Z606,"&gt;0")</f>
        <v>0</v>
      </c>
      <c r="AA607">
        <f t="array" ref="AA607">SUMIF(AA592:AA606,"&gt;0")</f>
        <v>0</v>
      </c>
      <c r="AB607">
        <f t="array" ref="AB607">SUMIF(AB592:AB606,"&gt;0")</f>
        <v>0</v>
      </c>
    </row>
    <row r="608" spans="1:44" x14ac:dyDescent="0.25">
      <c r="A608" t="s">
        <v>58</v>
      </c>
      <c r="C608" s="2">
        <f t="array" ref="C608">IF((K607+L607)&lt;&gt;0, (L607/(K607+L607)),0)</f>
        <v>0</v>
      </c>
      <c r="J608" s="6">
        <f t="array" ref="J608">J607*10</f>
        <v>0</v>
      </c>
      <c r="K608" s="6"/>
      <c r="P608" t="s">
        <v>95</v>
      </c>
      <c r="Q608" s="2" t="e">
        <f t="array" ref="Q608">Q607/$F607</f>
        <v>#DIV/0!</v>
      </c>
      <c r="R608" s="2" t="e">
        <f t="array" ref="R608">R607/$F607</f>
        <v>#DIV/0!</v>
      </c>
      <c r="S608" s="2" t="e">
        <f t="array" ref="S608">S607/$F607</f>
        <v>#DIV/0!</v>
      </c>
      <c r="T608" s="2" t="e">
        <f t="array" ref="T608">T607/$F607</f>
        <v>#DIV/0!</v>
      </c>
      <c r="U608" s="2" t="e">
        <f t="array" ref="U608">U607/$F607</f>
        <v>#DIV/0!</v>
      </c>
      <c r="V608" s="2" t="e">
        <f t="array" ref="V608">V607/$F607</f>
        <v>#DIV/0!</v>
      </c>
      <c r="W608" s="2" t="e">
        <f t="array" ref="W608">W607/$F607</f>
        <v>#DIV/0!</v>
      </c>
      <c r="X608" s="2" t="e">
        <f t="array" ref="X608">X607/$F607</f>
        <v>#DIV/0!</v>
      </c>
      <c r="Z608" s="2" t="e">
        <f t="array" ref="Z608">Z607/F607</f>
        <v>#DIV/0!</v>
      </c>
    </row>
    <row r="609" spans="1:44" x14ac:dyDescent="0.25">
      <c r="A609" t="s">
        <v>60</v>
      </c>
      <c r="C609" s="2">
        <f t="array" ref="C609">IF((M607+N607)&lt;&gt;0, (N607/(M607+N607)),0)</f>
        <v>0</v>
      </c>
      <c r="J609" s="6"/>
      <c r="K609" s="6"/>
      <c r="AR609" s="25"/>
    </row>
    <row r="610" spans="1:44" ht="28.5" x14ac:dyDescent="0.45">
      <c r="A610" t="s">
        <v>61</v>
      </c>
      <c r="C610" s="2">
        <f t="array" ref="C610">IF(((K607+N607+L607+M607)&lt;&gt;0), ((L607+N607)/(K607+N607+L607+M607)),0)</f>
        <v>0</v>
      </c>
      <c r="F610" s="17" t="s">
        <v>106</v>
      </c>
      <c r="G610" s="17" t="e">
        <f t="array" ref="G610">'Weighting &amp; Ranking Sheet'!$B$3*Math!$C608+'Weighting &amp; Ranking Sheet'!$B$4*Math!$C609+'Weighting &amp; Ranking Sheet'!$B$5*Math!$C610+'Weighting &amp; Ranking Sheet'!$B$6*Math!$C611+'Weighting &amp; Ranking Sheet'!$B$7*Math!$C595+'Weighting &amp; Ranking Sheet'!$B$8*Math!$C607+'Weighting &amp; Ranking Sheet'!$B$9*Math!$C614+'Weighting &amp; Ranking Sheet'!$B$10*Math!$C612+'Weighting &amp; Ranking Sheet'!$B$11*Math!$C613+'Weighting &amp; Ranking Sheet'!$B$12*Math!$C615*0.01+'Weighting &amp; Ranking Sheet'!$B$13*Math!$Q608+'Weighting &amp; Ranking Sheet'!$B$14*Math!$R608+'Weighting &amp; Ranking Sheet'!$B$15*Math!$S608+'Weighting &amp; Ranking Sheet'!$B$16*Math!$T608+'Weighting &amp; Ranking Sheet'!$B$17*Math!$U608+'Weighting &amp; Ranking Sheet'!$B$18*Math!$V608+'Weighting &amp; Ranking Sheet'!$B$2*Math!$Z608</f>
        <v>#DIV/0!</v>
      </c>
      <c r="J610"/>
      <c r="K610"/>
      <c r="AR610" s="25"/>
    </row>
    <row r="611" spans="1:44" x14ac:dyDescent="0.25">
      <c r="A611" t="s">
        <v>62</v>
      </c>
      <c r="C611" s="2">
        <f t="array" ref="C611">IF((O607+P607&lt;&gt;0),(P607/(O607+P607)), 0)</f>
        <v>0</v>
      </c>
      <c r="J611"/>
      <c r="K611"/>
      <c r="AR611" s="25"/>
    </row>
    <row r="612" spans="1:44" x14ac:dyDescent="0.25">
      <c r="A612" t="s">
        <v>77</v>
      </c>
      <c r="C612" s="8" t="e">
        <f t="array" ref="C612">W607/F607</f>
        <v>#DIV/0!</v>
      </c>
      <c r="J612"/>
      <c r="K612"/>
      <c r="AR612" s="23"/>
    </row>
    <row r="613" spans="1:44" x14ac:dyDescent="0.25">
      <c r="A613" t="s">
        <v>78</v>
      </c>
      <c r="C613" s="8" t="e">
        <f t="array" ref="C613">X607/F607</f>
        <v>#DIV/0!</v>
      </c>
      <c r="J613"/>
      <c r="K613"/>
    </row>
    <row r="614" spans="1:44" x14ac:dyDescent="0.25">
      <c r="A614" t="s">
        <v>91</v>
      </c>
      <c r="C614" s="2" t="e">
        <f t="array" ref="C614">(C595+C607)/2</f>
        <v>#DIV/0!</v>
      </c>
      <c r="J614"/>
      <c r="K614"/>
    </row>
    <row r="615" spans="1:44" x14ac:dyDescent="0.25">
      <c r="A615" t="s">
        <v>92</v>
      </c>
      <c r="C615" s="8" t="e">
        <f t="array" ref="C615">Y607/F607</f>
        <v>#DIV/0!</v>
      </c>
      <c r="J615"/>
      <c r="K615"/>
    </row>
    <row r="616" spans="1:44" x14ac:dyDescent="0.25">
      <c r="C616" s="8"/>
      <c r="J616"/>
      <c r="K616"/>
    </row>
    <row r="617" spans="1:44" x14ac:dyDescent="0.25">
      <c r="C617" s="8"/>
      <c r="J617"/>
      <c r="K617"/>
    </row>
    <row r="618" spans="1:44" x14ac:dyDescent="0.25">
      <c r="J618" s="6"/>
      <c r="K618" s="6"/>
    </row>
    <row r="619" spans="1:44" x14ac:dyDescent="0.25">
      <c r="A619" t="s">
        <v>3</v>
      </c>
      <c r="C619" s="5">
        <v>1923</v>
      </c>
      <c r="F619" t="s">
        <v>26</v>
      </c>
    </row>
    <row r="620" spans="1:44" x14ac:dyDescent="0.25">
      <c r="F620" t="e">
        <f t="array" ref="F620">SMALL(IF('Raw Data'!A:A=C619,ROW('Raw Data'!A:A)),ROW('Raw Data'!$1:$1))</f>
        <v>#NUM!</v>
      </c>
      <c r="G620" t="e">
        <f t="array" ref="G620">INDEX('Raw Data'!A:A,F620,9)</f>
        <v>#NUM!</v>
      </c>
      <c r="H620" t="e">
        <f t="array" ref="H620">INDEX('Raw Data'!A:A,F620,10)</f>
        <v>#NUM!</v>
      </c>
      <c r="I620" t="e">
        <f t="array" ref="I620">INDEX('Raw Data'!$A:A,$F620,11)</f>
        <v>#NUM!</v>
      </c>
      <c r="J620" t="e">
        <f t="array" ref="J620">INDEX('Raw Data'!$A:A,F620,12)</f>
        <v>#NUM!</v>
      </c>
      <c r="K620" t="e">
        <f>(--INDEX('Raw Data'!$A$4:B$993,F620,4))</f>
        <v>#NUM!</v>
      </c>
      <c r="L620" t="e">
        <f t="array" ref="L620">(--INDEX('Raw Data'!$A$4:B$993,F620,5))</f>
        <v>#NUM!</v>
      </c>
      <c r="M620" t="e">
        <f t="array" ref="M620">(--INDEX('Raw Data'!$A$4:D$993,$F620,6))</f>
        <v>#NUM!</v>
      </c>
      <c r="N620" t="e">
        <f t="array" ref="N620">(--INDEX('Raw Data'!$A$4:D$993,$F620,7))</f>
        <v>#NUM!</v>
      </c>
      <c r="O620" t="e">
        <f t="array" ref="O620">IF(--INDEX('Raw Data'!$A$4:E$993,$F620,8)= 0, 1, 0)</f>
        <v>#NUM!</v>
      </c>
      <c r="P620" t="e">
        <f t="array" ref="P620">IF(--INDEX('Raw Data'!$A$4:F$993,$F620,8)= 1, 1, 0)</f>
        <v>#NUM!</v>
      </c>
      <c r="Q620" t="e">
        <f t="array" ref="Q620">IF(--INDEX('Raw Data'!$A$4:G$993,$F620,13)= 1, 1, 0)</f>
        <v>#NUM!</v>
      </c>
      <c r="R620" t="e">
        <f t="array" ref="R620">IF(--INDEX('Raw Data'!$A$4:H$993,$F620,14)= 1, 1, 0)</f>
        <v>#NUM!</v>
      </c>
      <c r="S620" t="e">
        <f t="array" ref="S620">IF(--INDEX('Raw Data'!$A$4:I$993,$F620,15)= 1, 1, 0)</f>
        <v>#NUM!</v>
      </c>
      <c r="T620" t="e">
        <f t="array" ref="T620">IF(--INDEX('Raw Data'!$A$4:I$993,$F620,15)= 1, 1, 0)</f>
        <v>#NUM!</v>
      </c>
      <c r="U620" t="e">
        <f t="array" ref="U620">IF(--INDEX('Raw Data'!$A$4:J$993,$F620,16)= 1, 1, 0)</f>
        <v>#NUM!</v>
      </c>
      <c r="V620" t="e">
        <f t="array" ref="V620">IF(--INDEX('Raw Data'!$A$4:K$993,$F620,17)= 1, 1, 0)</f>
        <v>#NUM!</v>
      </c>
      <c r="W620" t="e">
        <f t="array" ref="W620">INDEX('Raw Data'!$A:$O,$F620,19)</f>
        <v>#NUM!</v>
      </c>
      <c r="X620" t="e">
        <f t="array" ref="X620">INDEX('Raw Data'!$A:$O,$F620,20)</f>
        <v>#NUM!</v>
      </c>
      <c r="Y620" t="e">
        <f t="array" ref="Y620">INDEX('Raw Data'!$A:$O,F620,21)</f>
        <v>#NUM!</v>
      </c>
      <c r="Z620" t="e">
        <f t="array" ref="Z620">INDEX('Raw Data'!$A:$O,$F620,3)</f>
        <v>#NUM!</v>
      </c>
      <c r="AA620" t="e">
        <f t="array" ref="AA620">INDEX('Raw Data'!$A:$O,$F620,22)</f>
        <v>#NUM!</v>
      </c>
      <c r="AB620" t="e">
        <f t="array" ref="AB620">INDEX('Raw Data'!$A:$O,$F620,23)</f>
        <v>#NUM!</v>
      </c>
    </row>
    <row r="621" spans="1:44" x14ac:dyDescent="0.25">
      <c r="A621" t="s">
        <v>0</v>
      </c>
      <c r="B621">
        <f>G635</f>
        <v>0</v>
      </c>
      <c r="F621" t="e">
        <f t="array" ref="F621">SMALL(IF('Raw Data'!A:A=C619,ROW('Raw Data'!A:A)),ROW('Raw Data'!$2:$2))</f>
        <v>#NUM!</v>
      </c>
      <c r="G621" t="e">
        <f t="array" ref="G621">INDEX('Raw Data'!A:A,F621,9)</f>
        <v>#NUM!</v>
      </c>
      <c r="H621" t="e">
        <f t="array" ref="H621">INDEX('Raw Data'!A:A,F621,10)</f>
        <v>#NUM!</v>
      </c>
      <c r="I621" t="e">
        <f t="array" ref="I621">INDEX('Raw Data'!$A:A,$F621,11)</f>
        <v>#NUM!</v>
      </c>
      <c r="J621" t="e">
        <f t="array" ref="J621">INDEX('Raw Data'!$A:A,F621,12)</f>
        <v>#NUM!</v>
      </c>
      <c r="K621" t="e">
        <f>(--INDEX('Raw Data'!$A$4:B$993,F621,4))</f>
        <v>#NUM!</v>
      </c>
      <c r="L621" t="e">
        <f t="array" ref="L621">(--INDEX('Raw Data'!$A$4:B$993,F621,5))</f>
        <v>#NUM!</v>
      </c>
      <c r="M621" t="e">
        <f t="array" ref="M621">(--INDEX('Raw Data'!$A$4:D$993,$F621,6))</f>
        <v>#NUM!</v>
      </c>
      <c r="N621" t="e">
        <f t="array" ref="N621">(--INDEX('Raw Data'!$A$4:D$993,$F621,7))</f>
        <v>#NUM!</v>
      </c>
      <c r="O621" t="e">
        <f t="array" ref="O621">IF(--INDEX('Raw Data'!$A$4:E$993,$F621,8)= 0, 1, 0)</f>
        <v>#NUM!</v>
      </c>
      <c r="P621" t="e">
        <f t="array" ref="P621">IF(--INDEX('Raw Data'!$A$4:F$993,$F621,8)= 1, 1, 0)</f>
        <v>#NUM!</v>
      </c>
      <c r="Q621" t="e">
        <f t="array" ref="Q621">IF(--INDEX('Raw Data'!$A$4:G$993,$F621,13)= 1, 1, 0)</f>
        <v>#NUM!</v>
      </c>
      <c r="R621" t="e">
        <f t="array" ref="R621">IF(--INDEX('Raw Data'!$A$4:H$993,$F621,14)= 1, 1, 0)</f>
        <v>#NUM!</v>
      </c>
      <c r="S621" t="e">
        <f t="array" ref="S621">IF(--INDEX('Raw Data'!$A$4:I$993,$F621,15)= 1, 1, 0)</f>
        <v>#NUM!</v>
      </c>
      <c r="T621" t="e">
        <f t="array" ref="T621">IF(--INDEX('Raw Data'!$A$4:I$993,$F621,15)= 1, 1, 0)</f>
        <v>#NUM!</v>
      </c>
      <c r="U621" t="e">
        <f t="array" ref="U621">IF(--INDEX('Raw Data'!$A$4:J$993,$F621,16)= 1, 1, 0)</f>
        <v>#NUM!</v>
      </c>
      <c r="V621" t="e">
        <f t="array" ref="V621">IF(--INDEX('Raw Data'!$A$4:K$993,$F621,17)= 1, 1, 0)</f>
        <v>#NUM!</v>
      </c>
      <c r="W621" t="e">
        <f t="array" ref="W621">INDEX('Raw Data'!$A:$O,$F621,19)</f>
        <v>#NUM!</v>
      </c>
      <c r="X621" t="e">
        <f t="array" ref="X621">INDEX('Raw Data'!$A:$O,$F621,20)</f>
        <v>#NUM!</v>
      </c>
      <c r="Y621" t="e">
        <f t="array" ref="Y621">INDEX('Raw Data'!$A:$O,F621,21)</f>
        <v>#NUM!</v>
      </c>
      <c r="Z621" t="e">
        <f t="array" ref="Z621">INDEX('Raw Data'!$A:$O,$F621,3)</f>
        <v>#NUM!</v>
      </c>
      <c r="AA621" t="e">
        <f t="array" ref="AA621">INDEX('Raw Data'!$A:$O,$F621,22)</f>
        <v>#NUM!</v>
      </c>
      <c r="AB621" t="e">
        <f t="array" ref="AB621">INDEX('Raw Data'!$A:$O,$F621,23)</f>
        <v>#NUM!</v>
      </c>
    </row>
    <row r="622" spans="1:44" x14ac:dyDescent="0.25">
      <c r="A622" t="s">
        <v>1</v>
      </c>
      <c r="B622">
        <f>H635</f>
        <v>0</v>
      </c>
      <c r="F622" t="e">
        <f t="array" ref="F622">SMALL(IF('Raw Data'!A:A=C619,ROW('Raw Data'!A:A)),ROW('Raw Data'!$3:$3))</f>
        <v>#NUM!</v>
      </c>
      <c r="G622" t="e">
        <f t="array" ref="G622">INDEX('Raw Data'!A:A,F622,9)</f>
        <v>#NUM!</v>
      </c>
      <c r="H622" t="e">
        <f t="array" ref="H622">INDEX('Raw Data'!A:A,F622,10)</f>
        <v>#NUM!</v>
      </c>
      <c r="I622" t="e">
        <f t="array" ref="I622">INDEX('Raw Data'!$A:A,$F622,11)</f>
        <v>#NUM!</v>
      </c>
      <c r="J622" t="e">
        <f t="array" ref="J622">INDEX('Raw Data'!$A:A,F622,12)</f>
        <v>#NUM!</v>
      </c>
      <c r="K622" t="e">
        <f>(--INDEX('Raw Data'!$A$4:B$993,F622,4))</f>
        <v>#NUM!</v>
      </c>
      <c r="L622" t="e">
        <f t="array" ref="L622">(--INDEX('Raw Data'!$A$4:B$993,F622,5))</f>
        <v>#NUM!</v>
      </c>
      <c r="M622" t="e">
        <f t="array" ref="M622">(--INDEX('Raw Data'!$A$4:D$993,$F622,6))</f>
        <v>#NUM!</v>
      </c>
      <c r="N622" t="e">
        <f t="array" ref="N622">(--INDEX('Raw Data'!$A$4:D$993,$F622,7))</f>
        <v>#NUM!</v>
      </c>
      <c r="O622" t="e">
        <f t="array" ref="O622">IF(--INDEX('Raw Data'!$A$4:E$993,$F622,8)= 0, 1, 0)</f>
        <v>#NUM!</v>
      </c>
      <c r="P622" t="e">
        <f t="array" ref="P622">IF(--INDEX('Raw Data'!$A$4:F$993,$F622,8)= 1, 1, 0)</f>
        <v>#NUM!</v>
      </c>
      <c r="Q622" t="e">
        <f t="array" ref="Q622">IF(--INDEX('Raw Data'!$A$4:G$993,$F622,13)= 1, 1, 0)</f>
        <v>#NUM!</v>
      </c>
      <c r="R622" t="e">
        <f t="array" ref="R622">IF(--INDEX('Raw Data'!$A$4:H$993,$F622,14)= 1, 1, 0)</f>
        <v>#NUM!</v>
      </c>
      <c r="S622" t="e">
        <f t="array" ref="S622">IF(--INDEX('Raw Data'!$A$4:I$993,$F622,15)= 1, 1, 0)</f>
        <v>#NUM!</v>
      </c>
      <c r="T622" t="e">
        <f t="array" ref="T622">IF(--INDEX('Raw Data'!$A$4:I$993,$F622,15)= 1, 1, 0)</f>
        <v>#NUM!</v>
      </c>
      <c r="U622" t="e">
        <f t="array" ref="U622">IF(--INDEX('Raw Data'!$A$4:J$993,$F622,16)= 1, 1, 0)</f>
        <v>#NUM!</v>
      </c>
      <c r="V622" t="e">
        <f t="array" ref="V622">IF(--INDEX('Raw Data'!$A$4:K$993,$F622,17)= 1, 1, 0)</f>
        <v>#NUM!</v>
      </c>
      <c r="W622" t="e">
        <f t="array" ref="W622">INDEX('Raw Data'!$A:$O,$F622,19)</f>
        <v>#NUM!</v>
      </c>
      <c r="X622" t="e">
        <f t="array" ref="X622">INDEX('Raw Data'!$A:$O,$F622,20)</f>
        <v>#NUM!</v>
      </c>
      <c r="Y622" t="e">
        <f t="array" ref="Y622">INDEX('Raw Data'!$A:$O,F622,21)</f>
        <v>#NUM!</v>
      </c>
      <c r="Z622" t="e">
        <f t="array" ref="Z622">INDEX('Raw Data'!$A:$O,$F622,3)</f>
        <v>#NUM!</v>
      </c>
      <c r="AA622" t="e">
        <f t="array" ref="AA622">INDEX('Raw Data'!$A:$O,$F622,22)</f>
        <v>#NUM!</v>
      </c>
      <c r="AB622" t="e">
        <f t="array" ref="AB622">INDEX('Raw Data'!$A:$O,$F622,23)</f>
        <v>#NUM!</v>
      </c>
    </row>
    <row r="623" spans="1:44" x14ac:dyDescent="0.25">
      <c r="A623" t="s">
        <v>2</v>
      </c>
      <c r="C623" s="3" t="e">
        <f>B622/B621</f>
        <v>#DIV/0!</v>
      </c>
      <c r="F623" t="e">
        <f t="array" ref="F623">SMALL(IF('Raw Data'!A:A=C619,ROW('Raw Data'!A:A)),ROW('Raw Data'!$4:$4))</f>
        <v>#NUM!</v>
      </c>
      <c r="G623" t="e">
        <f t="array" ref="G623">INDEX('Raw Data'!A:A,F623,9)</f>
        <v>#NUM!</v>
      </c>
      <c r="H623" t="e">
        <f t="array" ref="H623">INDEX('Raw Data'!A:A,F623,10)</f>
        <v>#NUM!</v>
      </c>
      <c r="I623" t="e">
        <f t="array" ref="I623">INDEX('Raw Data'!$A:A,$F623,11)</f>
        <v>#NUM!</v>
      </c>
      <c r="J623" t="e">
        <f t="array" ref="J623">INDEX('Raw Data'!$A:A,F623,12)</f>
        <v>#NUM!</v>
      </c>
      <c r="K623" t="e">
        <f>(--INDEX('Raw Data'!$A$4:B$993,F623,4))</f>
        <v>#NUM!</v>
      </c>
      <c r="L623" t="e">
        <f t="array" ref="L623">(--INDEX('Raw Data'!$A$4:B$993,F623,5))</f>
        <v>#NUM!</v>
      </c>
      <c r="M623" t="e">
        <f t="array" ref="M623">(--INDEX('Raw Data'!$A$4:D$993,$F623,6))</f>
        <v>#NUM!</v>
      </c>
      <c r="N623" t="e">
        <f t="array" ref="N623">(--INDEX('Raw Data'!$A$4:D$993,$F623,7))</f>
        <v>#NUM!</v>
      </c>
      <c r="O623" t="e">
        <f t="array" ref="O623">IF(--INDEX('Raw Data'!$A$4:E$993,$F623,8)= 0, 1, 0)</f>
        <v>#NUM!</v>
      </c>
      <c r="P623" t="e">
        <f t="array" ref="P623">IF(--INDEX('Raw Data'!$A$4:F$993,$F623,8)= 1, 1, 0)</f>
        <v>#NUM!</v>
      </c>
      <c r="Q623" t="e">
        <f t="array" ref="Q623">IF(--INDEX('Raw Data'!$A$4:G$993,$F623,13)= 1, 1, 0)</f>
        <v>#NUM!</v>
      </c>
      <c r="R623" t="e">
        <f t="array" ref="R623">IF(--INDEX('Raw Data'!$A$4:H$993,$F623,14)= 1, 1, 0)</f>
        <v>#NUM!</v>
      </c>
      <c r="S623" t="e">
        <f t="array" ref="S623">IF(--INDEX('Raw Data'!$A$4:I$993,$F623,15)= 1, 1, 0)</f>
        <v>#NUM!</v>
      </c>
      <c r="T623" t="e">
        <f t="array" ref="T623">IF(--INDEX('Raw Data'!$A$4:I$993,$F623,15)= 1, 1, 0)</f>
        <v>#NUM!</v>
      </c>
      <c r="U623" t="e">
        <f t="array" ref="U623">IF(--INDEX('Raw Data'!$A$4:J$993,$F623,16)= 1, 1, 0)</f>
        <v>#NUM!</v>
      </c>
      <c r="V623" t="e">
        <f t="array" ref="V623">IF(--INDEX('Raw Data'!$A$4:K$993,$F623,17)= 1, 1, 0)</f>
        <v>#NUM!</v>
      </c>
      <c r="W623" t="e">
        <f t="array" ref="W623">INDEX('Raw Data'!$A:$O,$F623,19)</f>
        <v>#NUM!</v>
      </c>
      <c r="X623" t="e">
        <f t="array" ref="X623">INDEX('Raw Data'!$A:$O,$F623,20)</f>
        <v>#NUM!</v>
      </c>
      <c r="Y623" t="e">
        <f t="array" ref="Y623">INDEX('Raw Data'!$A:$O,F623,21)</f>
        <v>#NUM!</v>
      </c>
      <c r="Z623" t="e">
        <f t="array" ref="Z623">INDEX('Raw Data'!$A:$O,$F623,3)</f>
        <v>#NUM!</v>
      </c>
      <c r="AA623" t="e">
        <f t="array" ref="AA623">INDEX('Raw Data'!$A:$O,$F623,22)</f>
        <v>#NUM!</v>
      </c>
      <c r="AB623" t="e">
        <f t="array" ref="AB623">INDEX('Raw Data'!$A:$O,$F623,23)</f>
        <v>#NUM!</v>
      </c>
    </row>
    <row r="624" spans="1:44" x14ac:dyDescent="0.25">
      <c r="A624" t="s">
        <v>54</v>
      </c>
      <c r="B624">
        <f>I635</f>
        <v>0</v>
      </c>
      <c r="F624" t="e">
        <f t="array" ref="F624">SMALL(IF('Raw Data'!A:A=C619,ROW('Raw Data'!A:A)),ROW('Raw Data'!$5:$5))</f>
        <v>#NUM!</v>
      </c>
      <c r="G624" t="e">
        <f t="array" ref="G624">INDEX('Raw Data'!A:A,F624,9)</f>
        <v>#NUM!</v>
      </c>
      <c r="H624" t="e">
        <f t="array" ref="H624">INDEX('Raw Data'!A:A,F624,10)</f>
        <v>#NUM!</v>
      </c>
      <c r="I624" t="e">
        <f t="array" ref="I624">INDEX('Raw Data'!$A:A,$F624,11)</f>
        <v>#NUM!</v>
      </c>
      <c r="J624" t="e">
        <f t="array" ref="J624">INDEX('Raw Data'!$A:A,F624,12)</f>
        <v>#NUM!</v>
      </c>
      <c r="K624" t="e">
        <f>(--INDEX('Raw Data'!$A$4:B$993,F624,4))</f>
        <v>#NUM!</v>
      </c>
      <c r="L624" t="e">
        <f t="array" ref="L624">(--INDEX('Raw Data'!$A$4:B$993,F624,5))</f>
        <v>#NUM!</v>
      </c>
      <c r="M624" t="e">
        <f t="array" ref="M624">(--INDEX('Raw Data'!$A$4:D$993,$F624,6))</f>
        <v>#NUM!</v>
      </c>
      <c r="N624" t="e">
        <f t="array" ref="N624">(--INDEX('Raw Data'!$A$4:D$993,$F624,7))</f>
        <v>#NUM!</v>
      </c>
      <c r="O624" t="e">
        <f t="array" ref="O624">IF(--INDEX('Raw Data'!$A$4:E$993,$F624,8)= 0, 1, 0)</f>
        <v>#NUM!</v>
      </c>
      <c r="P624" t="e">
        <f t="array" ref="P624">IF(--INDEX('Raw Data'!$A$4:F$993,$F624,8)= 1, 1, 0)</f>
        <v>#NUM!</v>
      </c>
      <c r="Q624" t="e">
        <f t="array" ref="Q624">IF(--INDEX('Raw Data'!$A$4:G$993,$F624,13)= 1, 1, 0)</f>
        <v>#NUM!</v>
      </c>
      <c r="R624" t="e">
        <f t="array" ref="R624">IF(--INDEX('Raw Data'!$A$4:H$993,$F624,14)= 1, 1, 0)</f>
        <v>#NUM!</v>
      </c>
      <c r="S624" t="e">
        <f t="array" ref="S624">IF(--INDEX('Raw Data'!$A$4:I$993,$F624,15)= 1, 1, 0)</f>
        <v>#NUM!</v>
      </c>
      <c r="T624" t="e">
        <f t="array" ref="T624">IF(--INDEX('Raw Data'!$A$4:I$993,$F624,15)= 1, 1, 0)</f>
        <v>#NUM!</v>
      </c>
      <c r="U624" t="e">
        <f t="array" ref="U624">IF(--INDEX('Raw Data'!$A$4:J$993,$F624,16)= 1, 1, 0)</f>
        <v>#NUM!</v>
      </c>
      <c r="V624" t="e">
        <f t="array" ref="V624">IF(--INDEX('Raw Data'!$A$4:K$993,$F624,17)= 1, 1, 0)</f>
        <v>#NUM!</v>
      </c>
      <c r="W624" t="e">
        <f t="array" ref="W624">INDEX('Raw Data'!$A:$O,$F624,19)</f>
        <v>#NUM!</v>
      </c>
      <c r="X624" t="e">
        <f t="array" ref="X624">INDEX('Raw Data'!$A:$O,$F624,20)</f>
        <v>#NUM!</v>
      </c>
      <c r="Y624" t="e">
        <f t="array" ref="Y624">INDEX('Raw Data'!$A:$O,F624,21)</f>
        <v>#NUM!</v>
      </c>
      <c r="Z624" t="e">
        <f t="array" ref="Z624">INDEX('Raw Data'!$A:$O,$F624,3)</f>
        <v>#NUM!</v>
      </c>
      <c r="AA624" t="e">
        <f t="array" ref="AA624">INDEX('Raw Data'!$A:$O,$F624,22)</f>
        <v>#NUM!</v>
      </c>
      <c r="AB624" t="e">
        <f t="array" ref="AB624">INDEX('Raw Data'!$A:$O,$F624,23)</f>
        <v>#NUM!</v>
      </c>
      <c r="AR624" s="25"/>
    </row>
    <row r="625" spans="1:44" x14ac:dyDescent="0.25">
      <c r="A625" t="s">
        <v>35</v>
      </c>
      <c r="B625">
        <f>J635</f>
        <v>0</v>
      </c>
      <c r="F625" t="e">
        <f t="array" ref="F625">SMALL(IF('Raw Data'!A:A=C619,ROW('Raw Data'!A:A)),ROW('Raw Data'!$6:$6))</f>
        <v>#NUM!</v>
      </c>
      <c r="G625" t="e">
        <f t="array" ref="G625">INDEX('Raw Data'!A:A,F625,9)</f>
        <v>#NUM!</v>
      </c>
      <c r="H625" t="e">
        <f t="array" ref="H625">INDEX('Raw Data'!A:A,F625,10)</f>
        <v>#NUM!</v>
      </c>
      <c r="I625" t="e">
        <f t="array" ref="I625">INDEX('Raw Data'!$A:A,$F625,11)</f>
        <v>#NUM!</v>
      </c>
      <c r="J625" t="e">
        <f t="array" ref="J625">INDEX('Raw Data'!$A:A,F625,12)</f>
        <v>#NUM!</v>
      </c>
      <c r="K625" t="e">
        <f>(--INDEX('Raw Data'!$A$4:B$993,F625,4))</f>
        <v>#NUM!</v>
      </c>
      <c r="L625" t="e">
        <f t="array" ref="L625">(--INDEX('Raw Data'!$A$4:B$998,F625,5))</f>
        <v>#NUM!</v>
      </c>
      <c r="M625" t="e">
        <f t="array" ref="M625">(--INDEX('Raw Data'!$A$4:D$998,$F625,6))</f>
        <v>#NUM!</v>
      </c>
      <c r="N625" t="e">
        <f t="array" ref="N625">(--INDEX('Raw Data'!$A$4:D$993,$F625,7))</f>
        <v>#NUM!</v>
      </c>
      <c r="O625" t="e">
        <f t="array" ref="O625">IF(--INDEX('Raw Data'!$A$4:E$993,$F625,8)= 0, 1, 0)</f>
        <v>#NUM!</v>
      </c>
      <c r="P625" t="e">
        <f t="array" ref="P625">IF(--INDEX('Raw Data'!$A$4:F$998,$F625,8)= 1, 1, 0)</f>
        <v>#NUM!</v>
      </c>
      <c r="Q625" t="e">
        <f t="array" ref="Q625">IF(--INDEX('Raw Data'!$A$4:G$998,$F625,13)= 1, 1, 0)</f>
        <v>#NUM!</v>
      </c>
      <c r="R625" t="e">
        <f t="array" ref="R625">IF(--INDEX('Raw Data'!$A$4:H$998,$F625,14)= 1, 1, 0)</f>
        <v>#NUM!</v>
      </c>
      <c r="S625" t="e">
        <f t="array" ref="S625">IF(--INDEX('Raw Data'!$A$4:I$993,$F625,15)= 1, 1, 0)</f>
        <v>#NUM!</v>
      </c>
      <c r="T625" t="e">
        <f t="array" ref="T625">IF(--INDEX('Raw Data'!$A$4:I$998,$F625,15)= 1, 1, 0)</f>
        <v>#NUM!</v>
      </c>
      <c r="U625" t="e">
        <f t="array" ref="U625">IF(--INDEX('Raw Data'!$A$4:J$998,$F625,16)= 1, 1, 0)</f>
        <v>#NUM!</v>
      </c>
      <c r="V625" t="e">
        <f t="array" ref="V625">IF(--INDEX('Raw Data'!$A$4:K$993,$F625,17)= 1, 1, 0)</f>
        <v>#NUM!</v>
      </c>
      <c r="W625" t="e">
        <f t="array" ref="W625">INDEX('Raw Data'!$A:$O,$F625,19)</f>
        <v>#NUM!</v>
      </c>
      <c r="X625" t="e">
        <f t="array" ref="X625">INDEX('Raw Data'!$A:$O,$F625,20)</f>
        <v>#NUM!</v>
      </c>
      <c r="Y625" t="e">
        <f t="array" ref="Y625">INDEX('Raw Data'!$A:$O,F625,21)</f>
        <v>#NUM!</v>
      </c>
      <c r="Z625" t="e">
        <f t="array" ref="Z625">INDEX('Raw Data'!$A:$O,$F625,3)</f>
        <v>#NUM!</v>
      </c>
      <c r="AA625" t="e">
        <f t="array" ref="AA625">INDEX('Raw Data'!$A:$O,$F625,22)</f>
        <v>#NUM!</v>
      </c>
      <c r="AB625" t="e">
        <f t="array" ref="AB625">INDEX('Raw Data'!$A:$O,$F625,23)</f>
        <v>#NUM!</v>
      </c>
      <c r="AR625" s="25"/>
    </row>
    <row r="626" spans="1:44" ht="28.5" x14ac:dyDescent="0.45">
      <c r="F626" t="e">
        <f t="array" ref="F626">SMALL(IF('Raw Data'!A:A=C619,ROW('Raw Data'!A:A)),ROW('Raw Data'!$7:$7))</f>
        <v>#NUM!</v>
      </c>
      <c r="G626" t="e">
        <f t="array" ref="G626">INDEX('Raw Data'!A:A,F626,9)</f>
        <v>#NUM!</v>
      </c>
      <c r="H626" t="e">
        <f t="array" ref="H626">INDEX('Raw Data'!A:A,F626,10)</f>
        <v>#NUM!</v>
      </c>
      <c r="I626" t="e">
        <f t="array" ref="I626">INDEX('Raw Data'!$A:A,$F626,11)</f>
        <v>#NUM!</v>
      </c>
      <c r="J626" t="e">
        <f t="array" ref="J626">INDEX('Raw Data'!$A:A,F626,12)</f>
        <v>#NUM!</v>
      </c>
      <c r="K626" t="e">
        <f t="array" ref="K626">(--INDEX('Raw Data'!$A$4:B$998,F626,4))</f>
        <v>#NUM!</v>
      </c>
      <c r="L626" t="e">
        <f t="array" ref="L626">(--INDEX('Raw Data'!$A$4:B$998,F626,5))</f>
        <v>#NUM!</v>
      </c>
      <c r="M626" t="e">
        <f t="array" ref="M626">(--INDEX('Raw Data'!$A$4:D$998,$F626,6))</f>
        <v>#NUM!</v>
      </c>
      <c r="N626" t="e">
        <f t="array" ref="N626">(--INDEX('Raw Data'!$A$4:D$998,$F626,7))</f>
        <v>#NUM!</v>
      </c>
      <c r="O626" t="e">
        <f t="array" ref="O626">IF(--INDEX('Raw Data'!$A$4:E$998,$F626,8)= 0, 1, 0)</f>
        <v>#NUM!</v>
      </c>
      <c r="P626" t="e">
        <f t="array" ref="P626">IF(--INDEX('Raw Data'!$A$4:F$998,$F626,8)= 1, 1, 0)</f>
        <v>#NUM!</v>
      </c>
      <c r="Q626" t="e">
        <f t="array" ref="Q626">IF(--INDEX('Raw Data'!$A$4:G$998,$F626,13)= 1, 1, 0)</f>
        <v>#NUM!</v>
      </c>
      <c r="R626" t="e">
        <f t="array" ref="R626">IF(--INDEX('Raw Data'!$A$4:H$998,$F626,14)= 1, 1, 0)</f>
        <v>#NUM!</v>
      </c>
      <c r="S626" t="e">
        <f t="array" ref="S626">IF(--INDEX('Raw Data'!$A$4:I$998,$F626,15)= 1, 1, 0)</f>
        <v>#NUM!</v>
      </c>
      <c r="T626" t="e">
        <f t="array" ref="T626">IF(--INDEX('Raw Data'!$A$4:I$998,$F626,15)= 1, 1, 0)</f>
        <v>#NUM!</v>
      </c>
      <c r="U626" t="e">
        <f t="array" ref="U626">IF(--INDEX('Raw Data'!$A$4:J$998,$F626,16)= 1, 1, 0)</f>
        <v>#NUM!</v>
      </c>
      <c r="V626" t="e">
        <f t="array" ref="V626">IF(--INDEX('Raw Data'!$A$4:K$998,$F626,17)= 1, 1, 0)</f>
        <v>#NUM!</v>
      </c>
      <c r="W626" t="e">
        <f t="array" ref="W626">INDEX('Raw Data'!$A:$O,$F626,19)</f>
        <v>#NUM!</v>
      </c>
      <c r="X626" t="e">
        <f t="array" ref="X626">INDEX('Raw Data'!$A:$O,$F626,20)</f>
        <v>#NUM!</v>
      </c>
      <c r="Y626" t="e">
        <f t="array" ref="Y626">INDEX('Raw Data'!$A:$O,F626,21)</f>
        <v>#NUM!</v>
      </c>
      <c r="Z626" t="e">
        <f t="array" ref="Z626">INDEX('Raw Data'!$A:$O,$F626,3)</f>
        <v>#NUM!</v>
      </c>
      <c r="AA626" t="e">
        <f t="array" ref="AA626">INDEX('Raw Data'!$A:$O,$F626,22)</f>
        <v>#NUM!</v>
      </c>
      <c r="AB626" t="e">
        <f t="array" ref="AB626">INDEX('Raw Data'!$A:$O,$F626,23)</f>
        <v>#NUM!</v>
      </c>
      <c r="AM626" s="21"/>
    </row>
    <row r="627" spans="1:44" x14ac:dyDescent="0.25">
      <c r="F627" t="e">
        <f t="array" ref="F627">SMALL(IF('Raw Data'!A:A=C619,ROW('Raw Data'!A:A)),ROW('Raw Data'!$8:$8))</f>
        <v>#NUM!</v>
      </c>
      <c r="G627" t="e">
        <f t="array" ref="G627">INDEX('Raw Data'!A:A,F627,9)</f>
        <v>#NUM!</v>
      </c>
      <c r="H627" t="e">
        <f t="array" ref="H627">INDEX('Raw Data'!A:A,F627,10)</f>
        <v>#NUM!</v>
      </c>
      <c r="I627" t="e">
        <f t="array" ref="I627">INDEX('Raw Data'!$A:A,$F627,11)</f>
        <v>#NUM!</v>
      </c>
      <c r="J627" t="e">
        <f t="array" ref="J627">INDEX('Raw Data'!$A:A,F627,12)</f>
        <v>#NUM!</v>
      </c>
      <c r="K627" t="e">
        <f t="array" ref="K627">(--INDEX('Raw Data'!$A$4:B$998,F627,4))</f>
        <v>#NUM!</v>
      </c>
      <c r="L627" t="e">
        <f t="array" ref="L627">(--INDEX('Raw Data'!$A$4:B$998,F627,5))</f>
        <v>#NUM!</v>
      </c>
      <c r="M627" t="e">
        <f t="array" ref="M627">(--INDEX('Raw Data'!$A$4:D$998,$F627,6))</f>
        <v>#NUM!</v>
      </c>
      <c r="N627" t="e">
        <f t="array" ref="N627">(--INDEX('Raw Data'!$A$4:D$998,$F627,7))</f>
        <v>#NUM!</v>
      </c>
      <c r="O627" t="e">
        <f t="array" ref="O627">IF(--INDEX('Raw Data'!$A$4:E$998,$F627,8)= 0, 1, 0)</f>
        <v>#NUM!</v>
      </c>
      <c r="P627" t="e">
        <f t="array" ref="P627">IF(--INDEX('Raw Data'!$A$4:F$998,$F627,8)= 1, 1, 0)</f>
        <v>#NUM!</v>
      </c>
      <c r="Q627" t="e">
        <f t="array" ref="Q627">IF(--INDEX('Raw Data'!$A$4:G$998,$F627,13)= 1, 1, 0)</f>
        <v>#NUM!</v>
      </c>
      <c r="R627" t="e">
        <f t="array" ref="R627">IF(--INDEX('Raw Data'!$A$4:H$998,$F627,14)= 1, 1, 0)</f>
        <v>#NUM!</v>
      </c>
      <c r="S627" t="e">
        <f t="array" ref="S627">IF(--INDEX('Raw Data'!$A$4:I$998,$F627,15)= 1, 1, 0)</f>
        <v>#NUM!</v>
      </c>
      <c r="T627" t="e">
        <f t="array" ref="T627">IF(--INDEX('Raw Data'!$A$4:I$998,$F627,15)= 1, 1, 0)</f>
        <v>#NUM!</v>
      </c>
      <c r="U627" t="e">
        <f t="array" ref="U627">IF(--INDEX('Raw Data'!$A$4:J$998,$F627,16)= 1, 1, 0)</f>
        <v>#NUM!</v>
      </c>
      <c r="V627" t="e">
        <f t="array" ref="V627">IF(--INDEX('Raw Data'!$A$4:K$998,$F627,17)= 1, 1, 0)</f>
        <v>#NUM!</v>
      </c>
      <c r="W627" t="e">
        <f t="array" ref="W627">INDEX('Raw Data'!$A:$O,$F627,19)</f>
        <v>#NUM!</v>
      </c>
      <c r="X627" t="e">
        <f t="array" ref="X627">INDEX('Raw Data'!$A:$O,$F627,20)</f>
        <v>#NUM!</v>
      </c>
      <c r="Y627" t="e">
        <f t="array" ref="Y627">INDEX('Raw Data'!$A:$O,F627,21)</f>
        <v>#NUM!</v>
      </c>
      <c r="Z627" t="e">
        <f t="array" ref="Z627">INDEX('Raw Data'!$A:$O,$F627,3)</f>
        <v>#NUM!</v>
      </c>
      <c r="AA627" t="e">
        <f t="array" ref="AA627">INDEX('Raw Data'!$A:$O,$F627,22)</f>
        <v>#NUM!</v>
      </c>
      <c r="AB627" t="e">
        <f t="array" ref="AB627">INDEX('Raw Data'!$A:$O,$F627,23)</f>
        <v>#NUM!</v>
      </c>
    </row>
    <row r="628" spans="1:44" x14ac:dyDescent="0.25">
      <c r="F628" t="e">
        <f t="array" ref="F628">SMALL(IF('Raw Data'!A:A=C619,ROW('Raw Data'!A:A)),ROW('Raw Data'!$9:$9))</f>
        <v>#NUM!</v>
      </c>
      <c r="G628" t="e">
        <f t="array" ref="G628">INDEX('Raw Data'!A:A,F628,9)</f>
        <v>#NUM!</v>
      </c>
      <c r="H628" t="e">
        <f t="array" ref="H628">INDEX('Raw Data'!A:A,F628,10)</f>
        <v>#NUM!</v>
      </c>
      <c r="I628" t="e">
        <f t="array" ref="I628">INDEX('Raw Data'!$A:A,$F628,11)</f>
        <v>#NUM!</v>
      </c>
      <c r="J628" t="e">
        <f t="array" ref="J628">INDEX('Raw Data'!$A:A,F628,12)</f>
        <v>#NUM!</v>
      </c>
      <c r="K628" t="e">
        <f t="array" ref="K628">(--INDEX('Raw Data'!$A$4:B$998,F628,4))</f>
        <v>#NUM!</v>
      </c>
      <c r="L628" t="e">
        <f t="array" ref="L628">(--INDEX('Raw Data'!$A$4:B$998,F628,5))</f>
        <v>#NUM!</v>
      </c>
      <c r="M628" t="e">
        <f t="array" ref="M628">(--INDEX('Raw Data'!$A$4:D$998,$F628,6))</f>
        <v>#NUM!</v>
      </c>
      <c r="N628" t="e">
        <f t="array" ref="N628">(--INDEX('Raw Data'!$A$4:D$998,$F628,7))</f>
        <v>#NUM!</v>
      </c>
      <c r="O628" t="e">
        <f t="array" ref="O628">IF(--INDEX('Raw Data'!$A$4:E$998,$F628,8)= 0, 1, 0)</f>
        <v>#NUM!</v>
      </c>
      <c r="P628" t="e">
        <f t="array" ref="P628">IF(--INDEX('Raw Data'!$A$4:F$998,$F628,8)= 1, 1, 0)</f>
        <v>#NUM!</v>
      </c>
      <c r="Q628" t="e">
        <f t="array" ref="Q628">IF(--INDEX('Raw Data'!$A$4:G$998,$F628,13)= 1, 1, 0)</f>
        <v>#NUM!</v>
      </c>
      <c r="R628" t="e">
        <f t="array" ref="R628">IF(--INDEX('Raw Data'!$A$4:H$998,$F628,14)= 1, 1, 0)</f>
        <v>#NUM!</v>
      </c>
      <c r="S628" t="e">
        <f t="array" ref="S628">IF(--INDEX('Raw Data'!$A$4:I$998,$F628,15)= 1, 1, 0)</f>
        <v>#NUM!</v>
      </c>
      <c r="T628" t="e">
        <f t="array" ref="T628">IF(--INDEX('Raw Data'!$A$4:I$998,$F628,15)= 1, 1, 0)</f>
        <v>#NUM!</v>
      </c>
      <c r="U628" t="e">
        <f t="array" ref="U628">IF(--INDEX('Raw Data'!$A$4:J$998,$F628,16)= 1, 1, 0)</f>
        <v>#NUM!</v>
      </c>
      <c r="V628" t="e">
        <f t="array" ref="V628">IF(--INDEX('Raw Data'!$A$4:K$998,$F628,17)= 1, 1, 0)</f>
        <v>#NUM!</v>
      </c>
      <c r="W628" t="e">
        <f t="array" ref="W628">INDEX('Raw Data'!$A:$O,$F628,19)</f>
        <v>#NUM!</v>
      </c>
      <c r="X628" t="e">
        <f t="array" ref="X628">INDEX('Raw Data'!$A:$O,$F628,20)</f>
        <v>#NUM!</v>
      </c>
      <c r="Y628" t="e">
        <f t="array" ref="Y628">INDEX('Raw Data'!$A:$O,F628,21)</f>
        <v>#NUM!</v>
      </c>
      <c r="Z628" t="e">
        <f t="array" ref="Z628">INDEX('Raw Data'!$A:$O,$F628,3)</f>
        <v>#NUM!</v>
      </c>
      <c r="AA628" t="e">
        <f t="array" ref="AA628">INDEX('Raw Data'!$A:$O,$F628,22)</f>
        <v>#NUM!</v>
      </c>
      <c r="AB628" t="e">
        <f t="array" ref="AB628">INDEX('Raw Data'!$A:$O,$F628,23)</f>
        <v>#NUM!</v>
      </c>
    </row>
    <row r="629" spans="1:44" x14ac:dyDescent="0.25">
      <c r="F629" t="e">
        <f t="array" ref="F629">SMALL(IF('Raw Data'!A:A=C619,ROW('Raw Data'!A:A)),ROW('Raw Data'!$10:$10))</f>
        <v>#NUM!</v>
      </c>
      <c r="G629" t="e">
        <f t="array" ref="G629">INDEX('Raw Data'!A:A,F629,9)</f>
        <v>#NUM!</v>
      </c>
      <c r="H629" t="e">
        <f t="array" ref="H629">INDEX('Raw Data'!A:A,F629,10)</f>
        <v>#NUM!</v>
      </c>
      <c r="I629" t="e">
        <f t="array" ref="I629">INDEX('Raw Data'!$A:A,$F629,11)</f>
        <v>#NUM!</v>
      </c>
      <c r="J629" t="e">
        <f t="array" ref="J629">INDEX('Raw Data'!$A:A,F629,12)</f>
        <v>#NUM!</v>
      </c>
      <c r="K629" t="e">
        <f t="array" ref="K629">(--INDEX('Raw Data'!$A$4:B$998,F629,4))</f>
        <v>#NUM!</v>
      </c>
      <c r="L629" t="e">
        <f t="array" ref="L629">(--INDEX('Raw Data'!$A$4:B$998,F629,5))</f>
        <v>#NUM!</v>
      </c>
      <c r="M629" t="e">
        <f t="array" ref="M629">(--INDEX('Raw Data'!$A$4:D$998,$F629,6))</f>
        <v>#NUM!</v>
      </c>
      <c r="N629" t="e">
        <f t="array" ref="N629">(--INDEX('Raw Data'!$A$4:D$998,$F629,7))</f>
        <v>#NUM!</v>
      </c>
      <c r="O629" t="e">
        <f t="array" ref="O629">IF(--INDEX('Raw Data'!$A$4:E$998,$F629,8)= 0, 1, 0)</f>
        <v>#NUM!</v>
      </c>
      <c r="P629" t="e">
        <f t="array" ref="P629">IF(--INDEX('Raw Data'!$A$4:F$998,$F629,8)= 1, 1, 0)</f>
        <v>#NUM!</v>
      </c>
      <c r="Q629" t="e">
        <f t="array" ref="Q629">IF(--INDEX('Raw Data'!$A$4:G$998,$F629,13)= 1, 1, 0)</f>
        <v>#NUM!</v>
      </c>
      <c r="R629" t="e">
        <f t="array" ref="R629">IF(--INDEX('Raw Data'!$A$4:H$998,$F629,14)= 1, 1, 0)</f>
        <v>#NUM!</v>
      </c>
      <c r="S629" t="e">
        <f t="array" ref="S629">IF(--INDEX('Raw Data'!$A$4:I$998,$F629,15)= 1, 1, 0)</f>
        <v>#NUM!</v>
      </c>
      <c r="T629" t="e">
        <f t="array" ref="T629">IF(--INDEX('Raw Data'!$A$4:I$998,$F629,15)= 1, 1, 0)</f>
        <v>#NUM!</v>
      </c>
      <c r="U629" t="e">
        <f t="array" ref="U629">IF(--INDEX('Raw Data'!$A$4:J$998,$F629,16)= 1, 1, 0)</f>
        <v>#NUM!</v>
      </c>
      <c r="V629" t="e">
        <f t="array" ref="V629">IF(--INDEX('Raw Data'!$A$4:K$998,$F629,17)= 1, 1, 0)</f>
        <v>#NUM!</v>
      </c>
      <c r="W629" t="e">
        <f t="array" ref="W629">INDEX('Raw Data'!$A:$O,$F629,19)</f>
        <v>#NUM!</v>
      </c>
      <c r="X629" t="e">
        <f t="array" ref="X629">INDEX('Raw Data'!$A:$O,$F629,20)</f>
        <v>#NUM!</v>
      </c>
      <c r="Y629" t="e">
        <f t="array" ref="Y629">INDEX('Raw Data'!$A:$O,F629,21)</f>
        <v>#NUM!</v>
      </c>
      <c r="Z629" t="e">
        <f t="array" ref="Z629">INDEX('Raw Data'!$A:$O,$F629,3)</f>
        <v>#NUM!</v>
      </c>
      <c r="AA629" t="e">
        <f t="array" ref="AA629">INDEX('Raw Data'!$A:$O,$F629,22)</f>
        <v>#NUM!</v>
      </c>
      <c r="AB629" t="e">
        <f t="array" ref="AB629">INDEX('Raw Data'!$A:$O,$F629,23)</f>
        <v>#NUM!</v>
      </c>
    </row>
    <row r="630" spans="1:44" x14ac:dyDescent="0.25">
      <c r="F630" t="e">
        <f t="array" ref="F630">SMALL(IF('Raw Data'!A:A=C619,ROW('Raw Data'!A:A)),ROW('Raw Data'!$11:$11))</f>
        <v>#NUM!</v>
      </c>
      <c r="G630" t="e">
        <f t="array" ref="G630">INDEX('Raw Data'!A:A,F630,9)</f>
        <v>#NUM!</v>
      </c>
      <c r="H630" t="e">
        <f t="array" ref="H630">INDEX('Raw Data'!A:A,F630,10)</f>
        <v>#NUM!</v>
      </c>
      <c r="I630" t="e">
        <f t="array" ref="I630">INDEX('Raw Data'!$A:A,$F630,11)</f>
        <v>#NUM!</v>
      </c>
      <c r="J630" t="e">
        <f t="array" ref="J630">INDEX('Raw Data'!$A:A,F630,12)</f>
        <v>#NUM!</v>
      </c>
      <c r="K630" t="e">
        <f t="array" ref="K630">(--INDEX('Raw Data'!$A$4:B$998,F630,4))</f>
        <v>#NUM!</v>
      </c>
      <c r="L630" t="e">
        <f t="array" ref="L630">(--INDEX('Raw Data'!$A$4:B$998,F630,5))</f>
        <v>#NUM!</v>
      </c>
      <c r="M630" t="e">
        <f t="array" ref="M630">(--INDEX('Raw Data'!$A$4:D$998,$F630,6))</f>
        <v>#NUM!</v>
      </c>
      <c r="N630" t="e">
        <f t="array" ref="N630">(--INDEX('Raw Data'!$A$4:D$998,$F630,7))</f>
        <v>#NUM!</v>
      </c>
      <c r="O630" t="e">
        <f t="array" ref="O630">IF(--INDEX('Raw Data'!$A$4:E$998,$F630,8)= 0, 1, 0)</f>
        <v>#NUM!</v>
      </c>
      <c r="P630" t="e">
        <f t="array" ref="P630">IF(--INDEX('Raw Data'!$A$4:F$998,$F630,8)= 1, 1, 0)</f>
        <v>#NUM!</v>
      </c>
      <c r="Q630" t="e">
        <f t="array" ref="Q630">IF(--INDEX('Raw Data'!$A$4:G$998,$F630,13)= 1, 1, 0)</f>
        <v>#NUM!</v>
      </c>
      <c r="R630" t="e">
        <f t="array" ref="R630">IF(--INDEX('Raw Data'!$A$4:H$998,$F630,14)= 1, 1, 0)</f>
        <v>#NUM!</v>
      </c>
      <c r="S630" t="e">
        <f t="array" ref="S630">IF(--INDEX('Raw Data'!$A$4:I$998,$F630,15)= 1, 1, 0)</f>
        <v>#NUM!</v>
      </c>
      <c r="T630" t="e">
        <f t="array" ref="T630">IF(--INDEX('Raw Data'!$A$4:I$998,$F630,15)= 1, 1, 0)</f>
        <v>#NUM!</v>
      </c>
      <c r="U630" t="e">
        <f t="array" ref="U630">IF(--INDEX('Raw Data'!$A$4:J$998,$F630,16)= 1, 1, 0)</f>
        <v>#NUM!</v>
      </c>
      <c r="V630" t="e">
        <f t="array" ref="V630">IF(--INDEX('Raw Data'!$A$4:K$998,$F630,17)= 1, 1, 0)</f>
        <v>#NUM!</v>
      </c>
      <c r="W630" t="e">
        <f t="array" ref="W630">INDEX('Raw Data'!$A:$O,$F630,19)</f>
        <v>#NUM!</v>
      </c>
      <c r="X630" t="e">
        <f t="array" ref="X630">INDEX('Raw Data'!$A:$O,$F630,20)</f>
        <v>#NUM!</v>
      </c>
      <c r="Y630" t="e">
        <f t="array" ref="Y630">INDEX('Raw Data'!$A:$O,F630,21)</f>
        <v>#NUM!</v>
      </c>
      <c r="Z630" t="e">
        <f t="array" ref="Z630">INDEX('Raw Data'!$A:$O,$F630,3)</f>
        <v>#NUM!</v>
      </c>
      <c r="AA630" t="e">
        <f t="array" ref="AA630">INDEX('Raw Data'!$A:$O,$F630,22)</f>
        <v>#NUM!</v>
      </c>
      <c r="AB630" t="e">
        <f t="array" ref="AB630">INDEX('Raw Data'!$A:$O,$F630,23)</f>
        <v>#NUM!</v>
      </c>
    </row>
    <row r="631" spans="1:44" x14ac:dyDescent="0.25">
      <c r="F631" t="e">
        <f t="array" ref="F631">SMALL(IF('Raw Data'!A:A=C619,ROW('Raw Data'!A:A)),ROW('Raw Data'!$12:$12))</f>
        <v>#NUM!</v>
      </c>
      <c r="G631" t="e">
        <f t="array" ref="G631">INDEX('Raw Data'!A:A,F631,9)</f>
        <v>#NUM!</v>
      </c>
      <c r="H631" t="e">
        <f t="array" ref="H631">INDEX('Raw Data'!A:A,F631,10)</f>
        <v>#NUM!</v>
      </c>
      <c r="I631" t="e">
        <f t="array" ref="I631">INDEX('Raw Data'!$A:A,$F631,11)</f>
        <v>#NUM!</v>
      </c>
      <c r="J631" t="e">
        <f t="array" ref="J631">INDEX('Raw Data'!$A:A,F631,12)</f>
        <v>#NUM!</v>
      </c>
      <c r="K631" t="e">
        <f t="array" ref="K631">(--INDEX('Raw Data'!$A$4:B$998,F631,4))</f>
        <v>#NUM!</v>
      </c>
      <c r="L631" t="e">
        <f t="array" ref="L631">(--INDEX('Raw Data'!$A$4:B$998,F631,5))</f>
        <v>#NUM!</v>
      </c>
      <c r="M631" t="e">
        <f t="array" ref="M631">(--INDEX('Raw Data'!$A$4:D$998,$F631,6))</f>
        <v>#NUM!</v>
      </c>
      <c r="N631" t="e">
        <f t="array" ref="N631">(--INDEX('Raw Data'!$A$4:D$998,$F631,7))</f>
        <v>#NUM!</v>
      </c>
      <c r="O631" t="e">
        <f t="array" ref="O631">IF(--INDEX('Raw Data'!$A$4:E$998,$F631,8)= 0, 1, 0)</f>
        <v>#NUM!</v>
      </c>
      <c r="P631" t="e">
        <f t="array" ref="P631">IF(--INDEX('Raw Data'!$A$4:F$998,$F631,8)= 1, 1, 0)</f>
        <v>#NUM!</v>
      </c>
      <c r="Q631" t="e">
        <f t="array" ref="Q631">IF(--INDEX('Raw Data'!$A$4:G$998,$F631,13)= 1, 1, 0)</f>
        <v>#NUM!</v>
      </c>
      <c r="R631" t="e">
        <f t="array" ref="R631">IF(--INDEX('Raw Data'!$A$4:H$998,$F631,14)= 1, 1, 0)</f>
        <v>#NUM!</v>
      </c>
      <c r="S631" t="e">
        <f t="array" ref="S631">IF(--INDEX('Raw Data'!$A$4:I$998,$F631,15)= 1, 1, 0)</f>
        <v>#NUM!</v>
      </c>
      <c r="T631" t="e">
        <f t="array" ref="T631">IF(--INDEX('Raw Data'!$A$4:I$998,$F631,15)= 1, 1, 0)</f>
        <v>#NUM!</v>
      </c>
      <c r="U631" t="e">
        <f t="array" ref="U631">IF(--INDEX('Raw Data'!$A$4:J$998,$F631,16)= 1, 1, 0)</f>
        <v>#NUM!</v>
      </c>
      <c r="V631" t="e">
        <f t="array" ref="V631">IF(--INDEX('Raw Data'!$A$4:K$998,$F631,17)= 1, 1, 0)</f>
        <v>#NUM!</v>
      </c>
      <c r="W631" t="e">
        <f t="array" ref="W631">INDEX('Raw Data'!$A:$O,$F631,19)</f>
        <v>#NUM!</v>
      </c>
      <c r="X631" t="e">
        <f t="array" ref="X631">INDEX('Raw Data'!$A:$O,$F631,20)</f>
        <v>#NUM!</v>
      </c>
      <c r="Y631" t="e">
        <f t="array" ref="Y631">INDEX('Raw Data'!$A:$O,F631,21)</f>
        <v>#NUM!</v>
      </c>
      <c r="Z631" t="e">
        <f t="array" ref="Z631">INDEX('Raw Data'!$A:$O,$F631,3)</f>
        <v>#NUM!</v>
      </c>
      <c r="AA631" t="e">
        <f t="array" ref="AA631">INDEX('Raw Data'!$A:$O,$F631,22)</f>
        <v>#NUM!</v>
      </c>
      <c r="AB631" t="e">
        <f t="array" ref="AB631">INDEX('Raw Data'!$A:$O,$F631,23)</f>
        <v>#NUM!</v>
      </c>
    </row>
    <row r="632" spans="1:44" x14ac:dyDescent="0.25">
      <c r="F632" t="e">
        <f t="array" ref="F632">SMALL(IF('Raw Data'!A:A=C619,ROW('Raw Data'!A:A)),ROW('Raw Data'!$13:$13))</f>
        <v>#NUM!</v>
      </c>
      <c r="G632" t="e">
        <f t="array" ref="G632">INDEX('Raw Data'!A:A,F632,9)</f>
        <v>#NUM!</v>
      </c>
      <c r="H632" t="e">
        <f t="array" ref="H632">INDEX('Raw Data'!A:A,F632,10)</f>
        <v>#NUM!</v>
      </c>
      <c r="I632" t="e">
        <f t="array" ref="I632">INDEX('Raw Data'!$A:A,$F632,11)</f>
        <v>#NUM!</v>
      </c>
      <c r="J632" t="e">
        <f t="array" ref="J632">INDEX('Raw Data'!$A:A,F632,12)</f>
        <v>#NUM!</v>
      </c>
      <c r="K632" t="e">
        <f t="array" ref="K632">(--INDEX('Raw Data'!$A$4:B$998,F632,4))</f>
        <v>#NUM!</v>
      </c>
      <c r="L632" t="e">
        <f t="array" ref="L632">(--INDEX('Raw Data'!$A$4:B$998,F632,5))</f>
        <v>#NUM!</v>
      </c>
      <c r="M632" t="e">
        <f t="array" ref="M632">(--INDEX('Raw Data'!$A$4:D$998,$F632,6))</f>
        <v>#NUM!</v>
      </c>
      <c r="N632" t="e">
        <f t="array" ref="N632">(--INDEX('Raw Data'!$A$4:D$998,$F632,7))</f>
        <v>#NUM!</v>
      </c>
      <c r="O632" t="e">
        <f t="array" ref="O632">IF(--INDEX('Raw Data'!$A$4:E$998,$F632,8)= 0, 1, 0)</f>
        <v>#NUM!</v>
      </c>
      <c r="P632" t="e">
        <f t="array" ref="P632">IF(--INDEX('Raw Data'!$A$4:F$998,$F632,8)= 1, 1, 0)</f>
        <v>#NUM!</v>
      </c>
      <c r="Q632" t="e">
        <f t="array" ref="Q632">IF(--INDEX('Raw Data'!$A$4:G$998,$F632,13)= 1, 1, 0)</f>
        <v>#NUM!</v>
      </c>
      <c r="R632" t="e">
        <f t="array" ref="R632">IF(--INDEX('Raw Data'!$A$4:H$998,$F632,14)= 1, 1, 0)</f>
        <v>#NUM!</v>
      </c>
      <c r="S632" t="e">
        <f t="array" ref="S632">IF(--INDEX('Raw Data'!$A$4:I$998,$F632,15)= 1, 1, 0)</f>
        <v>#NUM!</v>
      </c>
      <c r="T632" t="e">
        <f t="array" ref="T632">IF(--INDEX('Raw Data'!$A$4:I$998,$F632,15)= 1, 1, 0)</f>
        <v>#NUM!</v>
      </c>
      <c r="U632" t="e">
        <f t="array" ref="U632">IF(--INDEX('Raw Data'!$A$4:J$998,$F632,16)= 1, 1, 0)</f>
        <v>#NUM!</v>
      </c>
      <c r="V632" t="e">
        <f t="array" ref="V632">IF(--INDEX('Raw Data'!$A$4:K$998,$F632,17)= 1, 1, 0)</f>
        <v>#NUM!</v>
      </c>
      <c r="W632" t="e">
        <f t="array" ref="W632">INDEX('Raw Data'!$A:$O,$F632,19)</f>
        <v>#NUM!</v>
      </c>
      <c r="X632" t="e">
        <f t="array" ref="X632">INDEX('Raw Data'!$A:$O,$F632,20)</f>
        <v>#NUM!</v>
      </c>
      <c r="Y632" t="e">
        <f t="array" ref="Y632">INDEX('Raw Data'!$A:$O,F632,21)</f>
        <v>#NUM!</v>
      </c>
      <c r="Z632" t="e">
        <f t="array" ref="Z632">INDEX('Raw Data'!$A:$O,$F632,3)</f>
        <v>#NUM!</v>
      </c>
      <c r="AA632" t="e">
        <f t="array" ref="AA632">INDEX('Raw Data'!$A:$O,$F632,22)</f>
        <v>#NUM!</v>
      </c>
      <c r="AB632" t="e">
        <f t="array" ref="AB632">INDEX('Raw Data'!$A:$O,$F632,23)</f>
        <v>#NUM!</v>
      </c>
    </row>
    <row r="633" spans="1:44" x14ac:dyDescent="0.25">
      <c r="F633" t="e">
        <f t="array" ref="F633">SMALL(IF('Raw Data'!A:A=C619,ROW('Raw Data'!A:A)),ROW('Raw Data'!$14:$14))</f>
        <v>#NUM!</v>
      </c>
      <c r="G633" t="e">
        <f t="array" ref="G633">INDEX('Raw Data'!A:A,F633,9)</f>
        <v>#NUM!</v>
      </c>
      <c r="H633" t="e">
        <f t="array" ref="H633">INDEX('Raw Data'!A:A,F633,10)</f>
        <v>#NUM!</v>
      </c>
      <c r="I633" t="e">
        <f t="array" ref="I633">INDEX('Raw Data'!$A:A,$F633,11)</f>
        <v>#NUM!</v>
      </c>
      <c r="J633" t="e">
        <f t="array" ref="J633">INDEX('Raw Data'!$A:A,F633,12)</f>
        <v>#NUM!</v>
      </c>
      <c r="K633" t="e">
        <f t="array" ref="K633">(--INDEX('Raw Data'!$A$4:B$998,F633,4))</f>
        <v>#NUM!</v>
      </c>
      <c r="L633" t="e">
        <f t="array" ref="L633">(--INDEX('Raw Data'!$A$4:B$998,F633,5))</f>
        <v>#NUM!</v>
      </c>
      <c r="M633" t="e">
        <f t="array" ref="M633">(--INDEX('Raw Data'!$A$4:D$998,$F633,6))</f>
        <v>#NUM!</v>
      </c>
      <c r="N633" t="e">
        <f t="array" ref="N633">(--INDEX('Raw Data'!$A$4:D$998,$F633,7))</f>
        <v>#NUM!</v>
      </c>
      <c r="O633" t="e">
        <f t="array" ref="O633">IF(--INDEX('Raw Data'!$A$4:E$998,$F633,8)= 0, 1, 0)</f>
        <v>#NUM!</v>
      </c>
      <c r="P633" t="e">
        <f t="array" ref="P633">IF(--INDEX('Raw Data'!$A$4:F$998,$F633,8)= 1, 1, 0)</f>
        <v>#NUM!</v>
      </c>
      <c r="Q633" t="e">
        <f t="array" ref="Q633">IF(--INDEX('Raw Data'!$A$4:G$998,$F633,13)= 1, 1, 0)</f>
        <v>#NUM!</v>
      </c>
      <c r="R633" t="e">
        <f t="array" ref="R633">IF(--INDEX('Raw Data'!$A$4:H$998,$F633,14)= 1, 1, 0)</f>
        <v>#NUM!</v>
      </c>
      <c r="S633" t="e">
        <f t="array" ref="S633">IF(--INDEX('Raw Data'!$A$4:I$998,$F633,15)= 1, 1, 0)</f>
        <v>#NUM!</v>
      </c>
      <c r="T633" t="e">
        <f t="array" ref="T633">IF(--INDEX('Raw Data'!$A$4:I$998,$F633,15)= 1, 1, 0)</f>
        <v>#NUM!</v>
      </c>
      <c r="U633" t="e">
        <f t="array" ref="U633">IF(--INDEX('Raw Data'!$A$4:J$998,$F633,16)= 1, 1, 0)</f>
        <v>#NUM!</v>
      </c>
      <c r="V633" t="e">
        <f t="array" ref="V633">IF(--INDEX('Raw Data'!$A$4:K$998,$F633,17)= 1, 1, 0)</f>
        <v>#NUM!</v>
      </c>
      <c r="W633" t="e">
        <f t="array" ref="W633">INDEX('Raw Data'!$A:$O,$F633,19)</f>
        <v>#NUM!</v>
      </c>
      <c r="X633" t="e">
        <f t="array" ref="X633">INDEX('Raw Data'!$A:$O,$F633,20)</f>
        <v>#NUM!</v>
      </c>
      <c r="Y633" t="e">
        <f t="array" ref="Y633">INDEX('Raw Data'!$A:$O,F633,21)</f>
        <v>#NUM!</v>
      </c>
      <c r="Z633" t="e">
        <f t="array" ref="Z633">INDEX('Raw Data'!$A:$O,$F633,3)</f>
        <v>#NUM!</v>
      </c>
      <c r="AA633" t="e">
        <f t="array" ref="AA633">INDEX('Raw Data'!$A:$O,$F633,22)</f>
        <v>#NUM!</v>
      </c>
      <c r="AB633" t="e">
        <f t="array" ref="AB633">INDEX('Raw Data'!$A:$O,$F633,23)</f>
        <v>#NUM!</v>
      </c>
    </row>
    <row r="634" spans="1:44" x14ac:dyDescent="0.25">
      <c r="F634" t="e">
        <f t="array" ref="F634">SMALL(IF('Raw Data'!A:A=C619,ROW('Raw Data'!A:A)),ROW('Raw Data'!$15:$15))</f>
        <v>#NUM!</v>
      </c>
      <c r="G634" t="e">
        <f t="array" ref="G634">INDEX('Raw Data'!A:A,F634,9)</f>
        <v>#NUM!</v>
      </c>
      <c r="H634" t="e">
        <f t="array" ref="H634">INDEX('Raw Data'!A:A,F634,10)</f>
        <v>#NUM!</v>
      </c>
      <c r="I634" t="e">
        <f t="array" ref="I634">INDEX('Raw Data'!$A:A,$F634,11)</f>
        <v>#NUM!</v>
      </c>
      <c r="J634" t="e">
        <f t="array" ref="J634">INDEX('Raw Data'!$A:A,F634,12)</f>
        <v>#NUM!</v>
      </c>
      <c r="K634" t="e">
        <f t="array" ref="K634">(--INDEX('Raw Data'!$A$4:B$998,F634,4))</f>
        <v>#NUM!</v>
      </c>
      <c r="L634" t="e">
        <f t="array" ref="L634">(--INDEX('Raw Data'!$A$4:B$998,F634,5))</f>
        <v>#NUM!</v>
      </c>
      <c r="M634" t="e">
        <f t="array" ref="M634">(--INDEX('Raw Data'!$A$4:D$998,$F634,6))</f>
        <v>#NUM!</v>
      </c>
      <c r="N634" t="e">
        <f t="array" ref="N634">(--INDEX('Raw Data'!$A$4:D$998,$F634,7))</f>
        <v>#NUM!</v>
      </c>
      <c r="O634" t="e">
        <f t="array" ref="O634">IF(--INDEX('Raw Data'!$A$4:E$998,$F634,8)= 0, 1, 0)</f>
        <v>#NUM!</v>
      </c>
      <c r="P634" t="e">
        <f t="array" ref="P634">IF(--INDEX('Raw Data'!$A$4:F$998,$F634,8)= 1, 1, 0)</f>
        <v>#NUM!</v>
      </c>
      <c r="Q634" t="e">
        <f t="array" ref="Q634">IF(--INDEX('Raw Data'!$A$4:G$998,$F634,13)= 1, 1, 0)</f>
        <v>#NUM!</v>
      </c>
      <c r="R634" t="e">
        <f t="array" ref="R634">IF(--INDEX('Raw Data'!$A$4:H$998,$F634,14)= 1, 1, 0)</f>
        <v>#NUM!</v>
      </c>
      <c r="S634" t="e">
        <f t="array" ref="S634">IF(--INDEX('Raw Data'!$A$4:I$998,$F634,15)= 1, 1, 0)</f>
        <v>#NUM!</v>
      </c>
      <c r="T634" t="e">
        <f t="array" ref="T634">IF(--INDEX('Raw Data'!$A$4:I$998,$F634,15)= 1, 1, 0)</f>
        <v>#NUM!</v>
      </c>
      <c r="U634" t="e">
        <f t="array" ref="U634">IF(--INDEX('Raw Data'!$A$4:J$998,$F634,16)= 1, 1, 0)</f>
        <v>#NUM!</v>
      </c>
      <c r="V634" t="e">
        <f t="array" ref="V634">IF(--INDEX('Raw Data'!$A$4:K$998,$F634,17)= 1, 1, 0)</f>
        <v>#NUM!</v>
      </c>
      <c r="W634" t="e">
        <f t="array" ref="W634">INDEX('Raw Data'!$A:$O,$F634,19)</f>
        <v>#NUM!</v>
      </c>
      <c r="X634" t="e">
        <f t="array" ref="X634">INDEX('Raw Data'!$A:$O,$F634,20)</f>
        <v>#NUM!</v>
      </c>
      <c r="Y634" t="e">
        <f t="array" ref="Y634">INDEX('Raw Data'!$A:$O,F634,21)</f>
        <v>#NUM!</v>
      </c>
      <c r="Z634" t="e">
        <f t="array" ref="Z634">INDEX('Raw Data'!$A:$O,$F634,3)</f>
        <v>#NUM!</v>
      </c>
      <c r="AA634" t="e">
        <f t="array" ref="AA634">INDEX('Raw Data'!$A:$O,$F634,22)</f>
        <v>#NUM!</v>
      </c>
      <c r="AB634" t="e">
        <f t="array" ref="AB634">INDEX('Raw Data'!$A:$O,$F634,23)</f>
        <v>#NUM!</v>
      </c>
    </row>
    <row r="635" spans="1:44" x14ac:dyDescent="0.25">
      <c r="A635" t="s">
        <v>55</v>
      </c>
      <c r="C635" s="2" t="e">
        <f>B625/B624</f>
        <v>#DIV/0!</v>
      </c>
      <c r="F635">
        <f t="array" ref="F635">COUNTIF(F620:F634,"&gt;0")</f>
        <v>0</v>
      </c>
      <c r="G635">
        <f t="array" ref="G635">SUMIF(G620:G634,"&gt;0")</f>
        <v>0</v>
      </c>
      <c r="H635">
        <f t="array" ref="H635">SUMIF(H620:H634,"&gt;0")</f>
        <v>0</v>
      </c>
      <c r="I635">
        <f t="array" ref="I635">SUMIF(I620:I634,"&gt;0")</f>
        <v>0</v>
      </c>
      <c r="J635">
        <f t="array" ref="J635">SUMIF(J620:J634,"&gt;0")</f>
        <v>0</v>
      </c>
      <c r="K635">
        <f t="array" ref="K635">SUMIF(K620:K634,"&gt;0")</f>
        <v>0</v>
      </c>
      <c r="L635">
        <f t="array" ref="L635">SUMIF(L620:L634,"&gt;0")</f>
        <v>0</v>
      </c>
      <c r="M635">
        <f t="array" ref="M635">SUMIF(M620:M634,"&gt;0")</f>
        <v>0</v>
      </c>
      <c r="N635">
        <f t="array" ref="N635">SUMIF(N620:N634,"&gt;0")</f>
        <v>0</v>
      </c>
      <c r="O635">
        <f t="array" ref="O635">SUMIF(O620:O634,"&gt;0")</f>
        <v>0</v>
      </c>
      <c r="P635">
        <f t="array" ref="P635">SUMIF(P620:P634,"&gt;0")</f>
        <v>0</v>
      </c>
      <c r="Q635">
        <f t="array" ref="Q635">SUMIF(Q620:Q634,"&gt;0")</f>
        <v>0</v>
      </c>
      <c r="R635">
        <f t="array" ref="R635">SUMIF(R620:R634,"&gt;0")</f>
        <v>0</v>
      </c>
      <c r="S635">
        <f t="array" ref="S635">SUMIF(S620:S634,"&gt;0")</f>
        <v>0</v>
      </c>
      <c r="T635">
        <f t="array" ref="T635">SUMIF(T620:T634,"&gt;0")</f>
        <v>0</v>
      </c>
      <c r="U635">
        <f t="array" ref="U635">SUMIF(U620:U634,"&gt;0")</f>
        <v>0</v>
      </c>
      <c r="V635">
        <f t="array" ref="V635">SUMIF(V620:V634,"&gt;0")</f>
        <v>0</v>
      </c>
      <c r="W635">
        <f t="array" ref="W635">SUMIF(W620:W634,"&gt;0")</f>
        <v>0</v>
      </c>
      <c r="X635">
        <f t="array" ref="X635">SUMIF(X620:X634,"&gt;0")</f>
        <v>0</v>
      </c>
      <c r="Y635">
        <f t="array" ref="Y635">SUMIF(Y620:Y634,"&gt;0")</f>
        <v>0</v>
      </c>
      <c r="Z635">
        <f t="array" ref="Z635">SUMIF(Z620:Z634,"&gt;0")</f>
        <v>0</v>
      </c>
      <c r="AA635">
        <f t="array" ref="AA635">SUMIF(AA620:AA634,"&gt;0")</f>
        <v>0</v>
      </c>
      <c r="AB635">
        <f t="array" ref="AB635">SUMIF(AB620:AB634,"&gt;0")</f>
        <v>0</v>
      </c>
    </row>
    <row r="636" spans="1:44" x14ac:dyDescent="0.25">
      <c r="A636" t="s">
        <v>58</v>
      </c>
      <c r="C636" s="2">
        <f t="array" ref="C636">IF((K635+L635)&lt;&gt;0, (L635/(K635+L635)),0)</f>
        <v>0</v>
      </c>
      <c r="J636" s="6">
        <f t="array" ref="J636">J635*10</f>
        <v>0</v>
      </c>
      <c r="K636" s="6"/>
      <c r="P636" t="s">
        <v>95</v>
      </c>
      <c r="Q636" s="2" t="e">
        <f t="array" ref="Q636">Q635/$F635</f>
        <v>#DIV/0!</v>
      </c>
      <c r="R636" s="2" t="e">
        <f t="array" ref="R636">R635/$F635</f>
        <v>#DIV/0!</v>
      </c>
      <c r="S636" s="2" t="e">
        <f t="array" ref="S636">S635/$F635</f>
        <v>#DIV/0!</v>
      </c>
      <c r="T636" s="2" t="e">
        <f t="array" ref="T636">T635/$F635</f>
        <v>#DIV/0!</v>
      </c>
      <c r="U636" s="2" t="e">
        <f t="array" ref="U636">U635/$F635</f>
        <v>#DIV/0!</v>
      </c>
      <c r="V636" s="2" t="e">
        <f t="array" ref="V636">V635/$F635</f>
        <v>#DIV/0!</v>
      </c>
      <c r="W636" s="2" t="e">
        <f t="array" ref="W636">W635/$F635</f>
        <v>#DIV/0!</v>
      </c>
      <c r="X636" s="2" t="e">
        <f t="array" ref="X636">X635/$F635</f>
        <v>#DIV/0!</v>
      </c>
      <c r="Z636" s="2" t="e">
        <f t="array" ref="Z636">Z635/F635</f>
        <v>#DIV/0!</v>
      </c>
    </row>
    <row r="637" spans="1:44" x14ac:dyDescent="0.25">
      <c r="A637" t="s">
        <v>60</v>
      </c>
      <c r="C637" s="2">
        <f t="array" ref="C637">IF((M635+N635)&lt;&gt;0, (N635/(M635+N635)),0)</f>
        <v>0</v>
      </c>
      <c r="J637" s="6"/>
      <c r="K637" s="6"/>
    </row>
    <row r="638" spans="1:44" ht="28.5" x14ac:dyDescent="0.45">
      <c r="A638" t="s">
        <v>61</v>
      </c>
      <c r="C638" s="2">
        <f t="array" ref="C638">IF(((K635+N635+L635+M635)&lt;&gt;0), ((L635+N635)/(K635+N635+L635+M635)),0)</f>
        <v>0</v>
      </c>
      <c r="F638" s="17" t="s">
        <v>106</v>
      </c>
      <c r="G638" s="17" t="e">
        <f t="array" ref="G638">'Weighting &amp; Ranking Sheet'!$B$3*Math!$C636+'Weighting &amp; Ranking Sheet'!$B$4*Math!$C637+'Weighting &amp; Ranking Sheet'!$B$5*Math!$C638+'Weighting &amp; Ranking Sheet'!$B$6*Math!$C639+'Weighting &amp; Ranking Sheet'!$B$7*Math!$C623+'Weighting &amp; Ranking Sheet'!$B$8*Math!$C635+'Weighting &amp; Ranking Sheet'!$B$9*Math!$C642+'Weighting &amp; Ranking Sheet'!$B$10*Math!$C640+'Weighting &amp; Ranking Sheet'!$B$11*Math!$C641+'Weighting &amp; Ranking Sheet'!$B$12*Math!$C643*0.01+'Weighting &amp; Ranking Sheet'!$B$13*Math!$Q636+'Weighting &amp; Ranking Sheet'!$B$14*Math!$R636+'Weighting &amp; Ranking Sheet'!$B$15*Math!$S636+'Weighting &amp; Ranking Sheet'!$B$16*Math!$T636+'Weighting &amp; Ranking Sheet'!$B$17*Math!$U636+'Weighting &amp; Ranking Sheet'!$B$18*Math!$V636+'Weighting &amp; Ranking Sheet'!$B$2*Math!$Z636</f>
        <v>#DIV/0!</v>
      </c>
      <c r="J638"/>
      <c r="K638"/>
    </row>
    <row r="639" spans="1:44" x14ac:dyDescent="0.25">
      <c r="A639" t="s">
        <v>62</v>
      </c>
      <c r="C639" s="2">
        <f t="array" ref="C639">IF((O635+P635&lt;&gt;0),(P635/(O635+P635)), 0)</f>
        <v>0</v>
      </c>
      <c r="J639"/>
      <c r="K639"/>
      <c r="AR639" s="25"/>
    </row>
    <row r="640" spans="1:44" x14ac:dyDescent="0.25">
      <c r="A640" t="s">
        <v>77</v>
      </c>
      <c r="C640" s="8" t="e">
        <f t="array" ref="C640">W635/F635</f>
        <v>#DIV/0!</v>
      </c>
      <c r="J640"/>
      <c r="K640"/>
      <c r="AR640" s="23"/>
    </row>
    <row r="641" spans="1:44" x14ac:dyDescent="0.25">
      <c r="A641" t="s">
        <v>78</v>
      </c>
      <c r="C641" s="8" t="e">
        <f t="array" ref="C641">X635/F635</f>
        <v>#DIV/0!</v>
      </c>
      <c r="J641"/>
      <c r="K641"/>
    </row>
    <row r="642" spans="1:44" x14ac:dyDescent="0.25">
      <c r="A642" t="s">
        <v>91</v>
      </c>
      <c r="C642" s="2" t="e">
        <f t="array" ref="C642">(C623+C635)/2</f>
        <v>#DIV/0!</v>
      </c>
      <c r="J642"/>
      <c r="K642"/>
    </row>
    <row r="643" spans="1:44" x14ac:dyDescent="0.25">
      <c r="A643" t="s">
        <v>92</v>
      </c>
      <c r="C643" s="8" t="e">
        <f t="array" ref="C643">Y635/F635</f>
        <v>#DIV/0!</v>
      </c>
      <c r="J643"/>
      <c r="K643"/>
    </row>
    <row r="644" spans="1:44" x14ac:dyDescent="0.25">
      <c r="C644" s="8"/>
      <c r="J644" s="6"/>
      <c r="K644" s="6"/>
    </row>
    <row r="645" spans="1:44" x14ac:dyDescent="0.25">
      <c r="C645" s="8"/>
      <c r="J645" s="6"/>
      <c r="K645" s="6"/>
    </row>
    <row r="646" spans="1:44" x14ac:dyDescent="0.25">
      <c r="J646" s="6"/>
      <c r="K646" s="6"/>
    </row>
    <row r="647" spans="1:44" x14ac:dyDescent="0.25">
      <c r="A647" t="s">
        <v>3</v>
      </c>
      <c r="C647" s="5">
        <v>2180</v>
      </c>
      <c r="F647" t="s">
        <v>27</v>
      </c>
    </row>
    <row r="648" spans="1:44" x14ac:dyDescent="0.25">
      <c r="F648" t="e">
        <f t="array" ref="F648">SMALL(IF('Raw Data'!A:A=C647,ROW('Raw Data'!A:A)),ROW('Raw Data'!$1:$1))</f>
        <v>#NUM!</v>
      </c>
      <c r="G648" t="e">
        <f t="array" ref="G648">INDEX('Raw Data'!A:A,F648,9)</f>
        <v>#NUM!</v>
      </c>
      <c r="H648" t="e">
        <f t="array" ref="H648">INDEX('Raw Data'!A:A,F648,10)</f>
        <v>#NUM!</v>
      </c>
      <c r="I648" t="e">
        <f t="array" ref="I648">INDEX('Raw Data'!$A:A,$F648,11)</f>
        <v>#NUM!</v>
      </c>
      <c r="J648" t="e">
        <f t="array" ref="J648">INDEX('Raw Data'!$A:A,F648,12)</f>
        <v>#NUM!</v>
      </c>
      <c r="K648" t="e">
        <f>(--INDEX('Raw Data'!$A$4:B$993,F648,4))</f>
        <v>#NUM!</v>
      </c>
      <c r="L648" t="e">
        <f t="array" ref="L648">(--INDEX('Raw Data'!$A$4:B$993,F648,5))</f>
        <v>#NUM!</v>
      </c>
      <c r="M648" t="e">
        <f t="array" ref="M648">(--INDEX('Raw Data'!$A$4:D$993,$F648,6))</f>
        <v>#NUM!</v>
      </c>
      <c r="N648" t="e">
        <f t="array" ref="N648">(--INDEX('Raw Data'!$A$4:D$993,$F648,7))</f>
        <v>#NUM!</v>
      </c>
      <c r="O648" t="e">
        <f t="array" ref="O648">IF(--INDEX('Raw Data'!$A$4:E$993,$F648,8)= 0, 1, 0)</f>
        <v>#NUM!</v>
      </c>
      <c r="P648" t="e">
        <f t="array" ref="P648">IF(--INDEX('Raw Data'!$A$4:F$993,$F648,8)= 1, 1, 0)</f>
        <v>#NUM!</v>
      </c>
      <c r="Q648" t="e">
        <f t="array" ref="Q648">IF(--INDEX('Raw Data'!$A$4:G$993,$F648,13)= 1, 1, 0)</f>
        <v>#NUM!</v>
      </c>
      <c r="R648" t="e">
        <f t="array" ref="R648">IF(--INDEX('Raw Data'!$A$4:H$993,$F648,14)= 1, 1, 0)</f>
        <v>#NUM!</v>
      </c>
      <c r="S648" t="e">
        <f t="array" ref="S648">IF(--INDEX('Raw Data'!$A$4:I$993,$F648,15)= 1, 1, 0)</f>
        <v>#NUM!</v>
      </c>
      <c r="T648" t="e">
        <f t="array" ref="T648">IF(--INDEX('Raw Data'!$A$4:I$993,$F648,15)= 1, 1, 0)</f>
        <v>#NUM!</v>
      </c>
      <c r="U648" t="e">
        <f t="array" ref="U648">IF(--INDEX('Raw Data'!$A$4:J$993,$F648,16)= 1, 1, 0)</f>
        <v>#NUM!</v>
      </c>
      <c r="V648" t="e">
        <f t="array" ref="V648">IF(--INDEX('Raw Data'!$A$4:K$993,$F648,17)= 1, 1, 0)</f>
        <v>#NUM!</v>
      </c>
      <c r="W648" t="e">
        <f t="array" ref="W648">INDEX('Raw Data'!$A:$O,$F648,19)</f>
        <v>#NUM!</v>
      </c>
      <c r="X648" t="e">
        <f t="array" ref="X648">INDEX('Raw Data'!$A:$O,$F648,20)</f>
        <v>#NUM!</v>
      </c>
      <c r="Y648" t="e">
        <f t="array" ref="Y648">INDEX('Raw Data'!$A:$O,F648,21)</f>
        <v>#NUM!</v>
      </c>
      <c r="Z648" t="e">
        <f t="array" ref="Z648">INDEX('Raw Data'!$A:$O,$F648,3)</f>
        <v>#NUM!</v>
      </c>
      <c r="AA648" t="e">
        <f t="array" ref="AA648">INDEX('Raw Data'!$A:$O,$F648,22)</f>
        <v>#NUM!</v>
      </c>
      <c r="AB648" t="e">
        <f t="array" ref="AB648">INDEX('Raw Data'!$A:$O,$F648,23)</f>
        <v>#NUM!</v>
      </c>
    </row>
    <row r="649" spans="1:44" x14ac:dyDescent="0.25">
      <c r="A649" t="s">
        <v>0</v>
      </c>
      <c r="B649">
        <f>G663</f>
        <v>0</v>
      </c>
      <c r="F649" t="e">
        <f t="array" ref="F649">SMALL(IF('Raw Data'!A:A=C647,ROW('Raw Data'!A:A)),ROW('Raw Data'!$2:$2))</f>
        <v>#NUM!</v>
      </c>
      <c r="G649" t="e">
        <f t="array" ref="G649">INDEX('Raw Data'!A:A,F649,9)</f>
        <v>#NUM!</v>
      </c>
      <c r="H649" t="e">
        <f t="array" ref="H649">INDEX('Raw Data'!A:A,F649,10)</f>
        <v>#NUM!</v>
      </c>
      <c r="I649" t="e">
        <f t="array" ref="I649">INDEX('Raw Data'!$A:A,$F649,11)</f>
        <v>#NUM!</v>
      </c>
      <c r="J649" t="e">
        <f t="array" ref="J649">INDEX('Raw Data'!$A:A,F649,12)</f>
        <v>#NUM!</v>
      </c>
      <c r="K649" t="e">
        <f>(--INDEX('Raw Data'!$A$4:B$993,F649,4))</f>
        <v>#NUM!</v>
      </c>
      <c r="L649" t="e">
        <f t="array" ref="L649">(--INDEX('Raw Data'!$A$4:B$993,F649,5))</f>
        <v>#NUM!</v>
      </c>
      <c r="M649" t="e">
        <f t="array" ref="M649">(--INDEX('Raw Data'!$A$4:D$993,$F649,6))</f>
        <v>#NUM!</v>
      </c>
      <c r="N649" t="e">
        <f t="array" ref="N649">(--INDEX('Raw Data'!$A$4:D$993,$F649,7))</f>
        <v>#NUM!</v>
      </c>
      <c r="O649" t="e">
        <f t="array" ref="O649">IF(--INDEX('Raw Data'!$A$4:E$993,$F649,8)= 0, 1, 0)</f>
        <v>#NUM!</v>
      </c>
      <c r="P649" t="e">
        <f t="array" ref="P649">IF(--INDEX('Raw Data'!$A$4:F$993,$F649,8)= 1, 1, 0)</f>
        <v>#NUM!</v>
      </c>
      <c r="Q649" t="e">
        <f t="array" ref="Q649">IF(--INDEX('Raw Data'!$A$4:G$993,$F649,13)= 1, 1, 0)</f>
        <v>#NUM!</v>
      </c>
      <c r="R649" t="e">
        <f t="array" ref="R649">IF(--INDEX('Raw Data'!$A$4:H$993,$F649,14)= 1, 1, 0)</f>
        <v>#NUM!</v>
      </c>
      <c r="S649" t="e">
        <f t="array" ref="S649">IF(--INDEX('Raw Data'!$A$4:I$993,$F649,15)= 1, 1, 0)</f>
        <v>#NUM!</v>
      </c>
      <c r="T649" t="e">
        <f t="array" ref="T649">IF(--INDEX('Raw Data'!$A$4:I$993,$F649,15)= 1, 1, 0)</f>
        <v>#NUM!</v>
      </c>
      <c r="U649" t="e">
        <f t="array" ref="U649">IF(--INDEX('Raw Data'!$A$4:J$993,$F649,16)= 1, 1, 0)</f>
        <v>#NUM!</v>
      </c>
      <c r="V649" t="e">
        <f t="array" ref="V649">IF(--INDEX('Raw Data'!$A$4:K$993,$F649,17)= 1, 1, 0)</f>
        <v>#NUM!</v>
      </c>
      <c r="W649" t="e">
        <f t="array" ref="W649">INDEX('Raw Data'!$A:$O,$F649,19)</f>
        <v>#NUM!</v>
      </c>
      <c r="X649" t="e">
        <f t="array" ref="X649">INDEX('Raw Data'!$A:$O,$F649,20)</f>
        <v>#NUM!</v>
      </c>
      <c r="Y649" t="e">
        <f t="array" ref="Y649">INDEX('Raw Data'!$A:$O,F649,21)</f>
        <v>#NUM!</v>
      </c>
      <c r="Z649" t="e">
        <f t="array" ref="Z649">INDEX('Raw Data'!$A:$O,$F649,3)</f>
        <v>#NUM!</v>
      </c>
      <c r="AA649" t="e">
        <f t="array" ref="AA649">INDEX('Raw Data'!$A:$O,$F649,22)</f>
        <v>#NUM!</v>
      </c>
      <c r="AB649" t="e">
        <f t="array" ref="AB649">INDEX('Raw Data'!$A:$O,$F649,23)</f>
        <v>#NUM!</v>
      </c>
    </row>
    <row r="650" spans="1:44" x14ac:dyDescent="0.25">
      <c r="A650" t="s">
        <v>1</v>
      </c>
      <c r="B650">
        <f>H663</f>
        <v>0</v>
      </c>
      <c r="F650" t="e">
        <f t="array" ref="F650">SMALL(IF('Raw Data'!A:A=C647,ROW('Raw Data'!A:A)),ROW('Raw Data'!$3:$3))</f>
        <v>#NUM!</v>
      </c>
      <c r="G650" t="e">
        <f t="array" ref="G650">INDEX('Raw Data'!A:A,F650,9)</f>
        <v>#NUM!</v>
      </c>
      <c r="H650" t="e">
        <f t="array" ref="H650">INDEX('Raw Data'!A:A,F650,10)</f>
        <v>#NUM!</v>
      </c>
      <c r="I650" t="e">
        <f t="array" ref="I650">INDEX('Raw Data'!$A:A,$F650,11)</f>
        <v>#NUM!</v>
      </c>
      <c r="J650" t="e">
        <f t="array" ref="J650">INDEX('Raw Data'!$A:A,F650,12)</f>
        <v>#NUM!</v>
      </c>
      <c r="K650" t="e">
        <f>(--INDEX('Raw Data'!$A$4:B$993,F650,4))</f>
        <v>#NUM!</v>
      </c>
      <c r="L650" t="e">
        <f t="array" ref="L650">(--INDEX('Raw Data'!$A$4:B$993,F650,5))</f>
        <v>#NUM!</v>
      </c>
      <c r="M650" t="e">
        <f t="array" ref="M650">(--INDEX('Raw Data'!$A$4:D$993,$F650,6))</f>
        <v>#NUM!</v>
      </c>
      <c r="N650" t="e">
        <f t="array" ref="N650">(--INDEX('Raw Data'!$A$4:D$993,$F650,7))</f>
        <v>#NUM!</v>
      </c>
      <c r="O650" t="e">
        <f t="array" ref="O650">IF(--INDEX('Raw Data'!$A$4:E$993,$F650,8)= 0, 1, 0)</f>
        <v>#NUM!</v>
      </c>
      <c r="P650" t="e">
        <f t="array" ref="P650">IF(--INDEX('Raw Data'!$A$4:F$993,$F650,8)= 1, 1, 0)</f>
        <v>#NUM!</v>
      </c>
      <c r="Q650" t="e">
        <f t="array" ref="Q650">IF(--INDEX('Raw Data'!$A$4:G$993,$F650,13)= 1, 1, 0)</f>
        <v>#NUM!</v>
      </c>
      <c r="R650" t="e">
        <f t="array" ref="R650">IF(--INDEX('Raw Data'!$A$4:H$993,$F650,14)= 1, 1, 0)</f>
        <v>#NUM!</v>
      </c>
      <c r="S650" t="e">
        <f t="array" ref="S650">IF(--INDEX('Raw Data'!$A$4:I$993,$F650,15)= 1, 1, 0)</f>
        <v>#NUM!</v>
      </c>
      <c r="T650" t="e">
        <f t="array" ref="T650">IF(--INDEX('Raw Data'!$A$4:I$993,$F650,15)= 1, 1, 0)</f>
        <v>#NUM!</v>
      </c>
      <c r="U650" t="e">
        <f t="array" ref="U650">IF(--INDEX('Raw Data'!$A$4:J$993,$F650,16)= 1, 1, 0)</f>
        <v>#NUM!</v>
      </c>
      <c r="V650" t="e">
        <f t="array" ref="V650">IF(--INDEX('Raw Data'!$A$4:K$993,$F650,17)= 1, 1, 0)</f>
        <v>#NUM!</v>
      </c>
      <c r="W650" t="e">
        <f t="array" ref="W650">INDEX('Raw Data'!$A:$O,$F650,19)</f>
        <v>#NUM!</v>
      </c>
      <c r="X650" t="e">
        <f t="array" ref="X650">INDEX('Raw Data'!$A:$O,$F650,20)</f>
        <v>#NUM!</v>
      </c>
      <c r="Y650" t="e">
        <f t="array" ref="Y650">INDEX('Raw Data'!$A:$O,F650,21)</f>
        <v>#NUM!</v>
      </c>
      <c r="Z650" t="e">
        <f t="array" ref="Z650">INDEX('Raw Data'!$A:$O,$F650,3)</f>
        <v>#NUM!</v>
      </c>
      <c r="AA650" t="e">
        <f t="array" ref="AA650">INDEX('Raw Data'!$A:$O,$F650,22)</f>
        <v>#NUM!</v>
      </c>
      <c r="AB650" t="e">
        <f t="array" ref="AB650">INDEX('Raw Data'!$A:$O,$F650,23)</f>
        <v>#NUM!</v>
      </c>
    </row>
    <row r="651" spans="1:44" x14ac:dyDescent="0.25">
      <c r="A651" t="s">
        <v>2</v>
      </c>
      <c r="C651" s="3" t="e">
        <f>B650/B649</f>
        <v>#DIV/0!</v>
      </c>
      <c r="F651" t="e">
        <f t="array" ref="F651">SMALL(IF('Raw Data'!A:A=C647,ROW('Raw Data'!A:A)),ROW('Raw Data'!$4:$4))</f>
        <v>#NUM!</v>
      </c>
      <c r="G651" t="e">
        <f t="array" ref="G651">INDEX('Raw Data'!A:A,F651,9)</f>
        <v>#NUM!</v>
      </c>
      <c r="H651" t="e">
        <f t="array" ref="H651">INDEX('Raw Data'!A:A,F651,10)</f>
        <v>#NUM!</v>
      </c>
      <c r="I651" t="e">
        <f t="array" ref="I651">INDEX('Raw Data'!$A:A,$F651,11)</f>
        <v>#NUM!</v>
      </c>
      <c r="J651" t="e">
        <f t="array" ref="J651">INDEX('Raw Data'!$A:A,F651,12)</f>
        <v>#NUM!</v>
      </c>
      <c r="K651" t="e">
        <f>(--INDEX('Raw Data'!$A$4:B$993,F651,4))</f>
        <v>#NUM!</v>
      </c>
      <c r="L651" t="e">
        <f t="array" ref="L651">(--INDEX('Raw Data'!$A$4:B$993,F651,5))</f>
        <v>#NUM!</v>
      </c>
      <c r="M651" t="e">
        <f t="array" ref="M651">(--INDEX('Raw Data'!$A$4:D$993,$F651,6))</f>
        <v>#NUM!</v>
      </c>
      <c r="N651" t="e">
        <f t="array" ref="N651">(--INDEX('Raw Data'!$A$4:D$993,$F651,7))</f>
        <v>#NUM!</v>
      </c>
      <c r="O651" t="e">
        <f t="array" ref="O651">IF(--INDEX('Raw Data'!$A$4:E$993,$F651,8)= 0, 1, 0)</f>
        <v>#NUM!</v>
      </c>
      <c r="P651" t="e">
        <f t="array" ref="P651">IF(--INDEX('Raw Data'!$A$4:F$993,$F651,8)= 1, 1, 0)</f>
        <v>#NUM!</v>
      </c>
      <c r="Q651" t="e">
        <f t="array" ref="Q651">IF(--INDEX('Raw Data'!$A$4:G$993,$F651,13)= 1, 1, 0)</f>
        <v>#NUM!</v>
      </c>
      <c r="R651" t="e">
        <f t="array" ref="R651">IF(--INDEX('Raw Data'!$A$4:H$993,$F651,14)= 1, 1, 0)</f>
        <v>#NUM!</v>
      </c>
      <c r="S651" t="e">
        <f t="array" ref="S651">IF(--INDEX('Raw Data'!$A$4:I$993,$F651,15)= 1, 1, 0)</f>
        <v>#NUM!</v>
      </c>
      <c r="T651" t="e">
        <f t="array" ref="T651">IF(--INDEX('Raw Data'!$A$4:I$993,$F651,15)= 1, 1, 0)</f>
        <v>#NUM!</v>
      </c>
      <c r="U651" t="e">
        <f t="array" ref="U651">IF(--INDEX('Raw Data'!$A$4:J$993,$F651,16)= 1, 1, 0)</f>
        <v>#NUM!</v>
      </c>
      <c r="V651" t="e">
        <f t="array" ref="V651">IF(--INDEX('Raw Data'!$A$4:K$993,$F651,17)= 1, 1, 0)</f>
        <v>#NUM!</v>
      </c>
      <c r="W651" t="e">
        <f t="array" ref="W651">INDEX('Raw Data'!$A:$O,$F651,19)</f>
        <v>#NUM!</v>
      </c>
      <c r="X651" t="e">
        <f t="array" ref="X651">INDEX('Raw Data'!$A:$O,$F651,20)</f>
        <v>#NUM!</v>
      </c>
      <c r="Y651" t="e">
        <f t="array" ref="Y651">INDEX('Raw Data'!$A:$O,F651,21)</f>
        <v>#NUM!</v>
      </c>
      <c r="Z651" t="e">
        <f t="array" ref="Z651">INDEX('Raw Data'!$A:$O,$F651,3)</f>
        <v>#NUM!</v>
      </c>
      <c r="AA651" t="e">
        <f t="array" ref="AA651">INDEX('Raw Data'!$A:$O,$F651,22)</f>
        <v>#NUM!</v>
      </c>
      <c r="AB651" t="e">
        <f t="array" ref="AB651">INDEX('Raw Data'!$A:$O,$F651,23)</f>
        <v>#NUM!</v>
      </c>
    </row>
    <row r="652" spans="1:44" x14ac:dyDescent="0.25">
      <c r="A652" t="s">
        <v>54</v>
      </c>
      <c r="B652">
        <f>I663</f>
        <v>0</v>
      </c>
      <c r="F652" t="e">
        <f t="array" ref="F652">SMALL(IF('Raw Data'!A:A=C647,ROW('Raw Data'!A:A)),ROW('Raw Data'!$5:$5))</f>
        <v>#NUM!</v>
      </c>
      <c r="G652" t="e">
        <f t="array" ref="G652">INDEX('Raw Data'!A:A,F652,9)</f>
        <v>#NUM!</v>
      </c>
      <c r="H652" t="e">
        <f t="array" ref="H652">INDEX('Raw Data'!A:A,F652,10)</f>
        <v>#NUM!</v>
      </c>
      <c r="I652" t="e">
        <f t="array" ref="I652">INDEX('Raw Data'!$A:A,$F652,11)</f>
        <v>#NUM!</v>
      </c>
      <c r="J652" t="e">
        <f t="array" ref="J652">INDEX('Raw Data'!$A:A,F652,12)</f>
        <v>#NUM!</v>
      </c>
      <c r="K652" t="e">
        <f>(--INDEX('Raw Data'!$A$4:B$993,F652,4))</f>
        <v>#NUM!</v>
      </c>
      <c r="L652" t="e">
        <f t="array" ref="L652">(--INDEX('Raw Data'!$A$4:B$993,F652,5))</f>
        <v>#NUM!</v>
      </c>
      <c r="M652" t="e">
        <f t="array" ref="M652">(--INDEX('Raw Data'!$A$4:D$993,$F652,6))</f>
        <v>#NUM!</v>
      </c>
      <c r="N652" t="e">
        <f t="array" ref="N652">(--INDEX('Raw Data'!$A$4:D$993,$F652,7))</f>
        <v>#NUM!</v>
      </c>
      <c r="O652" t="e">
        <f t="array" ref="O652">IF(--INDEX('Raw Data'!$A$4:E$993,$F652,8)= 0, 1, 0)</f>
        <v>#NUM!</v>
      </c>
      <c r="P652" t="e">
        <f t="array" ref="P652">IF(--INDEX('Raw Data'!$A$4:F$993,$F652,8)= 1, 1, 0)</f>
        <v>#NUM!</v>
      </c>
      <c r="Q652" t="e">
        <f t="array" ref="Q652">IF(--INDEX('Raw Data'!$A$4:G$993,$F652,13)= 1, 1, 0)</f>
        <v>#NUM!</v>
      </c>
      <c r="R652" t="e">
        <f t="array" ref="R652">IF(--INDEX('Raw Data'!$A$4:H$993,$F652,14)= 1, 1, 0)</f>
        <v>#NUM!</v>
      </c>
      <c r="S652" t="e">
        <f t="array" ref="S652">IF(--INDEX('Raw Data'!$A$4:I$993,$F652,15)= 1, 1, 0)</f>
        <v>#NUM!</v>
      </c>
      <c r="T652" t="e">
        <f t="array" ref="T652">IF(--INDEX('Raw Data'!$A$4:I$993,$F652,15)= 1, 1, 0)</f>
        <v>#NUM!</v>
      </c>
      <c r="U652" t="e">
        <f t="array" ref="U652">IF(--INDEX('Raw Data'!$A$4:J$993,$F652,16)= 1, 1, 0)</f>
        <v>#NUM!</v>
      </c>
      <c r="V652" t="e">
        <f t="array" ref="V652">IF(--INDEX('Raw Data'!$A$4:K$993,$F652,17)= 1, 1, 0)</f>
        <v>#NUM!</v>
      </c>
      <c r="W652" t="e">
        <f t="array" ref="W652">INDEX('Raw Data'!$A:$O,$F652,19)</f>
        <v>#NUM!</v>
      </c>
      <c r="X652" t="e">
        <f t="array" ref="X652">INDEX('Raw Data'!$A:$O,$F652,20)</f>
        <v>#NUM!</v>
      </c>
      <c r="Y652" t="e">
        <f t="array" ref="Y652">INDEX('Raw Data'!$A:$O,F652,21)</f>
        <v>#NUM!</v>
      </c>
      <c r="Z652" t="e">
        <f t="array" ref="Z652">INDEX('Raw Data'!$A:$O,$F652,3)</f>
        <v>#NUM!</v>
      </c>
      <c r="AA652" t="e">
        <f t="array" ref="AA652">INDEX('Raw Data'!$A:$O,$F652,22)</f>
        <v>#NUM!</v>
      </c>
      <c r="AB652" t="e">
        <f t="array" ref="AB652">INDEX('Raw Data'!$A:$O,$F652,23)</f>
        <v>#NUM!</v>
      </c>
      <c r="AR652" s="25"/>
    </row>
    <row r="653" spans="1:44" x14ac:dyDescent="0.25">
      <c r="A653" t="s">
        <v>35</v>
      </c>
      <c r="B653">
        <f>J663</f>
        <v>0</v>
      </c>
      <c r="F653" t="e">
        <f t="array" ref="F653">SMALL(IF('Raw Data'!A:A=C647,ROW('Raw Data'!A:A)),ROW('Raw Data'!$6:$6))</f>
        <v>#NUM!</v>
      </c>
      <c r="G653" t="e">
        <f t="array" ref="G653">INDEX('Raw Data'!A:A,F653,9)</f>
        <v>#NUM!</v>
      </c>
      <c r="H653" t="e">
        <f t="array" ref="H653">INDEX('Raw Data'!A:A,F653,10)</f>
        <v>#NUM!</v>
      </c>
      <c r="I653" t="e">
        <f t="array" ref="I653">INDEX('Raw Data'!$A:A,$F653,11)</f>
        <v>#NUM!</v>
      </c>
      <c r="J653" t="e">
        <f t="array" ref="J653">INDEX('Raw Data'!$A:A,F653,12)</f>
        <v>#NUM!</v>
      </c>
      <c r="K653" t="e">
        <f>(--INDEX('Raw Data'!$A$4:B$993,F653,4))</f>
        <v>#NUM!</v>
      </c>
      <c r="L653" t="e">
        <f t="array" ref="L653">(--INDEX('Raw Data'!$A$4:B$998,F653,5))</f>
        <v>#NUM!</v>
      </c>
      <c r="M653" t="e">
        <f t="array" ref="M653">(--INDEX('Raw Data'!$A$4:D$998,$F653,6))</f>
        <v>#NUM!</v>
      </c>
      <c r="N653" t="e">
        <f t="array" ref="N653">(--INDEX('Raw Data'!$A$4:D$993,$F653,7))</f>
        <v>#NUM!</v>
      </c>
      <c r="O653" t="e">
        <f t="array" ref="O653">IF(--INDEX('Raw Data'!$A$4:E$993,$F653,8)= 0, 1, 0)</f>
        <v>#NUM!</v>
      </c>
      <c r="P653" t="e">
        <f t="array" ref="P653">IF(--INDEX('Raw Data'!$A$4:F$998,$F653,8)= 1, 1, 0)</f>
        <v>#NUM!</v>
      </c>
      <c r="Q653" t="e">
        <f t="array" ref="Q653">IF(--INDEX('Raw Data'!$A$4:G$998,$F653,13)= 1, 1, 0)</f>
        <v>#NUM!</v>
      </c>
      <c r="R653" t="e">
        <f t="array" ref="R653">IF(--INDEX('Raw Data'!$A$4:H$998,$F653,14)= 1, 1, 0)</f>
        <v>#NUM!</v>
      </c>
      <c r="S653" t="e">
        <f t="array" ref="S653">IF(--INDEX('Raw Data'!$A$4:I$993,$F653,15)= 1, 1, 0)</f>
        <v>#NUM!</v>
      </c>
      <c r="T653" t="e">
        <f t="array" ref="T653">IF(--INDEX('Raw Data'!$A$4:I$998,$F653,15)= 1, 1, 0)</f>
        <v>#NUM!</v>
      </c>
      <c r="U653" t="e">
        <f t="array" ref="U653">IF(--INDEX('Raw Data'!$A$4:J$998,$F653,16)= 1, 1, 0)</f>
        <v>#NUM!</v>
      </c>
      <c r="V653" t="e">
        <f t="array" ref="V653">IF(--INDEX('Raw Data'!$A$4:K$993,$F653,17)= 1, 1, 0)</f>
        <v>#NUM!</v>
      </c>
      <c r="W653" t="e">
        <f t="array" ref="W653">INDEX('Raw Data'!$A:$O,$F653,19)</f>
        <v>#NUM!</v>
      </c>
      <c r="X653" t="e">
        <f t="array" ref="X653">INDEX('Raw Data'!$A:$O,$F653,20)</f>
        <v>#NUM!</v>
      </c>
      <c r="Y653" t="e">
        <f t="array" ref="Y653">INDEX('Raw Data'!$A:$O,F653,21)</f>
        <v>#NUM!</v>
      </c>
      <c r="Z653" t="e">
        <f t="array" ref="Z653">INDEX('Raw Data'!$A:$O,$F653,3)</f>
        <v>#NUM!</v>
      </c>
      <c r="AA653" t="e">
        <f t="array" ref="AA653">INDEX('Raw Data'!$A:$O,$F653,22)</f>
        <v>#NUM!</v>
      </c>
      <c r="AB653" t="e">
        <f t="array" ref="AB653">INDEX('Raw Data'!$A:$O,$F653,23)</f>
        <v>#NUM!</v>
      </c>
      <c r="AR653" s="25"/>
    </row>
    <row r="654" spans="1:44" ht="28.5" x14ac:dyDescent="0.45">
      <c r="F654" t="e">
        <f t="array" ref="F654">SMALL(IF('Raw Data'!A:A=C647,ROW('Raw Data'!A:A)),ROW('Raw Data'!$7:$7))</f>
        <v>#NUM!</v>
      </c>
      <c r="G654" t="e">
        <f t="array" ref="G654">INDEX('Raw Data'!A:A,F654,9)</f>
        <v>#NUM!</v>
      </c>
      <c r="H654" t="e">
        <f t="array" ref="H654">INDEX('Raw Data'!A:A,F654,10)</f>
        <v>#NUM!</v>
      </c>
      <c r="I654" t="e">
        <f t="array" ref="I654">INDEX('Raw Data'!$A:A,$F654,11)</f>
        <v>#NUM!</v>
      </c>
      <c r="J654" t="e">
        <f t="array" ref="J654">INDEX('Raw Data'!$A:A,F654,12)</f>
        <v>#NUM!</v>
      </c>
      <c r="K654" t="e">
        <f t="array" ref="K654">(--INDEX('Raw Data'!$A$4:B$998,F654,4))</f>
        <v>#NUM!</v>
      </c>
      <c r="L654" t="e">
        <f t="array" ref="L654">(--INDEX('Raw Data'!$A$4:B$998,F654,5))</f>
        <v>#NUM!</v>
      </c>
      <c r="M654" t="e">
        <f t="array" ref="M654">(--INDEX('Raw Data'!$A$4:D$998,$F654,6))</f>
        <v>#NUM!</v>
      </c>
      <c r="N654" t="e">
        <f t="array" ref="N654">(--INDEX('Raw Data'!$A$4:D$998,$F654,7))</f>
        <v>#NUM!</v>
      </c>
      <c r="O654" t="e">
        <f t="array" ref="O654">IF(--INDEX('Raw Data'!$A$4:E$998,$F654,8)= 0, 1, 0)</f>
        <v>#NUM!</v>
      </c>
      <c r="P654" t="e">
        <f t="array" ref="P654">IF(--INDEX('Raw Data'!$A$4:F$998,$F654,8)= 1, 1, 0)</f>
        <v>#NUM!</v>
      </c>
      <c r="Q654" t="e">
        <f t="array" ref="Q654">IF(--INDEX('Raw Data'!$A$4:G$998,$F654,13)= 1, 1, 0)</f>
        <v>#NUM!</v>
      </c>
      <c r="R654" t="e">
        <f t="array" ref="R654">IF(--INDEX('Raw Data'!$A$4:H$998,$F654,14)= 1, 1, 0)</f>
        <v>#NUM!</v>
      </c>
      <c r="S654" t="e">
        <f t="array" ref="S654">IF(--INDEX('Raw Data'!$A$4:I$998,$F654,15)= 1, 1, 0)</f>
        <v>#NUM!</v>
      </c>
      <c r="T654" t="e">
        <f t="array" ref="T654">IF(--INDEX('Raw Data'!$A$4:I$998,$F654,15)= 1, 1, 0)</f>
        <v>#NUM!</v>
      </c>
      <c r="U654" t="e">
        <f t="array" ref="U654">IF(--INDEX('Raw Data'!$A$4:J$998,$F654,16)= 1, 1, 0)</f>
        <v>#NUM!</v>
      </c>
      <c r="V654" t="e">
        <f t="array" ref="V654">IF(--INDEX('Raw Data'!$A$4:K$998,$F654,17)= 1, 1, 0)</f>
        <v>#NUM!</v>
      </c>
      <c r="W654" t="e">
        <f t="array" ref="W654">INDEX('Raw Data'!$A:$O,$F654,19)</f>
        <v>#NUM!</v>
      </c>
      <c r="X654" t="e">
        <f t="array" ref="X654">INDEX('Raw Data'!$A:$O,$F654,20)</f>
        <v>#NUM!</v>
      </c>
      <c r="Y654" t="e">
        <f t="array" ref="Y654">INDEX('Raw Data'!$A:$O,F654,21)</f>
        <v>#NUM!</v>
      </c>
      <c r="Z654" t="e">
        <f t="array" ref="Z654">INDEX('Raw Data'!$A:$O,$F654,3)</f>
        <v>#NUM!</v>
      </c>
      <c r="AA654" t="e">
        <f t="array" ref="AA654">INDEX('Raw Data'!$A:$O,$F654,22)</f>
        <v>#NUM!</v>
      </c>
      <c r="AB654" t="e">
        <f t="array" ref="AB654">INDEX('Raw Data'!$A:$O,$F654,23)</f>
        <v>#NUM!</v>
      </c>
      <c r="AM654" s="21"/>
    </row>
    <row r="655" spans="1:44" x14ac:dyDescent="0.25">
      <c r="F655" t="e">
        <f t="array" ref="F655">SMALL(IF('Raw Data'!A:A=C647,ROW('Raw Data'!A:A)),ROW('Raw Data'!$8:$8))</f>
        <v>#NUM!</v>
      </c>
      <c r="G655" t="e">
        <f t="array" ref="G655">INDEX('Raw Data'!A:A,F655,9)</f>
        <v>#NUM!</v>
      </c>
      <c r="H655" t="e">
        <f t="array" ref="H655">INDEX('Raw Data'!A:A,F655,10)</f>
        <v>#NUM!</v>
      </c>
      <c r="I655" t="e">
        <f t="array" ref="I655">INDEX('Raw Data'!$A:A,$F655,11)</f>
        <v>#NUM!</v>
      </c>
      <c r="J655" t="e">
        <f t="array" ref="J655">INDEX('Raw Data'!$A:A,F655,12)</f>
        <v>#NUM!</v>
      </c>
      <c r="K655" t="e">
        <f t="array" ref="K655">(--INDEX('Raw Data'!$A$4:B$998,F655,4))</f>
        <v>#NUM!</v>
      </c>
      <c r="L655" t="e">
        <f t="array" ref="L655">(--INDEX('Raw Data'!$A$4:B$998,F655,5))</f>
        <v>#NUM!</v>
      </c>
      <c r="M655" t="e">
        <f t="array" ref="M655">(--INDEX('Raw Data'!$A$4:D$998,$F655,6))</f>
        <v>#NUM!</v>
      </c>
      <c r="N655" t="e">
        <f t="array" ref="N655">(--INDEX('Raw Data'!$A$4:D$998,$F655,7))</f>
        <v>#NUM!</v>
      </c>
      <c r="O655" t="e">
        <f t="array" ref="O655">IF(--INDEX('Raw Data'!$A$4:E$998,$F655,8)= 0, 1, 0)</f>
        <v>#NUM!</v>
      </c>
      <c r="P655" t="e">
        <f t="array" ref="P655">IF(--INDEX('Raw Data'!$A$4:F$998,$F655,8)= 1, 1, 0)</f>
        <v>#NUM!</v>
      </c>
      <c r="Q655" t="e">
        <f t="array" ref="Q655">IF(--INDEX('Raw Data'!$A$4:G$998,$F655,13)= 1, 1, 0)</f>
        <v>#NUM!</v>
      </c>
      <c r="R655" t="e">
        <f t="array" ref="R655">IF(--INDEX('Raw Data'!$A$4:H$998,$F655,14)= 1, 1, 0)</f>
        <v>#NUM!</v>
      </c>
      <c r="S655" t="e">
        <f t="array" ref="S655">IF(--INDEX('Raw Data'!$A$4:I$998,$F655,15)= 1, 1, 0)</f>
        <v>#NUM!</v>
      </c>
      <c r="T655" t="e">
        <f t="array" ref="T655">IF(--INDEX('Raw Data'!$A$4:I$998,$F655,15)= 1, 1, 0)</f>
        <v>#NUM!</v>
      </c>
      <c r="U655" t="e">
        <f t="array" ref="U655">IF(--INDEX('Raw Data'!$A$4:J$998,$F655,16)= 1, 1, 0)</f>
        <v>#NUM!</v>
      </c>
      <c r="V655" t="e">
        <f t="array" ref="V655">IF(--INDEX('Raw Data'!$A$4:K$998,$F655,17)= 1, 1, 0)</f>
        <v>#NUM!</v>
      </c>
      <c r="W655" t="e">
        <f t="array" ref="W655">INDEX('Raw Data'!$A:$O,$F655,19)</f>
        <v>#NUM!</v>
      </c>
      <c r="X655" t="e">
        <f t="array" ref="X655">INDEX('Raw Data'!$A:$O,$F655,20)</f>
        <v>#NUM!</v>
      </c>
      <c r="Y655" t="e">
        <f t="array" ref="Y655">INDEX('Raw Data'!$A:$O,F655,21)</f>
        <v>#NUM!</v>
      </c>
      <c r="Z655" t="e">
        <f t="array" ref="Z655">INDEX('Raw Data'!$A:$O,$F655,3)</f>
        <v>#NUM!</v>
      </c>
      <c r="AA655" t="e">
        <f t="array" ref="AA655">INDEX('Raw Data'!$A:$O,$F655,22)</f>
        <v>#NUM!</v>
      </c>
      <c r="AB655" t="e">
        <f t="array" ref="AB655">INDEX('Raw Data'!$A:$O,$F655,23)</f>
        <v>#NUM!</v>
      </c>
    </row>
    <row r="656" spans="1:44" x14ac:dyDescent="0.25">
      <c r="F656" t="e">
        <f t="array" ref="F656">SMALL(IF('Raw Data'!A:A=C647,ROW('Raw Data'!A:A)),ROW('Raw Data'!$9:$9))</f>
        <v>#NUM!</v>
      </c>
      <c r="G656" t="e">
        <f t="array" ref="G656">INDEX('Raw Data'!A:A,F656,9)</f>
        <v>#NUM!</v>
      </c>
      <c r="H656" t="e">
        <f t="array" ref="H656">INDEX('Raw Data'!A:A,F656,10)</f>
        <v>#NUM!</v>
      </c>
      <c r="I656" t="e">
        <f t="array" ref="I656">INDEX('Raw Data'!$A:A,$F656,11)</f>
        <v>#NUM!</v>
      </c>
      <c r="J656" t="e">
        <f t="array" ref="J656">INDEX('Raw Data'!$A:A,F656,12)</f>
        <v>#NUM!</v>
      </c>
      <c r="K656" t="e">
        <f t="array" ref="K656">(--INDEX('Raw Data'!$A$4:B$998,F656,4))</f>
        <v>#NUM!</v>
      </c>
      <c r="L656" t="e">
        <f t="array" ref="L656">(--INDEX('Raw Data'!$A$4:B$998,F656,5))</f>
        <v>#NUM!</v>
      </c>
      <c r="M656" t="e">
        <f t="array" ref="M656">(--INDEX('Raw Data'!$A$4:D$998,$F656,6))</f>
        <v>#NUM!</v>
      </c>
      <c r="N656" t="e">
        <f t="array" ref="N656">(--INDEX('Raw Data'!$A$4:D$998,$F656,7))</f>
        <v>#NUM!</v>
      </c>
      <c r="O656" t="e">
        <f t="array" ref="O656">IF(--INDEX('Raw Data'!$A$4:E$998,$F656,8)= 0, 1, 0)</f>
        <v>#NUM!</v>
      </c>
      <c r="P656" t="e">
        <f t="array" ref="P656">IF(--INDEX('Raw Data'!$A$4:F$998,$F656,8)= 1, 1, 0)</f>
        <v>#NUM!</v>
      </c>
      <c r="Q656" t="e">
        <f t="array" ref="Q656">IF(--INDEX('Raw Data'!$A$4:G$998,$F656,13)= 1, 1, 0)</f>
        <v>#NUM!</v>
      </c>
      <c r="R656" t="e">
        <f t="array" ref="R656">IF(--INDEX('Raw Data'!$A$4:H$998,$F656,14)= 1, 1, 0)</f>
        <v>#NUM!</v>
      </c>
      <c r="S656" t="e">
        <f t="array" ref="S656">IF(--INDEX('Raw Data'!$A$4:I$998,$F656,15)= 1, 1, 0)</f>
        <v>#NUM!</v>
      </c>
      <c r="T656" t="e">
        <f t="array" ref="T656">IF(--INDEX('Raw Data'!$A$4:I$998,$F656,15)= 1, 1, 0)</f>
        <v>#NUM!</v>
      </c>
      <c r="U656" t="e">
        <f t="array" ref="U656">IF(--INDEX('Raw Data'!$A$4:J$998,$F656,16)= 1, 1, 0)</f>
        <v>#NUM!</v>
      </c>
      <c r="V656" t="e">
        <f t="array" ref="V656">IF(--INDEX('Raw Data'!$A$4:K$998,$F656,17)= 1, 1, 0)</f>
        <v>#NUM!</v>
      </c>
      <c r="W656" t="e">
        <f t="array" ref="W656">INDEX('Raw Data'!$A:$O,$F656,19)</f>
        <v>#NUM!</v>
      </c>
      <c r="X656" t="e">
        <f t="array" ref="X656">INDEX('Raw Data'!$A:$O,$F656,20)</f>
        <v>#NUM!</v>
      </c>
      <c r="Y656" t="e">
        <f t="array" ref="Y656">INDEX('Raw Data'!$A:$O,F656,21)</f>
        <v>#NUM!</v>
      </c>
      <c r="Z656" t="e">
        <f t="array" ref="Z656">INDEX('Raw Data'!$A:$O,$F656,3)</f>
        <v>#NUM!</v>
      </c>
      <c r="AA656" t="e">
        <f t="array" ref="AA656">INDEX('Raw Data'!$A:$O,$F656,22)</f>
        <v>#NUM!</v>
      </c>
      <c r="AB656" t="e">
        <f t="array" ref="AB656">INDEX('Raw Data'!$A:$O,$F656,23)</f>
        <v>#NUM!</v>
      </c>
    </row>
    <row r="657" spans="1:44" x14ac:dyDescent="0.25">
      <c r="F657" t="e">
        <f t="array" ref="F657">SMALL(IF('Raw Data'!A:A=C647,ROW('Raw Data'!A:A)),ROW('Raw Data'!$10:$10))</f>
        <v>#NUM!</v>
      </c>
      <c r="G657" t="e">
        <f t="array" ref="G657">INDEX('Raw Data'!A:A,F657,9)</f>
        <v>#NUM!</v>
      </c>
      <c r="H657" t="e">
        <f t="array" ref="H657">INDEX('Raw Data'!A:A,F657,10)</f>
        <v>#NUM!</v>
      </c>
      <c r="I657" t="e">
        <f t="array" ref="I657">INDEX('Raw Data'!$A:A,$F657,11)</f>
        <v>#NUM!</v>
      </c>
      <c r="J657" t="e">
        <f t="array" ref="J657">INDEX('Raw Data'!$A:A,F657,12)</f>
        <v>#NUM!</v>
      </c>
      <c r="K657" t="e">
        <f t="array" ref="K657">(--INDEX('Raw Data'!$A$4:B$998,F657,4))</f>
        <v>#NUM!</v>
      </c>
      <c r="L657" t="e">
        <f t="array" ref="L657">(--INDEX('Raw Data'!$A$4:B$998,F657,5))</f>
        <v>#NUM!</v>
      </c>
      <c r="M657" t="e">
        <f t="array" ref="M657">(--INDEX('Raw Data'!$A$4:D$998,$F657,6))</f>
        <v>#NUM!</v>
      </c>
      <c r="N657" t="e">
        <f t="array" ref="N657">(--INDEX('Raw Data'!$A$4:D$998,$F657,7))</f>
        <v>#NUM!</v>
      </c>
      <c r="O657" t="e">
        <f t="array" ref="O657">IF(--INDEX('Raw Data'!$A$4:E$998,$F657,8)= 0, 1, 0)</f>
        <v>#NUM!</v>
      </c>
      <c r="P657" t="e">
        <f t="array" ref="P657">IF(--INDEX('Raw Data'!$A$4:F$998,$F657,8)= 1, 1, 0)</f>
        <v>#NUM!</v>
      </c>
      <c r="Q657" t="e">
        <f t="array" ref="Q657">IF(--INDEX('Raw Data'!$A$4:G$998,$F657,13)= 1, 1, 0)</f>
        <v>#NUM!</v>
      </c>
      <c r="R657" t="e">
        <f t="array" ref="R657">IF(--INDEX('Raw Data'!$A$4:H$998,$F657,14)= 1, 1, 0)</f>
        <v>#NUM!</v>
      </c>
      <c r="S657" t="e">
        <f t="array" ref="S657">IF(--INDEX('Raw Data'!$A$4:I$998,$F657,15)= 1, 1, 0)</f>
        <v>#NUM!</v>
      </c>
      <c r="T657" t="e">
        <f t="array" ref="T657">IF(--INDEX('Raw Data'!$A$4:I$998,$F657,15)= 1, 1, 0)</f>
        <v>#NUM!</v>
      </c>
      <c r="U657" t="e">
        <f t="array" ref="U657">IF(--INDEX('Raw Data'!$A$4:J$998,$F657,16)= 1, 1, 0)</f>
        <v>#NUM!</v>
      </c>
      <c r="V657" t="e">
        <f t="array" ref="V657">IF(--INDEX('Raw Data'!$A$4:K$998,$F657,17)= 1, 1, 0)</f>
        <v>#NUM!</v>
      </c>
      <c r="W657" t="e">
        <f t="array" ref="W657">INDEX('Raw Data'!$A:$O,$F657,19)</f>
        <v>#NUM!</v>
      </c>
      <c r="X657" t="e">
        <f t="array" ref="X657">INDEX('Raw Data'!$A:$O,$F657,20)</f>
        <v>#NUM!</v>
      </c>
      <c r="Y657" t="e">
        <f t="array" ref="Y657">INDEX('Raw Data'!$A:$O,F657,21)</f>
        <v>#NUM!</v>
      </c>
      <c r="Z657" t="e">
        <f t="array" ref="Z657">INDEX('Raw Data'!$A:$O,$F657,3)</f>
        <v>#NUM!</v>
      </c>
      <c r="AA657" t="e">
        <f t="array" ref="AA657">INDEX('Raw Data'!$A:$O,$F657,22)</f>
        <v>#NUM!</v>
      </c>
      <c r="AB657" t="e">
        <f t="array" ref="AB657">INDEX('Raw Data'!$A:$O,$F657,23)</f>
        <v>#NUM!</v>
      </c>
    </row>
    <row r="658" spans="1:44" x14ac:dyDescent="0.25">
      <c r="F658" t="e">
        <f t="array" ref="F658">SMALL(IF('Raw Data'!A:A=C647,ROW('Raw Data'!A:A)),ROW('Raw Data'!$11:$11))</f>
        <v>#NUM!</v>
      </c>
      <c r="G658" t="e">
        <f t="array" ref="G658">INDEX('Raw Data'!A:A,F658,9)</f>
        <v>#NUM!</v>
      </c>
      <c r="H658" t="e">
        <f t="array" ref="H658">INDEX('Raw Data'!A:A,F658,10)</f>
        <v>#NUM!</v>
      </c>
      <c r="I658" t="e">
        <f t="array" ref="I658">INDEX('Raw Data'!$A:A,$F658,11)</f>
        <v>#NUM!</v>
      </c>
      <c r="J658" t="e">
        <f t="array" ref="J658">INDEX('Raw Data'!$A:A,F658,12)</f>
        <v>#NUM!</v>
      </c>
      <c r="K658" t="e">
        <f t="array" ref="K658">(--INDEX('Raw Data'!$A$4:B$998,F658,4))</f>
        <v>#NUM!</v>
      </c>
      <c r="L658" t="e">
        <f t="array" ref="L658">(--INDEX('Raw Data'!$A$4:B$998,F658,5))</f>
        <v>#NUM!</v>
      </c>
      <c r="M658" t="e">
        <f t="array" ref="M658">(--INDEX('Raw Data'!$A$4:D$998,$F658,6))</f>
        <v>#NUM!</v>
      </c>
      <c r="N658" t="e">
        <f t="array" ref="N658">(--INDEX('Raw Data'!$A$4:D$998,$F658,7))</f>
        <v>#NUM!</v>
      </c>
      <c r="O658" t="e">
        <f t="array" ref="O658">IF(--INDEX('Raw Data'!$A$4:E$998,$F658,8)= 0, 1, 0)</f>
        <v>#NUM!</v>
      </c>
      <c r="P658" t="e">
        <f t="array" ref="P658">IF(--INDEX('Raw Data'!$A$4:F$998,$F658,8)= 1, 1, 0)</f>
        <v>#NUM!</v>
      </c>
      <c r="Q658" t="e">
        <f t="array" ref="Q658">IF(--INDEX('Raw Data'!$A$4:G$998,$F658,13)= 1, 1, 0)</f>
        <v>#NUM!</v>
      </c>
      <c r="R658" t="e">
        <f t="array" ref="R658">IF(--INDEX('Raw Data'!$A$4:H$998,$F658,14)= 1, 1, 0)</f>
        <v>#NUM!</v>
      </c>
      <c r="S658" t="e">
        <f t="array" ref="S658">IF(--INDEX('Raw Data'!$A$4:I$998,$F658,15)= 1, 1, 0)</f>
        <v>#NUM!</v>
      </c>
      <c r="T658" t="e">
        <f t="array" ref="T658">IF(--INDEX('Raw Data'!$A$4:I$998,$F658,15)= 1, 1, 0)</f>
        <v>#NUM!</v>
      </c>
      <c r="U658" t="e">
        <f t="array" ref="U658">IF(--INDEX('Raw Data'!$A$4:J$998,$F658,16)= 1, 1, 0)</f>
        <v>#NUM!</v>
      </c>
      <c r="V658" t="e">
        <f t="array" ref="V658">IF(--INDEX('Raw Data'!$A$4:K$998,$F658,17)= 1, 1, 0)</f>
        <v>#NUM!</v>
      </c>
      <c r="W658" t="e">
        <f t="array" ref="W658">INDEX('Raw Data'!$A:$O,$F658,19)</f>
        <v>#NUM!</v>
      </c>
      <c r="X658" t="e">
        <f t="array" ref="X658">INDEX('Raw Data'!$A:$O,$F658,20)</f>
        <v>#NUM!</v>
      </c>
      <c r="Y658" t="e">
        <f t="array" ref="Y658">INDEX('Raw Data'!$A:$O,F658,21)</f>
        <v>#NUM!</v>
      </c>
      <c r="Z658" t="e">
        <f t="array" ref="Z658">INDEX('Raw Data'!$A:$O,$F658,3)</f>
        <v>#NUM!</v>
      </c>
      <c r="AA658" t="e">
        <f t="array" ref="AA658">INDEX('Raw Data'!$A:$O,$F658,22)</f>
        <v>#NUM!</v>
      </c>
      <c r="AB658" t="e">
        <f t="array" ref="AB658">INDEX('Raw Data'!$A:$O,$F658,23)</f>
        <v>#NUM!</v>
      </c>
    </row>
    <row r="659" spans="1:44" x14ac:dyDescent="0.25">
      <c r="F659" t="e">
        <f t="array" ref="F659">SMALL(IF('Raw Data'!A:A=C647,ROW('Raw Data'!A:A)),ROW('Raw Data'!$12:$12))</f>
        <v>#NUM!</v>
      </c>
      <c r="G659" t="e">
        <f t="array" ref="G659">INDEX('Raw Data'!A:A,F659,9)</f>
        <v>#NUM!</v>
      </c>
      <c r="H659" t="e">
        <f t="array" ref="H659">INDEX('Raw Data'!A:A,F659,10)</f>
        <v>#NUM!</v>
      </c>
      <c r="I659" t="e">
        <f t="array" ref="I659">INDEX('Raw Data'!$A:A,$F659,11)</f>
        <v>#NUM!</v>
      </c>
      <c r="J659" t="e">
        <f t="array" ref="J659">INDEX('Raw Data'!$A:A,F659,12)</f>
        <v>#NUM!</v>
      </c>
      <c r="K659" t="e">
        <f t="array" ref="K659">(--INDEX('Raw Data'!$A$4:B$998,F659,4))</f>
        <v>#NUM!</v>
      </c>
      <c r="L659" t="e">
        <f t="array" ref="L659">(--INDEX('Raw Data'!$A$4:B$998,F659,5))</f>
        <v>#NUM!</v>
      </c>
      <c r="M659" t="e">
        <f t="array" ref="M659">(--INDEX('Raw Data'!$A$4:D$998,$F659,6))</f>
        <v>#NUM!</v>
      </c>
      <c r="N659" t="e">
        <f t="array" ref="N659">(--INDEX('Raw Data'!$A$4:D$998,$F659,7))</f>
        <v>#NUM!</v>
      </c>
      <c r="O659" t="e">
        <f t="array" ref="O659">IF(--INDEX('Raw Data'!$A$4:E$998,$F659,8)= 0, 1, 0)</f>
        <v>#NUM!</v>
      </c>
      <c r="P659" t="e">
        <f t="array" ref="P659">IF(--INDEX('Raw Data'!$A$4:F$998,$F659,8)= 1, 1, 0)</f>
        <v>#NUM!</v>
      </c>
      <c r="Q659" t="e">
        <f t="array" ref="Q659">IF(--INDEX('Raw Data'!$A$4:G$998,$F659,13)= 1, 1, 0)</f>
        <v>#NUM!</v>
      </c>
      <c r="R659" t="e">
        <f t="array" ref="R659">IF(--INDEX('Raw Data'!$A$4:H$998,$F659,14)= 1, 1, 0)</f>
        <v>#NUM!</v>
      </c>
      <c r="S659" t="e">
        <f t="array" ref="S659">IF(--INDEX('Raw Data'!$A$4:I$998,$F659,15)= 1, 1, 0)</f>
        <v>#NUM!</v>
      </c>
      <c r="T659" t="e">
        <f t="array" ref="T659">IF(--INDEX('Raw Data'!$A$4:I$998,$F659,15)= 1, 1, 0)</f>
        <v>#NUM!</v>
      </c>
      <c r="U659" t="e">
        <f t="array" ref="U659">IF(--INDEX('Raw Data'!$A$4:J$998,$F659,16)= 1, 1, 0)</f>
        <v>#NUM!</v>
      </c>
      <c r="V659" t="e">
        <f t="array" ref="V659">IF(--INDEX('Raw Data'!$A$4:K$998,$F659,17)= 1, 1, 0)</f>
        <v>#NUM!</v>
      </c>
      <c r="W659" t="e">
        <f t="array" ref="W659">INDEX('Raw Data'!$A:$O,$F659,19)</f>
        <v>#NUM!</v>
      </c>
      <c r="X659" t="e">
        <f t="array" ref="X659">INDEX('Raw Data'!$A:$O,$F659,20)</f>
        <v>#NUM!</v>
      </c>
      <c r="Y659" t="e">
        <f t="array" ref="Y659">INDEX('Raw Data'!$A:$O,F659,21)</f>
        <v>#NUM!</v>
      </c>
      <c r="Z659" t="e">
        <f t="array" ref="Z659">INDEX('Raw Data'!$A:$O,$F659,3)</f>
        <v>#NUM!</v>
      </c>
      <c r="AA659" t="e">
        <f t="array" ref="AA659">INDEX('Raw Data'!$A:$O,$F659,22)</f>
        <v>#NUM!</v>
      </c>
      <c r="AB659" t="e">
        <f t="array" ref="AB659">INDEX('Raw Data'!$A:$O,$F659,23)</f>
        <v>#NUM!</v>
      </c>
    </row>
    <row r="660" spans="1:44" x14ac:dyDescent="0.25">
      <c r="F660" t="e">
        <f t="array" ref="F660">SMALL(IF('Raw Data'!A:A=C647,ROW('Raw Data'!A:A)),ROW('Raw Data'!$13:$13))</f>
        <v>#NUM!</v>
      </c>
      <c r="G660" t="e">
        <f t="array" ref="G660">INDEX('Raw Data'!A:A,F660,9)</f>
        <v>#NUM!</v>
      </c>
      <c r="H660" t="e">
        <f t="array" ref="H660">INDEX('Raw Data'!A:A,F660,10)</f>
        <v>#NUM!</v>
      </c>
      <c r="I660" t="e">
        <f t="array" ref="I660">INDEX('Raw Data'!$A:A,$F660,11)</f>
        <v>#NUM!</v>
      </c>
      <c r="J660" t="e">
        <f t="array" ref="J660">INDEX('Raw Data'!$A:A,F660,12)</f>
        <v>#NUM!</v>
      </c>
      <c r="K660" t="e">
        <f t="array" ref="K660">(--INDEX('Raw Data'!$A$4:B$998,F660,4))</f>
        <v>#NUM!</v>
      </c>
      <c r="L660" t="e">
        <f t="array" ref="L660">(--INDEX('Raw Data'!$A$4:B$998,F660,5))</f>
        <v>#NUM!</v>
      </c>
      <c r="M660" t="e">
        <f t="array" ref="M660">(--INDEX('Raw Data'!$A$4:D$998,$F660,6))</f>
        <v>#NUM!</v>
      </c>
      <c r="N660" t="e">
        <f t="array" ref="N660">(--INDEX('Raw Data'!$A$4:D$998,$F660,7))</f>
        <v>#NUM!</v>
      </c>
      <c r="O660" t="e">
        <f t="array" ref="O660">IF(--INDEX('Raw Data'!$A$4:E$998,$F660,8)= 0, 1, 0)</f>
        <v>#NUM!</v>
      </c>
      <c r="P660" t="e">
        <f t="array" ref="P660">IF(--INDEX('Raw Data'!$A$4:F$998,$F660,8)= 1, 1, 0)</f>
        <v>#NUM!</v>
      </c>
      <c r="Q660" t="e">
        <f t="array" ref="Q660">IF(--INDEX('Raw Data'!$A$4:G$998,$F660,13)= 1, 1, 0)</f>
        <v>#NUM!</v>
      </c>
      <c r="R660" t="e">
        <f t="array" ref="R660">IF(--INDEX('Raw Data'!$A$4:H$998,$F660,14)= 1, 1, 0)</f>
        <v>#NUM!</v>
      </c>
      <c r="S660" t="e">
        <f t="array" ref="S660">IF(--INDEX('Raw Data'!$A$4:I$998,$F660,15)= 1, 1, 0)</f>
        <v>#NUM!</v>
      </c>
      <c r="T660" t="e">
        <f t="array" ref="T660">IF(--INDEX('Raw Data'!$A$4:I$998,$F660,15)= 1, 1, 0)</f>
        <v>#NUM!</v>
      </c>
      <c r="U660" t="e">
        <f t="array" ref="U660">IF(--INDEX('Raw Data'!$A$4:J$998,$F660,16)= 1, 1, 0)</f>
        <v>#NUM!</v>
      </c>
      <c r="V660" t="e">
        <f t="array" ref="V660">IF(--INDEX('Raw Data'!$A$4:K$998,$F660,17)= 1, 1, 0)</f>
        <v>#NUM!</v>
      </c>
      <c r="W660" t="e">
        <f t="array" ref="W660">INDEX('Raw Data'!$A:$O,$F660,19)</f>
        <v>#NUM!</v>
      </c>
      <c r="X660" t="e">
        <f t="array" ref="X660">INDEX('Raw Data'!$A:$O,$F660,20)</f>
        <v>#NUM!</v>
      </c>
      <c r="Y660" t="e">
        <f t="array" ref="Y660">INDEX('Raw Data'!$A:$O,F660,21)</f>
        <v>#NUM!</v>
      </c>
      <c r="Z660" t="e">
        <f t="array" ref="Z660">INDEX('Raw Data'!$A:$O,$F660,3)</f>
        <v>#NUM!</v>
      </c>
      <c r="AA660" t="e">
        <f t="array" ref="AA660">INDEX('Raw Data'!$A:$O,$F660,22)</f>
        <v>#NUM!</v>
      </c>
      <c r="AB660" t="e">
        <f t="array" ref="AB660">INDEX('Raw Data'!$A:$O,$F660,23)</f>
        <v>#NUM!</v>
      </c>
    </row>
    <row r="661" spans="1:44" x14ac:dyDescent="0.25">
      <c r="F661" t="e">
        <f t="array" ref="F661">SMALL(IF('Raw Data'!A:A=C647,ROW('Raw Data'!A:A)),ROW('Raw Data'!$14:$14))</f>
        <v>#NUM!</v>
      </c>
      <c r="G661" t="e">
        <f t="array" ref="G661">INDEX('Raw Data'!A:A,F661,9)</f>
        <v>#NUM!</v>
      </c>
      <c r="H661" t="e">
        <f t="array" ref="H661">INDEX('Raw Data'!A:A,F661,10)</f>
        <v>#NUM!</v>
      </c>
      <c r="I661" t="e">
        <f t="array" ref="I661">INDEX('Raw Data'!$A:A,$F661,11)</f>
        <v>#NUM!</v>
      </c>
      <c r="J661" t="e">
        <f t="array" ref="J661">INDEX('Raw Data'!$A:A,F661,12)</f>
        <v>#NUM!</v>
      </c>
      <c r="K661" t="e">
        <f t="array" ref="K661">(--INDEX('Raw Data'!$A$4:B$998,F661,4))</f>
        <v>#NUM!</v>
      </c>
      <c r="L661" t="e">
        <f t="array" ref="L661">(--INDEX('Raw Data'!$A$4:B$998,F661,5))</f>
        <v>#NUM!</v>
      </c>
      <c r="M661" t="e">
        <f t="array" ref="M661">(--INDEX('Raw Data'!$A$4:D$998,$F661,6))</f>
        <v>#NUM!</v>
      </c>
      <c r="N661" t="e">
        <f t="array" ref="N661">(--INDEX('Raw Data'!$A$4:D$998,$F661,7))</f>
        <v>#NUM!</v>
      </c>
      <c r="O661" t="e">
        <f t="array" ref="O661">IF(--INDEX('Raw Data'!$A$4:E$998,$F661,8)= 0, 1, 0)</f>
        <v>#NUM!</v>
      </c>
      <c r="P661" t="e">
        <f t="array" ref="P661">IF(--INDEX('Raw Data'!$A$4:F$998,$F661,8)= 1, 1, 0)</f>
        <v>#NUM!</v>
      </c>
      <c r="Q661" t="e">
        <f t="array" ref="Q661">IF(--INDEX('Raw Data'!$A$4:G$998,$F661,13)= 1, 1, 0)</f>
        <v>#NUM!</v>
      </c>
      <c r="R661" t="e">
        <f t="array" ref="R661">IF(--INDEX('Raw Data'!$A$4:H$998,$F661,14)= 1, 1, 0)</f>
        <v>#NUM!</v>
      </c>
      <c r="S661" t="e">
        <f t="array" ref="S661">IF(--INDEX('Raw Data'!$A$4:I$998,$F661,15)= 1, 1, 0)</f>
        <v>#NUM!</v>
      </c>
      <c r="T661" t="e">
        <f t="array" ref="T661">IF(--INDEX('Raw Data'!$A$4:I$998,$F661,15)= 1, 1, 0)</f>
        <v>#NUM!</v>
      </c>
      <c r="U661" t="e">
        <f t="array" ref="U661">IF(--INDEX('Raw Data'!$A$4:J$998,$F661,16)= 1, 1, 0)</f>
        <v>#NUM!</v>
      </c>
      <c r="V661" t="e">
        <f t="array" ref="V661">IF(--INDEX('Raw Data'!$A$4:K$998,$F661,17)= 1, 1, 0)</f>
        <v>#NUM!</v>
      </c>
      <c r="W661" t="e">
        <f t="array" ref="W661">INDEX('Raw Data'!$A:$O,$F661,19)</f>
        <v>#NUM!</v>
      </c>
      <c r="X661" t="e">
        <f t="array" ref="X661">INDEX('Raw Data'!$A:$O,$F661,20)</f>
        <v>#NUM!</v>
      </c>
      <c r="Y661" t="e">
        <f t="array" ref="Y661">INDEX('Raw Data'!$A:$O,F661,21)</f>
        <v>#NUM!</v>
      </c>
      <c r="Z661" t="e">
        <f t="array" ref="Z661">INDEX('Raw Data'!$A:$O,$F661,3)</f>
        <v>#NUM!</v>
      </c>
      <c r="AA661" t="e">
        <f t="array" ref="AA661">INDEX('Raw Data'!$A:$O,$F661,22)</f>
        <v>#NUM!</v>
      </c>
      <c r="AB661" t="e">
        <f t="array" ref="AB661">INDEX('Raw Data'!$A:$O,$F661,23)</f>
        <v>#NUM!</v>
      </c>
    </row>
    <row r="662" spans="1:44" x14ac:dyDescent="0.25">
      <c r="F662" t="e">
        <f t="array" ref="F662">SMALL(IF('Raw Data'!A:A=C647,ROW('Raw Data'!A:A)),ROW('Raw Data'!$15:$15))</f>
        <v>#NUM!</v>
      </c>
      <c r="G662" t="e">
        <f t="array" ref="G662">INDEX('Raw Data'!A:A,F662,9)</f>
        <v>#NUM!</v>
      </c>
      <c r="H662" t="e">
        <f t="array" ref="H662">INDEX('Raw Data'!A:A,F662,10)</f>
        <v>#NUM!</v>
      </c>
      <c r="I662" t="e">
        <f t="array" ref="I662">INDEX('Raw Data'!$A:A,$F662,11)</f>
        <v>#NUM!</v>
      </c>
      <c r="J662" t="e">
        <f t="array" ref="J662">INDEX('Raw Data'!$A:A,F662,12)</f>
        <v>#NUM!</v>
      </c>
      <c r="K662" t="e">
        <f t="array" ref="K662">(--INDEX('Raw Data'!$A$4:B$998,F662,4))</f>
        <v>#NUM!</v>
      </c>
      <c r="L662" t="e">
        <f t="array" ref="L662">(--INDEX('Raw Data'!$A$4:B$998,F662,5))</f>
        <v>#NUM!</v>
      </c>
      <c r="M662" t="e">
        <f t="array" ref="M662">(--INDEX('Raw Data'!$A$4:D$998,$F662,6))</f>
        <v>#NUM!</v>
      </c>
      <c r="N662" t="e">
        <f t="array" ref="N662">(--INDEX('Raw Data'!$A$4:D$998,$F662,7))</f>
        <v>#NUM!</v>
      </c>
      <c r="O662" t="e">
        <f t="array" ref="O662">IF(--INDEX('Raw Data'!$A$4:E$998,$F662,8)= 0, 1, 0)</f>
        <v>#NUM!</v>
      </c>
      <c r="P662" t="e">
        <f t="array" ref="P662">IF(--INDEX('Raw Data'!$A$4:F$998,$F662,8)= 1, 1, 0)</f>
        <v>#NUM!</v>
      </c>
      <c r="Q662" t="e">
        <f t="array" ref="Q662">IF(--INDEX('Raw Data'!$A$4:G$998,$F662,13)= 1, 1, 0)</f>
        <v>#NUM!</v>
      </c>
      <c r="R662" t="e">
        <f t="array" ref="R662">IF(--INDEX('Raw Data'!$A$4:H$998,$F662,14)= 1, 1, 0)</f>
        <v>#NUM!</v>
      </c>
      <c r="S662" t="e">
        <f t="array" ref="S662">IF(--INDEX('Raw Data'!$A$4:I$998,$F662,15)= 1, 1, 0)</f>
        <v>#NUM!</v>
      </c>
      <c r="T662" t="e">
        <f t="array" ref="T662">IF(--INDEX('Raw Data'!$A$4:I$998,$F662,15)= 1, 1, 0)</f>
        <v>#NUM!</v>
      </c>
      <c r="U662" t="e">
        <f t="array" ref="U662">IF(--INDEX('Raw Data'!$A$4:J$998,$F662,16)= 1, 1, 0)</f>
        <v>#NUM!</v>
      </c>
      <c r="V662" t="e">
        <f t="array" ref="V662">IF(--INDEX('Raw Data'!$A$4:K$998,$F662,17)= 1, 1, 0)</f>
        <v>#NUM!</v>
      </c>
      <c r="W662" t="e">
        <f t="array" ref="W662">INDEX('Raw Data'!$A:$O,$F662,19)</f>
        <v>#NUM!</v>
      </c>
      <c r="X662" t="e">
        <f t="array" ref="X662">INDEX('Raw Data'!$A:$O,$F662,20)</f>
        <v>#NUM!</v>
      </c>
      <c r="Y662" t="e">
        <f t="array" ref="Y662">INDEX('Raw Data'!$A:$O,F662,21)</f>
        <v>#NUM!</v>
      </c>
      <c r="Z662" t="e">
        <f t="array" ref="Z662">INDEX('Raw Data'!$A:$O,$F662,3)</f>
        <v>#NUM!</v>
      </c>
      <c r="AA662" t="e">
        <f t="array" ref="AA662">INDEX('Raw Data'!$A:$O,$F662,22)</f>
        <v>#NUM!</v>
      </c>
      <c r="AB662" t="e">
        <f t="array" ref="AB662">INDEX('Raw Data'!$A:$O,$F662,23)</f>
        <v>#NUM!</v>
      </c>
    </row>
    <row r="663" spans="1:44" x14ac:dyDescent="0.25">
      <c r="A663" t="s">
        <v>55</v>
      </c>
      <c r="C663" s="2" t="e">
        <f>B653/B652</f>
        <v>#DIV/0!</v>
      </c>
      <c r="F663">
        <f t="array" ref="F663">COUNTIF(F648:F662,"&gt;0")</f>
        <v>0</v>
      </c>
      <c r="G663">
        <f t="array" ref="G663">SUMIF(G648:G662,"&gt;0")</f>
        <v>0</v>
      </c>
      <c r="H663">
        <f t="array" ref="H663">SUMIF(H648:H662,"&gt;0")</f>
        <v>0</v>
      </c>
      <c r="I663">
        <f t="array" ref="I663">SUMIF(I648:I662,"&gt;0")</f>
        <v>0</v>
      </c>
      <c r="J663">
        <f t="array" ref="J663">SUMIF(J648:J662,"&gt;0")</f>
        <v>0</v>
      </c>
      <c r="K663">
        <f t="array" ref="K663">SUMIF(K648:K662,"&gt;0")</f>
        <v>0</v>
      </c>
      <c r="L663">
        <f t="array" ref="L663">SUMIF(L648:L662,"&gt;0")</f>
        <v>0</v>
      </c>
      <c r="M663">
        <f t="array" ref="M663">SUMIF(M648:M662,"&gt;0")</f>
        <v>0</v>
      </c>
      <c r="N663">
        <f t="array" ref="N663">SUMIF(N648:N662,"&gt;0")</f>
        <v>0</v>
      </c>
      <c r="O663">
        <f t="array" ref="O663">SUMIF(O648:O662,"&gt;0")</f>
        <v>0</v>
      </c>
      <c r="P663">
        <f t="array" ref="P663">SUMIF(P648:P662,"&gt;0")</f>
        <v>0</v>
      </c>
      <c r="Q663">
        <f t="array" ref="Q663">SUMIF(Q648:Q662,"&gt;0")</f>
        <v>0</v>
      </c>
      <c r="R663">
        <f t="array" ref="R663">SUMIF(R648:R662,"&gt;0")</f>
        <v>0</v>
      </c>
      <c r="S663">
        <f t="array" ref="S663">SUMIF(S648:S662,"&gt;0")</f>
        <v>0</v>
      </c>
      <c r="T663">
        <f t="array" ref="T663">SUMIF(T648:T662,"&gt;0")</f>
        <v>0</v>
      </c>
      <c r="U663">
        <f t="array" ref="U663">SUMIF(U648:U662,"&gt;0")</f>
        <v>0</v>
      </c>
      <c r="V663">
        <f t="array" ref="V663">SUMIF(V648:V662,"&gt;0")</f>
        <v>0</v>
      </c>
      <c r="W663">
        <f t="array" ref="W663">SUMIF(W648:W662,"&gt;0")</f>
        <v>0</v>
      </c>
      <c r="X663">
        <f t="array" ref="X663">SUMIF(X648:X662,"&gt;0")</f>
        <v>0</v>
      </c>
      <c r="Y663">
        <f t="array" ref="Y663">SUMIF(Y648:Y662,"&gt;0")</f>
        <v>0</v>
      </c>
      <c r="Z663">
        <f t="array" ref="Z663">SUMIF(Z648:Z662,"&gt;0")</f>
        <v>0</v>
      </c>
      <c r="AA663">
        <f t="array" ref="AA663">SUMIF(AA648:AA662,"&gt;0")</f>
        <v>0</v>
      </c>
      <c r="AB663">
        <f t="array" ref="AB663">SUMIF(AB648:AB662,"&gt;0")</f>
        <v>0</v>
      </c>
    </row>
    <row r="664" spans="1:44" x14ac:dyDescent="0.25">
      <c r="A664" t="s">
        <v>58</v>
      </c>
      <c r="C664" s="2">
        <f t="array" ref="C664">IF((K663+L663)&lt;&gt;0, (L663/(K663+L663)),0)</f>
        <v>0</v>
      </c>
      <c r="J664" s="6">
        <f t="array" ref="J664">J663*10</f>
        <v>0</v>
      </c>
      <c r="K664" s="6"/>
      <c r="P664" t="s">
        <v>95</v>
      </c>
      <c r="Q664" s="2" t="e">
        <f t="array" ref="Q664">Q663/$F663</f>
        <v>#DIV/0!</v>
      </c>
      <c r="R664" s="2" t="e">
        <f t="array" ref="R664">R663/$F663</f>
        <v>#DIV/0!</v>
      </c>
      <c r="S664" s="2" t="e">
        <f t="array" ref="S664">S663/$F663</f>
        <v>#DIV/0!</v>
      </c>
      <c r="T664" s="2" t="e">
        <f t="array" ref="T664">T663/$F663</f>
        <v>#DIV/0!</v>
      </c>
      <c r="U664" s="2" t="e">
        <f t="array" ref="U664">U663/$F663</f>
        <v>#DIV/0!</v>
      </c>
      <c r="V664" s="2" t="e">
        <f t="array" ref="V664">V663/$F663</f>
        <v>#DIV/0!</v>
      </c>
      <c r="W664" s="2" t="e">
        <f t="array" ref="W664">W663/$F663</f>
        <v>#DIV/0!</v>
      </c>
      <c r="X664" s="2" t="e">
        <f t="array" ref="X664">X663/$F663</f>
        <v>#DIV/0!</v>
      </c>
      <c r="Z664" s="2" t="e">
        <f t="array" ref="Z664">Z663/F663</f>
        <v>#DIV/0!</v>
      </c>
    </row>
    <row r="665" spans="1:44" x14ac:dyDescent="0.25">
      <c r="A665" t="s">
        <v>60</v>
      </c>
      <c r="C665" s="2">
        <f t="array" ref="C665">IF((M663+N663)&lt;&gt;0, (N663/(M663+N663)),0)</f>
        <v>0</v>
      </c>
      <c r="J665" s="6"/>
      <c r="K665" s="6"/>
      <c r="AR665" s="25"/>
    </row>
    <row r="666" spans="1:44" ht="28.5" x14ac:dyDescent="0.45">
      <c r="A666" t="s">
        <v>61</v>
      </c>
      <c r="C666" s="2">
        <f t="array" ref="C666">IF(((K663+N663+L663+M663)&lt;&gt;0), ((L663+N663)/(K663+N663+L663+M663)),0)</f>
        <v>0</v>
      </c>
      <c r="F666" s="17" t="s">
        <v>106</v>
      </c>
      <c r="G666" s="17" t="e">
        <f t="array" ref="G666">'Weighting &amp; Ranking Sheet'!$B$3*Math!$C664+'Weighting &amp; Ranking Sheet'!$B$4*Math!$C665+'Weighting &amp; Ranking Sheet'!$B$5*Math!$C666+'Weighting &amp; Ranking Sheet'!$B$6*Math!$C667+'Weighting &amp; Ranking Sheet'!$B$7*Math!$C651+'Weighting &amp; Ranking Sheet'!$B$8*Math!$C663+'Weighting &amp; Ranking Sheet'!$B$9*Math!$C670+'Weighting &amp; Ranking Sheet'!$B$10*Math!$C668+'Weighting &amp; Ranking Sheet'!$B$11*Math!$C669+'Weighting &amp; Ranking Sheet'!$B$12*Math!$C671*0.01+'Weighting &amp; Ranking Sheet'!$B$13*Math!$Q664+'Weighting &amp; Ranking Sheet'!$B$14*Math!$R664+'Weighting &amp; Ranking Sheet'!$B$15*Math!$S664+'Weighting &amp; Ranking Sheet'!$B$16*Math!$T664+'Weighting &amp; Ranking Sheet'!$B$17*Math!$U664+'Weighting &amp; Ranking Sheet'!$B$18*Math!$V664+'Weighting &amp; Ranking Sheet'!$B$2*Math!$Z664</f>
        <v>#DIV/0!</v>
      </c>
      <c r="J666"/>
      <c r="K666"/>
      <c r="AR666" s="25"/>
    </row>
    <row r="667" spans="1:44" x14ac:dyDescent="0.25">
      <c r="A667" t="s">
        <v>62</v>
      </c>
      <c r="C667" s="2">
        <f t="array" ref="C667">IF((O663+P663&lt;&gt;0),(P663/(O663+P663)), 0)</f>
        <v>0</v>
      </c>
      <c r="J667"/>
      <c r="K667"/>
      <c r="AR667" s="25"/>
    </row>
    <row r="668" spans="1:44" x14ac:dyDescent="0.25">
      <c r="A668" t="s">
        <v>77</v>
      </c>
      <c r="C668" s="8" t="e">
        <f t="array" ref="C668">W663/F663</f>
        <v>#DIV/0!</v>
      </c>
      <c r="J668"/>
      <c r="K668"/>
      <c r="AR668" s="23"/>
    </row>
    <row r="669" spans="1:44" x14ac:dyDescent="0.25">
      <c r="A669" t="s">
        <v>78</v>
      </c>
      <c r="C669" s="8" t="e">
        <f t="array" ref="C669">X663/F663</f>
        <v>#DIV/0!</v>
      </c>
      <c r="J669"/>
      <c r="K669"/>
    </row>
    <row r="670" spans="1:44" x14ac:dyDescent="0.25">
      <c r="A670" t="s">
        <v>91</v>
      </c>
      <c r="C670" s="2" t="e">
        <f t="array" ref="C670">(C651+C663)/2</f>
        <v>#DIV/0!</v>
      </c>
      <c r="J670"/>
      <c r="K670"/>
    </row>
    <row r="671" spans="1:44" x14ac:dyDescent="0.25">
      <c r="A671" t="s">
        <v>92</v>
      </c>
      <c r="C671" s="8" t="e">
        <f t="array" ref="C671">Y663/F663</f>
        <v>#DIV/0!</v>
      </c>
      <c r="J671"/>
      <c r="K671"/>
    </row>
    <row r="672" spans="1:44" x14ac:dyDescent="0.25">
      <c r="C672" s="8"/>
      <c r="J672" s="6"/>
      <c r="K672" s="6"/>
    </row>
    <row r="673" spans="1:44" x14ac:dyDescent="0.25">
      <c r="C673" s="8"/>
      <c r="J673" s="6"/>
      <c r="K673" s="6"/>
    </row>
    <row r="674" spans="1:44" x14ac:dyDescent="0.25">
      <c r="J674" s="6"/>
      <c r="K674" s="6"/>
    </row>
    <row r="675" spans="1:44" x14ac:dyDescent="0.25">
      <c r="A675" t="s">
        <v>3</v>
      </c>
      <c r="C675" s="5">
        <v>2191</v>
      </c>
      <c r="F675" t="s">
        <v>28</v>
      </c>
    </row>
    <row r="676" spans="1:44" x14ac:dyDescent="0.25">
      <c r="F676" t="e">
        <f t="array" ref="F676">SMALL(IF('Raw Data'!A:A=C675,ROW('Raw Data'!A:A)),ROW('Raw Data'!$1:$1))</f>
        <v>#NUM!</v>
      </c>
      <c r="G676" t="e">
        <f t="array" ref="G676">INDEX('Raw Data'!A:A,F676,9)</f>
        <v>#NUM!</v>
      </c>
      <c r="H676" t="e">
        <f t="array" ref="H676">INDEX('Raw Data'!A:A,F676,10)</f>
        <v>#NUM!</v>
      </c>
      <c r="I676" t="e">
        <f t="array" ref="I676">INDEX('Raw Data'!$A:A,$F676,11)</f>
        <v>#NUM!</v>
      </c>
      <c r="J676" t="e">
        <f t="array" ref="J676">INDEX('Raw Data'!$A:A,F676,12)</f>
        <v>#NUM!</v>
      </c>
      <c r="K676" t="e">
        <f>(--INDEX('Raw Data'!$A$4:B$993,F676,4))</f>
        <v>#NUM!</v>
      </c>
      <c r="L676" t="e">
        <f t="array" ref="L676">(--INDEX('Raw Data'!$A$4:B$993,F676,5))</f>
        <v>#NUM!</v>
      </c>
      <c r="M676" t="e">
        <f t="array" ref="M676">(--INDEX('Raw Data'!$A$4:D$993,$F676,6))</f>
        <v>#NUM!</v>
      </c>
      <c r="N676" t="e">
        <f t="array" ref="N676">(--INDEX('Raw Data'!$A$4:D$993,$F676,7))</f>
        <v>#NUM!</v>
      </c>
      <c r="O676" t="e">
        <f t="array" ref="O676">IF(--INDEX('Raw Data'!$A$4:E$993,$F676,8)= 0, 1, 0)</f>
        <v>#NUM!</v>
      </c>
      <c r="P676" t="e">
        <f t="array" ref="P676">IF(--INDEX('Raw Data'!$A$4:F$993,$F676,8)= 1, 1, 0)</f>
        <v>#NUM!</v>
      </c>
      <c r="Q676" t="e">
        <f t="array" ref="Q676">IF(--INDEX('Raw Data'!$A$4:G$993,$F676,13)= 1, 1, 0)</f>
        <v>#NUM!</v>
      </c>
      <c r="R676" t="e">
        <f t="array" ref="R676">IF(--INDEX('Raw Data'!$A$4:H$993,$F676,14)= 1, 1, 0)</f>
        <v>#NUM!</v>
      </c>
      <c r="S676" t="e">
        <f t="array" ref="S676">IF(--INDEX('Raw Data'!$A$4:I$993,$F676,15)= 1, 1, 0)</f>
        <v>#NUM!</v>
      </c>
      <c r="T676" t="e">
        <f t="array" ref="T676">IF(--INDEX('Raw Data'!$A$4:I$993,$F676,15)= 1, 1, 0)</f>
        <v>#NUM!</v>
      </c>
      <c r="U676" t="e">
        <f t="array" ref="U676">IF(--INDEX('Raw Data'!$A$4:J$993,$F676,16)= 1, 1, 0)</f>
        <v>#NUM!</v>
      </c>
      <c r="V676" t="e">
        <f t="array" ref="V676">IF(--INDEX('Raw Data'!$A$4:K$993,$F676,17)= 1, 1, 0)</f>
        <v>#NUM!</v>
      </c>
      <c r="W676" t="e">
        <f t="array" ref="W676">INDEX('Raw Data'!$A:$O,$F676,19)</f>
        <v>#NUM!</v>
      </c>
      <c r="X676" t="e">
        <f t="array" ref="X676">INDEX('Raw Data'!$A:$O,$F676,20)</f>
        <v>#NUM!</v>
      </c>
      <c r="Y676" t="e">
        <f t="array" ref="Y676">INDEX('Raw Data'!$A:$O,F676,21)</f>
        <v>#NUM!</v>
      </c>
      <c r="Z676" t="e">
        <f t="array" ref="Z676">INDEX('Raw Data'!$A:$O,$F676,3)</f>
        <v>#NUM!</v>
      </c>
      <c r="AA676" t="e">
        <f t="array" ref="AA676">INDEX('Raw Data'!$A:$O,$F676,22)</f>
        <v>#NUM!</v>
      </c>
      <c r="AB676" t="e">
        <f t="array" ref="AB676">INDEX('Raw Data'!$A:$O,$F676,23)</f>
        <v>#NUM!</v>
      </c>
    </row>
    <row r="677" spans="1:44" x14ac:dyDescent="0.25">
      <c r="A677" t="s">
        <v>0</v>
      </c>
      <c r="B677">
        <f>G691</f>
        <v>0</v>
      </c>
      <c r="F677" t="e">
        <f t="array" ref="F677">SMALL(IF('Raw Data'!A:A=C675,ROW('Raw Data'!A:A)),ROW('Raw Data'!$2:$2))</f>
        <v>#NUM!</v>
      </c>
      <c r="G677" t="e">
        <f t="array" ref="G677">INDEX('Raw Data'!A:A,F677,9)</f>
        <v>#NUM!</v>
      </c>
      <c r="H677" t="e">
        <f t="array" ref="H677">INDEX('Raw Data'!A:A,F677,10)</f>
        <v>#NUM!</v>
      </c>
      <c r="I677" t="e">
        <f t="array" ref="I677">INDEX('Raw Data'!$A:A,$F677,11)</f>
        <v>#NUM!</v>
      </c>
      <c r="J677" t="e">
        <f t="array" ref="J677">INDEX('Raw Data'!$A:A,F677,12)</f>
        <v>#NUM!</v>
      </c>
      <c r="K677" t="e">
        <f>(--INDEX('Raw Data'!$A$4:B$993,F677,4))</f>
        <v>#NUM!</v>
      </c>
      <c r="L677" t="e">
        <f t="array" ref="L677">(--INDEX('Raw Data'!$A$4:B$993,F677,5))</f>
        <v>#NUM!</v>
      </c>
      <c r="M677" t="e">
        <f t="array" ref="M677">(--INDEX('Raw Data'!$A$4:D$993,$F677,6))</f>
        <v>#NUM!</v>
      </c>
      <c r="N677" t="e">
        <f t="array" ref="N677">(--INDEX('Raw Data'!$A$4:D$993,$F677,7))</f>
        <v>#NUM!</v>
      </c>
      <c r="O677" t="e">
        <f t="array" ref="O677">IF(--INDEX('Raw Data'!$A$4:E$993,$F677,8)= 0, 1, 0)</f>
        <v>#NUM!</v>
      </c>
      <c r="P677" t="e">
        <f t="array" ref="P677">IF(--INDEX('Raw Data'!$A$4:F$993,$F677,8)= 1, 1, 0)</f>
        <v>#NUM!</v>
      </c>
      <c r="Q677" t="e">
        <f t="array" ref="Q677">IF(--INDEX('Raw Data'!$A$4:G$993,$F677,13)= 1, 1, 0)</f>
        <v>#NUM!</v>
      </c>
      <c r="R677" t="e">
        <f t="array" ref="R677">IF(--INDEX('Raw Data'!$A$4:H$993,$F677,14)= 1, 1, 0)</f>
        <v>#NUM!</v>
      </c>
      <c r="S677" t="e">
        <f t="array" ref="S677">IF(--INDEX('Raw Data'!$A$4:I$993,$F677,15)= 1, 1, 0)</f>
        <v>#NUM!</v>
      </c>
      <c r="T677" t="e">
        <f t="array" ref="T677">IF(--INDEX('Raw Data'!$A$4:I$993,$F677,15)= 1, 1, 0)</f>
        <v>#NUM!</v>
      </c>
      <c r="U677" t="e">
        <f t="array" ref="U677">IF(--INDEX('Raw Data'!$A$4:J$993,$F677,16)= 1, 1, 0)</f>
        <v>#NUM!</v>
      </c>
      <c r="V677" t="e">
        <f t="array" ref="V677">IF(--INDEX('Raw Data'!$A$4:K$993,$F677,17)= 1, 1, 0)</f>
        <v>#NUM!</v>
      </c>
      <c r="W677" t="e">
        <f t="array" ref="W677">INDEX('Raw Data'!$A:$O,$F677,19)</f>
        <v>#NUM!</v>
      </c>
      <c r="X677" t="e">
        <f t="array" ref="X677">INDEX('Raw Data'!$A:$O,$F677,20)</f>
        <v>#NUM!</v>
      </c>
      <c r="Y677" t="e">
        <f t="array" ref="Y677">INDEX('Raw Data'!$A:$O,F677,21)</f>
        <v>#NUM!</v>
      </c>
      <c r="Z677" t="e">
        <f t="array" ref="Z677">INDEX('Raw Data'!$A:$O,$F677,3)</f>
        <v>#NUM!</v>
      </c>
      <c r="AA677" t="e">
        <f t="array" ref="AA677">INDEX('Raw Data'!$A:$O,$F677,22)</f>
        <v>#NUM!</v>
      </c>
      <c r="AB677" t="e">
        <f t="array" ref="AB677">INDEX('Raw Data'!$A:$O,$F677,23)</f>
        <v>#NUM!</v>
      </c>
    </row>
    <row r="678" spans="1:44" x14ac:dyDescent="0.25">
      <c r="A678" t="s">
        <v>1</v>
      </c>
      <c r="B678">
        <f>H691</f>
        <v>0</v>
      </c>
      <c r="F678" t="e">
        <f t="array" ref="F678">SMALL(IF('Raw Data'!A:A=C675,ROW('Raw Data'!A:A)),ROW('Raw Data'!$3:$3))</f>
        <v>#NUM!</v>
      </c>
      <c r="G678" t="e">
        <f t="array" ref="G678">INDEX('Raw Data'!A:A,F678,9)</f>
        <v>#NUM!</v>
      </c>
      <c r="H678" t="e">
        <f t="array" ref="H678">INDEX('Raw Data'!A:A,F678,10)</f>
        <v>#NUM!</v>
      </c>
      <c r="I678" t="e">
        <f t="array" ref="I678">INDEX('Raw Data'!$A:A,$F678,11)</f>
        <v>#NUM!</v>
      </c>
      <c r="J678" t="e">
        <f t="array" ref="J678">INDEX('Raw Data'!$A:A,F678,12)</f>
        <v>#NUM!</v>
      </c>
      <c r="K678" t="e">
        <f>(--INDEX('Raw Data'!$A$4:B$993,F678,4))</f>
        <v>#NUM!</v>
      </c>
      <c r="L678" t="e">
        <f t="array" ref="L678">(--INDEX('Raw Data'!$A$4:B$993,F678,5))</f>
        <v>#NUM!</v>
      </c>
      <c r="M678" t="e">
        <f t="array" ref="M678">(--INDEX('Raw Data'!$A$4:D$993,$F678,6))</f>
        <v>#NUM!</v>
      </c>
      <c r="N678" t="e">
        <f t="array" ref="N678">(--INDEX('Raw Data'!$A$4:D$993,$F678,7))</f>
        <v>#NUM!</v>
      </c>
      <c r="O678" t="e">
        <f t="array" ref="O678">IF(--INDEX('Raw Data'!$A$4:E$993,$F678,8)= 0, 1, 0)</f>
        <v>#NUM!</v>
      </c>
      <c r="P678" t="e">
        <f t="array" ref="P678">IF(--INDEX('Raw Data'!$A$4:F$993,$F678,8)= 1, 1, 0)</f>
        <v>#NUM!</v>
      </c>
      <c r="Q678" t="e">
        <f t="array" ref="Q678">IF(--INDEX('Raw Data'!$A$4:G$993,$F678,13)= 1, 1, 0)</f>
        <v>#NUM!</v>
      </c>
      <c r="R678" t="e">
        <f t="array" ref="R678">IF(--INDEX('Raw Data'!$A$4:H$993,$F678,14)= 1, 1, 0)</f>
        <v>#NUM!</v>
      </c>
      <c r="S678" t="e">
        <f t="array" ref="S678">IF(--INDEX('Raw Data'!$A$4:I$993,$F678,15)= 1, 1, 0)</f>
        <v>#NUM!</v>
      </c>
      <c r="T678" t="e">
        <f t="array" ref="T678">IF(--INDEX('Raw Data'!$A$4:I$993,$F678,15)= 1, 1, 0)</f>
        <v>#NUM!</v>
      </c>
      <c r="U678" t="e">
        <f t="array" ref="U678">IF(--INDEX('Raw Data'!$A$4:J$993,$F678,16)= 1, 1, 0)</f>
        <v>#NUM!</v>
      </c>
      <c r="V678" t="e">
        <f t="array" ref="V678">IF(--INDEX('Raw Data'!$A$4:K$993,$F678,17)= 1, 1, 0)</f>
        <v>#NUM!</v>
      </c>
      <c r="W678" t="e">
        <f t="array" ref="W678">INDEX('Raw Data'!$A:$O,$F678,19)</f>
        <v>#NUM!</v>
      </c>
      <c r="X678" t="e">
        <f t="array" ref="X678">INDEX('Raw Data'!$A:$O,$F678,20)</f>
        <v>#NUM!</v>
      </c>
      <c r="Y678" t="e">
        <f t="array" ref="Y678">INDEX('Raw Data'!$A:$O,F678,21)</f>
        <v>#NUM!</v>
      </c>
      <c r="Z678" t="e">
        <f t="array" ref="Z678">INDEX('Raw Data'!$A:$O,$F678,3)</f>
        <v>#NUM!</v>
      </c>
      <c r="AA678" t="e">
        <f t="array" ref="AA678">INDEX('Raw Data'!$A:$O,$F678,22)</f>
        <v>#NUM!</v>
      </c>
      <c r="AB678" t="e">
        <f t="array" ref="AB678">INDEX('Raw Data'!$A:$O,$F678,23)</f>
        <v>#NUM!</v>
      </c>
    </row>
    <row r="679" spans="1:44" x14ac:dyDescent="0.25">
      <c r="A679" t="s">
        <v>2</v>
      </c>
      <c r="C679" s="3" t="e">
        <f>B678/B677</f>
        <v>#DIV/0!</v>
      </c>
      <c r="F679" t="e">
        <f t="array" ref="F679">SMALL(IF('Raw Data'!A:A=C675,ROW('Raw Data'!A:A)),ROW('Raw Data'!$4:$4))</f>
        <v>#NUM!</v>
      </c>
      <c r="G679" t="e">
        <f t="array" ref="G679">INDEX('Raw Data'!A:A,F679,9)</f>
        <v>#NUM!</v>
      </c>
      <c r="H679" t="e">
        <f t="array" ref="H679">INDEX('Raw Data'!A:A,F679,10)</f>
        <v>#NUM!</v>
      </c>
      <c r="I679" t="e">
        <f t="array" ref="I679">INDEX('Raw Data'!$A:A,$F679,11)</f>
        <v>#NUM!</v>
      </c>
      <c r="J679" t="e">
        <f t="array" ref="J679">INDEX('Raw Data'!$A:A,F679,12)</f>
        <v>#NUM!</v>
      </c>
      <c r="K679" t="e">
        <f>(--INDEX('Raw Data'!$A$4:B$993,F679,4))</f>
        <v>#NUM!</v>
      </c>
      <c r="L679" t="e">
        <f t="array" ref="L679">(--INDEX('Raw Data'!$A$4:B$993,F679,5))</f>
        <v>#NUM!</v>
      </c>
      <c r="M679" t="e">
        <f t="array" ref="M679">(--INDEX('Raw Data'!$A$4:D$993,$F679,6))</f>
        <v>#NUM!</v>
      </c>
      <c r="N679" t="e">
        <f t="array" ref="N679">(--INDEX('Raw Data'!$A$4:D$993,$F679,7))</f>
        <v>#NUM!</v>
      </c>
      <c r="O679" t="e">
        <f t="array" ref="O679">IF(--INDEX('Raw Data'!$A$4:E$993,$F679,8)= 0, 1, 0)</f>
        <v>#NUM!</v>
      </c>
      <c r="P679" t="e">
        <f t="array" ref="P679">IF(--INDEX('Raw Data'!$A$4:F$993,$F679,8)= 1, 1, 0)</f>
        <v>#NUM!</v>
      </c>
      <c r="Q679" t="e">
        <f t="array" ref="Q679">IF(--INDEX('Raw Data'!$A$4:G$993,$F679,13)= 1, 1, 0)</f>
        <v>#NUM!</v>
      </c>
      <c r="R679" t="e">
        <f t="array" ref="R679">IF(--INDEX('Raw Data'!$A$4:H$993,$F679,14)= 1, 1, 0)</f>
        <v>#NUM!</v>
      </c>
      <c r="S679" t="e">
        <f t="array" ref="S679">IF(--INDEX('Raw Data'!$A$4:I$993,$F679,15)= 1, 1, 0)</f>
        <v>#NUM!</v>
      </c>
      <c r="T679" t="e">
        <f t="array" ref="T679">IF(--INDEX('Raw Data'!$A$4:I$993,$F679,15)= 1, 1, 0)</f>
        <v>#NUM!</v>
      </c>
      <c r="U679" t="e">
        <f t="array" ref="U679">IF(--INDEX('Raw Data'!$A$4:J$993,$F679,16)= 1, 1, 0)</f>
        <v>#NUM!</v>
      </c>
      <c r="V679" t="e">
        <f t="array" ref="V679">IF(--INDEX('Raw Data'!$A$4:K$993,$F679,17)= 1, 1, 0)</f>
        <v>#NUM!</v>
      </c>
      <c r="W679" t="e">
        <f t="array" ref="W679">INDEX('Raw Data'!$A:$O,$F679,19)</f>
        <v>#NUM!</v>
      </c>
      <c r="X679" t="e">
        <f t="array" ref="X679">INDEX('Raw Data'!$A:$O,$F679,20)</f>
        <v>#NUM!</v>
      </c>
      <c r="Y679" t="e">
        <f t="array" ref="Y679">INDEX('Raw Data'!$A:$O,F679,21)</f>
        <v>#NUM!</v>
      </c>
      <c r="Z679" t="e">
        <f t="array" ref="Z679">INDEX('Raw Data'!$A:$O,$F679,3)</f>
        <v>#NUM!</v>
      </c>
      <c r="AA679" t="e">
        <f t="array" ref="AA679">INDEX('Raw Data'!$A:$O,$F679,22)</f>
        <v>#NUM!</v>
      </c>
      <c r="AB679" t="e">
        <f t="array" ref="AB679">INDEX('Raw Data'!$A:$O,$F679,23)</f>
        <v>#NUM!</v>
      </c>
    </row>
    <row r="680" spans="1:44" x14ac:dyDescent="0.25">
      <c r="A680" t="s">
        <v>54</v>
      </c>
      <c r="B680">
        <f>I691</f>
        <v>0</v>
      </c>
      <c r="F680" t="e">
        <f t="array" ref="F680">SMALL(IF('Raw Data'!A:A=C675,ROW('Raw Data'!A:A)),ROW('Raw Data'!$5:$5))</f>
        <v>#NUM!</v>
      </c>
      <c r="G680" t="e">
        <f t="array" ref="G680">INDEX('Raw Data'!A:A,F680,9)</f>
        <v>#NUM!</v>
      </c>
      <c r="H680" t="e">
        <f t="array" ref="H680">INDEX('Raw Data'!A:A,F680,10)</f>
        <v>#NUM!</v>
      </c>
      <c r="I680" t="e">
        <f t="array" ref="I680">INDEX('Raw Data'!$A:A,$F680,11)</f>
        <v>#NUM!</v>
      </c>
      <c r="J680" t="e">
        <f t="array" ref="J680">INDEX('Raw Data'!$A:A,F680,12)</f>
        <v>#NUM!</v>
      </c>
      <c r="K680" t="e">
        <f>(--INDEX('Raw Data'!$A$4:B$993,F680,4))</f>
        <v>#NUM!</v>
      </c>
      <c r="L680" t="e">
        <f t="array" ref="L680">(--INDEX('Raw Data'!$A$4:B$993,F680,5))</f>
        <v>#NUM!</v>
      </c>
      <c r="M680" t="e">
        <f t="array" ref="M680">(--INDEX('Raw Data'!$A$4:D$993,$F680,6))</f>
        <v>#NUM!</v>
      </c>
      <c r="N680" t="e">
        <f t="array" ref="N680">(--INDEX('Raw Data'!$A$4:D$993,$F680,7))</f>
        <v>#NUM!</v>
      </c>
      <c r="O680" t="e">
        <f t="array" ref="O680">IF(--INDEX('Raw Data'!$A$4:E$993,$F680,8)= 0, 1, 0)</f>
        <v>#NUM!</v>
      </c>
      <c r="P680" t="e">
        <f t="array" ref="P680">IF(--INDEX('Raw Data'!$A$4:F$993,$F680,8)= 1, 1, 0)</f>
        <v>#NUM!</v>
      </c>
      <c r="Q680" t="e">
        <f t="array" ref="Q680">IF(--INDEX('Raw Data'!$A$4:G$993,$F680,13)= 1, 1, 0)</f>
        <v>#NUM!</v>
      </c>
      <c r="R680" t="e">
        <f t="array" ref="R680">IF(--INDEX('Raw Data'!$A$4:H$993,$F680,14)= 1, 1, 0)</f>
        <v>#NUM!</v>
      </c>
      <c r="S680" t="e">
        <f t="array" ref="S680">IF(--INDEX('Raw Data'!$A$4:I$993,$F680,15)= 1, 1, 0)</f>
        <v>#NUM!</v>
      </c>
      <c r="T680" t="e">
        <f t="array" ref="T680">IF(--INDEX('Raw Data'!$A$4:I$993,$F680,15)= 1, 1, 0)</f>
        <v>#NUM!</v>
      </c>
      <c r="U680" t="e">
        <f t="array" ref="U680">IF(--INDEX('Raw Data'!$A$4:J$993,$F680,16)= 1, 1, 0)</f>
        <v>#NUM!</v>
      </c>
      <c r="V680" t="e">
        <f t="array" ref="V680">IF(--INDEX('Raw Data'!$A$4:K$993,$F680,17)= 1, 1, 0)</f>
        <v>#NUM!</v>
      </c>
      <c r="W680" t="e">
        <f t="array" ref="W680">INDEX('Raw Data'!$A:$O,$F680,19)</f>
        <v>#NUM!</v>
      </c>
      <c r="X680" t="e">
        <f t="array" ref="X680">INDEX('Raw Data'!$A:$O,$F680,20)</f>
        <v>#NUM!</v>
      </c>
      <c r="Y680" t="e">
        <f t="array" ref="Y680">INDEX('Raw Data'!$A:$O,F680,21)</f>
        <v>#NUM!</v>
      </c>
      <c r="Z680" t="e">
        <f t="array" ref="Z680">INDEX('Raw Data'!$A:$O,$F680,3)</f>
        <v>#NUM!</v>
      </c>
      <c r="AA680" t="e">
        <f t="array" ref="AA680">INDEX('Raw Data'!$A:$O,$F680,22)</f>
        <v>#NUM!</v>
      </c>
      <c r="AB680" t="e">
        <f t="array" ref="AB680">INDEX('Raw Data'!$A:$O,$F680,23)</f>
        <v>#NUM!</v>
      </c>
      <c r="AR680" s="25"/>
    </row>
    <row r="681" spans="1:44" x14ac:dyDescent="0.25">
      <c r="A681" t="s">
        <v>35</v>
      </c>
      <c r="B681">
        <f>J691</f>
        <v>0</v>
      </c>
      <c r="F681" t="e">
        <f t="array" ref="F681">SMALL(IF('Raw Data'!A:A=C675,ROW('Raw Data'!A:A)),ROW('Raw Data'!$6:$6))</f>
        <v>#NUM!</v>
      </c>
      <c r="G681" t="e">
        <f t="array" ref="G681">INDEX('Raw Data'!A:A,F681,9)</f>
        <v>#NUM!</v>
      </c>
      <c r="H681" t="e">
        <f t="array" ref="H681">INDEX('Raw Data'!A:A,F681,10)</f>
        <v>#NUM!</v>
      </c>
      <c r="I681" t="e">
        <f t="array" ref="I681">INDEX('Raw Data'!$A:A,$F681,11)</f>
        <v>#NUM!</v>
      </c>
      <c r="J681" t="e">
        <f t="array" ref="J681">INDEX('Raw Data'!$A:A,F681,12)</f>
        <v>#NUM!</v>
      </c>
      <c r="K681" t="e">
        <f>(--INDEX('Raw Data'!$A$4:B$993,F681,4))</f>
        <v>#NUM!</v>
      </c>
      <c r="L681" t="e">
        <f t="array" ref="L681">(--INDEX('Raw Data'!$A$4:B$998,F681,5))</f>
        <v>#NUM!</v>
      </c>
      <c r="M681" t="e">
        <f t="array" ref="M681">(--INDEX('Raw Data'!$A$4:D$998,$F681,6))</f>
        <v>#NUM!</v>
      </c>
      <c r="N681" t="e">
        <f t="array" ref="N681">(--INDEX('Raw Data'!$A$4:D$993,$F681,7))</f>
        <v>#NUM!</v>
      </c>
      <c r="O681" t="e">
        <f t="array" ref="O681">IF(--INDEX('Raw Data'!$A$4:E$993,$F681,8)= 0, 1, 0)</f>
        <v>#NUM!</v>
      </c>
      <c r="P681" t="e">
        <f t="array" ref="P681">IF(--INDEX('Raw Data'!$A$4:F$998,$F681,8)= 1, 1, 0)</f>
        <v>#NUM!</v>
      </c>
      <c r="Q681" t="e">
        <f t="array" ref="Q681">IF(--INDEX('Raw Data'!$A$4:G$998,$F681,13)= 1, 1, 0)</f>
        <v>#NUM!</v>
      </c>
      <c r="R681" t="e">
        <f t="array" ref="R681">IF(--INDEX('Raw Data'!$A$4:H$998,$F681,14)= 1, 1, 0)</f>
        <v>#NUM!</v>
      </c>
      <c r="S681" t="e">
        <f t="array" ref="S681">IF(--INDEX('Raw Data'!$A$4:I$993,$F681,15)= 1, 1, 0)</f>
        <v>#NUM!</v>
      </c>
      <c r="T681" t="e">
        <f t="array" ref="T681">IF(--INDEX('Raw Data'!$A$4:I$998,$F681,15)= 1, 1, 0)</f>
        <v>#NUM!</v>
      </c>
      <c r="U681" t="e">
        <f t="array" ref="U681">IF(--INDEX('Raw Data'!$A$4:J$998,$F681,16)= 1, 1, 0)</f>
        <v>#NUM!</v>
      </c>
      <c r="V681" t="e">
        <f t="array" ref="V681">IF(--INDEX('Raw Data'!$A$4:K$993,$F681,17)= 1, 1, 0)</f>
        <v>#NUM!</v>
      </c>
      <c r="W681" t="e">
        <f t="array" ref="W681">INDEX('Raw Data'!$A:$O,$F681,19)</f>
        <v>#NUM!</v>
      </c>
      <c r="X681" t="e">
        <f t="array" ref="X681">INDEX('Raw Data'!$A:$O,$F681,20)</f>
        <v>#NUM!</v>
      </c>
      <c r="Y681" t="e">
        <f t="array" ref="Y681">INDEX('Raw Data'!$A:$O,F681,21)</f>
        <v>#NUM!</v>
      </c>
      <c r="Z681" t="e">
        <f t="array" ref="Z681">INDEX('Raw Data'!$A:$O,$F681,3)</f>
        <v>#NUM!</v>
      </c>
      <c r="AA681" t="e">
        <f t="array" ref="AA681">INDEX('Raw Data'!$A:$O,$F681,22)</f>
        <v>#NUM!</v>
      </c>
      <c r="AB681" t="e">
        <f t="array" ref="AB681">INDEX('Raw Data'!$A:$O,$F681,23)</f>
        <v>#NUM!</v>
      </c>
      <c r="AR681" s="25"/>
    </row>
    <row r="682" spans="1:44" ht="28.5" x14ac:dyDescent="0.45">
      <c r="F682" t="e">
        <f t="array" ref="F682">SMALL(IF('Raw Data'!A:A=C675,ROW('Raw Data'!A:A)),ROW('Raw Data'!$7:$7))</f>
        <v>#NUM!</v>
      </c>
      <c r="G682" t="e">
        <f t="array" ref="G682">INDEX('Raw Data'!A:A,F682,9)</f>
        <v>#NUM!</v>
      </c>
      <c r="H682" t="e">
        <f t="array" ref="H682">INDEX('Raw Data'!A:A,F682,10)</f>
        <v>#NUM!</v>
      </c>
      <c r="I682" t="e">
        <f t="array" ref="I682">INDEX('Raw Data'!$A:A,$F682,11)</f>
        <v>#NUM!</v>
      </c>
      <c r="J682" t="e">
        <f t="array" ref="J682">INDEX('Raw Data'!$A:A,F682,12)</f>
        <v>#NUM!</v>
      </c>
      <c r="K682" t="e">
        <f t="array" ref="K682">(--INDEX('Raw Data'!$A$4:B$998,F682,4))</f>
        <v>#NUM!</v>
      </c>
      <c r="L682" t="e">
        <f t="array" ref="L682">(--INDEX('Raw Data'!$A$4:B$998,F682,5))</f>
        <v>#NUM!</v>
      </c>
      <c r="M682" t="e">
        <f t="array" ref="M682">(--INDEX('Raw Data'!$A$4:D$998,$F682,6))</f>
        <v>#NUM!</v>
      </c>
      <c r="N682" t="e">
        <f t="array" ref="N682">(--INDEX('Raw Data'!$A$4:D$998,$F682,7))</f>
        <v>#NUM!</v>
      </c>
      <c r="O682" t="e">
        <f t="array" ref="O682">IF(--INDEX('Raw Data'!$A$4:E$998,$F682,8)= 0, 1, 0)</f>
        <v>#NUM!</v>
      </c>
      <c r="P682" t="e">
        <f t="array" ref="P682">IF(--INDEX('Raw Data'!$A$4:F$998,$F682,8)= 1, 1, 0)</f>
        <v>#NUM!</v>
      </c>
      <c r="Q682" t="e">
        <f t="array" ref="Q682">IF(--INDEX('Raw Data'!$A$4:G$998,$F682,13)= 1, 1, 0)</f>
        <v>#NUM!</v>
      </c>
      <c r="R682" t="e">
        <f t="array" ref="R682">IF(--INDEX('Raw Data'!$A$4:H$998,$F682,14)= 1, 1, 0)</f>
        <v>#NUM!</v>
      </c>
      <c r="S682" t="e">
        <f t="array" ref="S682">IF(--INDEX('Raw Data'!$A$4:I$998,$F682,15)= 1, 1, 0)</f>
        <v>#NUM!</v>
      </c>
      <c r="T682" t="e">
        <f t="array" ref="T682">IF(--INDEX('Raw Data'!$A$4:I$998,$F682,15)= 1, 1, 0)</f>
        <v>#NUM!</v>
      </c>
      <c r="U682" t="e">
        <f t="array" ref="U682">IF(--INDEX('Raw Data'!$A$4:J$998,$F682,16)= 1, 1, 0)</f>
        <v>#NUM!</v>
      </c>
      <c r="V682" t="e">
        <f t="array" ref="V682">IF(--INDEX('Raw Data'!$A$4:K$998,$F682,17)= 1, 1, 0)</f>
        <v>#NUM!</v>
      </c>
      <c r="W682" t="e">
        <f t="array" ref="W682">INDEX('Raw Data'!$A:$O,$F682,19)</f>
        <v>#NUM!</v>
      </c>
      <c r="X682" t="e">
        <f t="array" ref="X682">INDEX('Raw Data'!$A:$O,$F682,20)</f>
        <v>#NUM!</v>
      </c>
      <c r="Y682" t="e">
        <f t="array" ref="Y682">INDEX('Raw Data'!$A:$O,F682,21)</f>
        <v>#NUM!</v>
      </c>
      <c r="Z682" t="e">
        <f t="array" ref="Z682">INDEX('Raw Data'!$A:$O,$F682,3)</f>
        <v>#NUM!</v>
      </c>
      <c r="AA682" t="e">
        <f t="array" ref="AA682">INDEX('Raw Data'!$A:$O,$F682,22)</f>
        <v>#NUM!</v>
      </c>
      <c r="AB682" t="e">
        <f t="array" ref="AB682">INDEX('Raw Data'!$A:$O,$F682,23)</f>
        <v>#NUM!</v>
      </c>
      <c r="AM682" s="21"/>
    </row>
    <row r="683" spans="1:44" x14ac:dyDescent="0.25">
      <c r="F683" t="e">
        <f t="array" ref="F683">SMALL(IF('Raw Data'!A:A=C675,ROW('Raw Data'!A:A)),ROW('Raw Data'!$8:$8))</f>
        <v>#NUM!</v>
      </c>
      <c r="G683" t="e">
        <f t="array" ref="G683">INDEX('Raw Data'!A:A,F683,9)</f>
        <v>#NUM!</v>
      </c>
      <c r="H683" t="e">
        <f t="array" ref="H683">INDEX('Raw Data'!A:A,F683,10)</f>
        <v>#NUM!</v>
      </c>
      <c r="I683" t="e">
        <f t="array" ref="I683">INDEX('Raw Data'!$A:A,$F683,11)</f>
        <v>#NUM!</v>
      </c>
      <c r="J683" t="e">
        <f t="array" ref="J683">INDEX('Raw Data'!$A:A,F683,12)</f>
        <v>#NUM!</v>
      </c>
      <c r="K683" t="e">
        <f t="array" ref="K683">(--INDEX('Raw Data'!$A$4:B$998,F683,4))</f>
        <v>#NUM!</v>
      </c>
      <c r="L683" t="e">
        <f t="array" ref="L683">(--INDEX('Raw Data'!$A$4:B$998,F683,5))</f>
        <v>#NUM!</v>
      </c>
      <c r="M683" t="e">
        <f t="array" ref="M683">(--INDEX('Raw Data'!$A$4:D$998,$F683,6))</f>
        <v>#NUM!</v>
      </c>
      <c r="N683" t="e">
        <f t="array" ref="N683">(--INDEX('Raw Data'!$A$4:D$998,$F683,7))</f>
        <v>#NUM!</v>
      </c>
      <c r="O683" t="e">
        <f t="array" ref="O683">IF(--INDEX('Raw Data'!$A$4:E$998,$F683,8)= 0, 1, 0)</f>
        <v>#NUM!</v>
      </c>
      <c r="P683" t="e">
        <f t="array" ref="P683">IF(--INDEX('Raw Data'!$A$4:F$998,$F683,8)= 1, 1, 0)</f>
        <v>#NUM!</v>
      </c>
      <c r="Q683" t="e">
        <f t="array" ref="Q683">IF(--INDEX('Raw Data'!$A$4:G$998,$F683,13)= 1, 1, 0)</f>
        <v>#NUM!</v>
      </c>
      <c r="R683" t="e">
        <f t="array" ref="R683">IF(--INDEX('Raw Data'!$A$4:H$998,$F683,14)= 1, 1, 0)</f>
        <v>#NUM!</v>
      </c>
      <c r="S683" t="e">
        <f t="array" ref="S683">IF(--INDEX('Raw Data'!$A$4:I$998,$F683,15)= 1, 1, 0)</f>
        <v>#NUM!</v>
      </c>
      <c r="T683" t="e">
        <f t="array" ref="T683">IF(--INDEX('Raw Data'!$A$4:I$998,$F683,15)= 1, 1, 0)</f>
        <v>#NUM!</v>
      </c>
      <c r="U683" t="e">
        <f t="array" ref="U683">IF(--INDEX('Raw Data'!$A$4:J$998,$F683,16)= 1, 1, 0)</f>
        <v>#NUM!</v>
      </c>
      <c r="V683" t="e">
        <f t="array" ref="V683">IF(--INDEX('Raw Data'!$A$4:K$998,$F683,17)= 1, 1, 0)</f>
        <v>#NUM!</v>
      </c>
      <c r="W683" t="e">
        <f t="array" ref="W683">INDEX('Raw Data'!$A:$O,$F683,19)</f>
        <v>#NUM!</v>
      </c>
      <c r="X683" t="e">
        <f t="array" ref="X683">INDEX('Raw Data'!$A:$O,$F683,20)</f>
        <v>#NUM!</v>
      </c>
      <c r="Y683" t="e">
        <f t="array" ref="Y683">INDEX('Raw Data'!$A:$O,F683,21)</f>
        <v>#NUM!</v>
      </c>
      <c r="Z683" t="e">
        <f t="array" ref="Z683">INDEX('Raw Data'!$A:$O,$F683,3)</f>
        <v>#NUM!</v>
      </c>
      <c r="AA683" t="e">
        <f t="array" ref="AA683">INDEX('Raw Data'!$A:$O,$F683,22)</f>
        <v>#NUM!</v>
      </c>
      <c r="AB683" t="e">
        <f t="array" ref="AB683">INDEX('Raw Data'!$A:$O,$F683,23)</f>
        <v>#NUM!</v>
      </c>
    </row>
    <row r="684" spans="1:44" x14ac:dyDescent="0.25">
      <c r="F684" t="e">
        <f t="array" ref="F684">SMALL(IF('Raw Data'!A:A=C675,ROW('Raw Data'!A:A)),ROW('Raw Data'!$9:$9))</f>
        <v>#NUM!</v>
      </c>
      <c r="G684" t="e">
        <f t="array" ref="G684">INDEX('Raw Data'!A:A,F684,9)</f>
        <v>#NUM!</v>
      </c>
      <c r="H684" t="e">
        <f t="array" ref="H684">INDEX('Raw Data'!A:A,F684,10)</f>
        <v>#NUM!</v>
      </c>
      <c r="I684" t="e">
        <f t="array" ref="I684">INDEX('Raw Data'!$A:A,$F684,11)</f>
        <v>#NUM!</v>
      </c>
      <c r="J684" t="e">
        <f t="array" ref="J684">INDEX('Raw Data'!$A:A,F684,12)</f>
        <v>#NUM!</v>
      </c>
      <c r="K684" t="e">
        <f t="array" ref="K684">(--INDEX('Raw Data'!$A$4:B$998,F684,4))</f>
        <v>#NUM!</v>
      </c>
      <c r="L684" t="e">
        <f t="array" ref="L684">(--INDEX('Raw Data'!$A$4:B$998,F684,5))</f>
        <v>#NUM!</v>
      </c>
      <c r="M684" t="e">
        <f t="array" ref="M684">(--INDEX('Raw Data'!$A$4:D$998,$F684,6))</f>
        <v>#NUM!</v>
      </c>
      <c r="N684" t="e">
        <f t="array" ref="N684">(--INDEX('Raw Data'!$A$4:D$998,$F684,7))</f>
        <v>#NUM!</v>
      </c>
      <c r="O684" t="e">
        <f t="array" ref="O684">IF(--INDEX('Raw Data'!$A$4:E$998,$F684,8)= 0, 1, 0)</f>
        <v>#NUM!</v>
      </c>
      <c r="P684" t="e">
        <f t="array" ref="P684">IF(--INDEX('Raw Data'!$A$4:F$998,$F684,8)= 1, 1, 0)</f>
        <v>#NUM!</v>
      </c>
      <c r="Q684" t="e">
        <f t="array" ref="Q684">IF(--INDEX('Raw Data'!$A$4:G$998,$F684,13)= 1, 1, 0)</f>
        <v>#NUM!</v>
      </c>
      <c r="R684" t="e">
        <f t="array" ref="R684">IF(--INDEX('Raw Data'!$A$4:H$998,$F684,14)= 1, 1, 0)</f>
        <v>#NUM!</v>
      </c>
      <c r="S684" t="e">
        <f t="array" ref="S684">IF(--INDEX('Raw Data'!$A$4:I$998,$F684,15)= 1, 1, 0)</f>
        <v>#NUM!</v>
      </c>
      <c r="T684" t="e">
        <f t="array" ref="T684">IF(--INDEX('Raw Data'!$A$4:I$998,$F684,15)= 1, 1, 0)</f>
        <v>#NUM!</v>
      </c>
      <c r="U684" t="e">
        <f t="array" ref="U684">IF(--INDEX('Raw Data'!$A$4:J$998,$F684,16)= 1, 1, 0)</f>
        <v>#NUM!</v>
      </c>
      <c r="V684" t="e">
        <f t="array" ref="V684">IF(--INDEX('Raw Data'!$A$4:K$998,$F684,17)= 1, 1, 0)</f>
        <v>#NUM!</v>
      </c>
      <c r="W684" t="e">
        <f t="array" ref="W684">INDEX('Raw Data'!$A:$O,$F684,19)</f>
        <v>#NUM!</v>
      </c>
      <c r="X684" t="e">
        <f t="array" ref="X684">INDEX('Raw Data'!$A:$O,$F684,20)</f>
        <v>#NUM!</v>
      </c>
      <c r="Y684" t="e">
        <f t="array" ref="Y684">INDEX('Raw Data'!$A:$O,F684,21)</f>
        <v>#NUM!</v>
      </c>
      <c r="Z684" t="e">
        <f t="array" ref="Z684">INDEX('Raw Data'!$A:$O,$F684,3)</f>
        <v>#NUM!</v>
      </c>
      <c r="AA684" t="e">
        <f t="array" ref="AA684">INDEX('Raw Data'!$A:$O,$F684,22)</f>
        <v>#NUM!</v>
      </c>
      <c r="AB684" t="e">
        <f t="array" ref="AB684">INDEX('Raw Data'!$A:$O,$F684,23)</f>
        <v>#NUM!</v>
      </c>
    </row>
    <row r="685" spans="1:44" x14ac:dyDescent="0.25">
      <c r="F685" t="e">
        <f t="array" ref="F685">SMALL(IF('Raw Data'!A:A=C675,ROW('Raw Data'!A:A)),ROW('Raw Data'!$10:$10))</f>
        <v>#NUM!</v>
      </c>
      <c r="G685" t="e">
        <f t="array" ref="G685">INDEX('Raw Data'!A:A,F685,9)</f>
        <v>#NUM!</v>
      </c>
      <c r="H685" t="e">
        <f t="array" ref="H685">INDEX('Raw Data'!A:A,F685,10)</f>
        <v>#NUM!</v>
      </c>
      <c r="I685" t="e">
        <f t="array" ref="I685">INDEX('Raw Data'!$A:A,$F685,11)</f>
        <v>#NUM!</v>
      </c>
      <c r="J685" t="e">
        <f t="array" ref="J685">INDEX('Raw Data'!$A:A,F685,12)</f>
        <v>#NUM!</v>
      </c>
      <c r="K685" t="e">
        <f t="array" ref="K685">(--INDEX('Raw Data'!$A$4:B$998,F685,4))</f>
        <v>#NUM!</v>
      </c>
      <c r="L685" t="e">
        <f t="array" ref="L685">(--INDEX('Raw Data'!$A$4:B$998,F685,5))</f>
        <v>#NUM!</v>
      </c>
      <c r="M685" t="e">
        <f t="array" ref="M685">(--INDEX('Raw Data'!$A$4:D$998,$F685,6))</f>
        <v>#NUM!</v>
      </c>
      <c r="N685" t="e">
        <f t="array" ref="N685">(--INDEX('Raw Data'!$A$4:D$998,$F685,7))</f>
        <v>#NUM!</v>
      </c>
      <c r="O685" t="e">
        <f t="array" ref="O685">IF(--INDEX('Raw Data'!$A$4:E$998,$F685,8)= 0, 1, 0)</f>
        <v>#NUM!</v>
      </c>
      <c r="P685" t="e">
        <f t="array" ref="P685">IF(--INDEX('Raw Data'!$A$4:F$998,$F685,8)= 1, 1, 0)</f>
        <v>#NUM!</v>
      </c>
      <c r="Q685" t="e">
        <f t="array" ref="Q685">IF(--INDEX('Raw Data'!$A$4:G$998,$F685,13)= 1, 1, 0)</f>
        <v>#NUM!</v>
      </c>
      <c r="R685" t="e">
        <f t="array" ref="R685">IF(--INDEX('Raw Data'!$A$4:H$998,$F685,14)= 1, 1, 0)</f>
        <v>#NUM!</v>
      </c>
      <c r="S685" t="e">
        <f t="array" ref="S685">IF(--INDEX('Raw Data'!$A$4:I$998,$F685,15)= 1, 1, 0)</f>
        <v>#NUM!</v>
      </c>
      <c r="T685" t="e">
        <f t="array" ref="T685">IF(--INDEX('Raw Data'!$A$4:I$998,$F685,15)= 1, 1, 0)</f>
        <v>#NUM!</v>
      </c>
      <c r="U685" t="e">
        <f t="array" ref="U685">IF(--INDEX('Raw Data'!$A$4:J$998,$F685,16)= 1, 1, 0)</f>
        <v>#NUM!</v>
      </c>
      <c r="V685" t="e">
        <f t="array" ref="V685">IF(--INDEX('Raw Data'!$A$4:K$998,$F685,17)= 1, 1, 0)</f>
        <v>#NUM!</v>
      </c>
      <c r="W685" t="e">
        <f t="array" ref="W685">INDEX('Raw Data'!$A:$O,$F685,19)</f>
        <v>#NUM!</v>
      </c>
      <c r="X685" t="e">
        <f t="array" ref="X685">INDEX('Raw Data'!$A:$O,$F685,20)</f>
        <v>#NUM!</v>
      </c>
      <c r="Y685" t="e">
        <f t="array" ref="Y685">INDEX('Raw Data'!$A:$O,F685,21)</f>
        <v>#NUM!</v>
      </c>
      <c r="Z685" t="e">
        <f t="array" ref="Z685">INDEX('Raw Data'!$A:$O,$F685,3)</f>
        <v>#NUM!</v>
      </c>
      <c r="AA685" t="e">
        <f t="array" ref="AA685">INDEX('Raw Data'!$A:$O,$F685,22)</f>
        <v>#NUM!</v>
      </c>
      <c r="AB685" t="e">
        <f t="array" ref="AB685">INDEX('Raw Data'!$A:$O,$F685,23)</f>
        <v>#NUM!</v>
      </c>
    </row>
    <row r="686" spans="1:44" x14ac:dyDescent="0.25">
      <c r="F686" t="e">
        <f t="array" ref="F686">SMALL(IF('Raw Data'!A:A=C675,ROW('Raw Data'!A:A)),ROW('Raw Data'!$11:$11))</f>
        <v>#NUM!</v>
      </c>
      <c r="G686" t="e">
        <f t="array" ref="G686">INDEX('Raw Data'!A:A,F686,9)</f>
        <v>#NUM!</v>
      </c>
      <c r="H686" t="e">
        <f t="array" ref="H686">INDEX('Raw Data'!A:A,F686,10)</f>
        <v>#NUM!</v>
      </c>
      <c r="I686" t="e">
        <f t="array" ref="I686">INDEX('Raw Data'!$A:A,$F686,11)</f>
        <v>#NUM!</v>
      </c>
      <c r="J686" t="e">
        <f t="array" ref="J686">INDEX('Raw Data'!$A:A,F686,12)</f>
        <v>#NUM!</v>
      </c>
      <c r="K686" t="e">
        <f t="array" ref="K686">(--INDEX('Raw Data'!$A$4:B$998,F686,4))</f>
        <v>#NUM!</v>
      </c>
      <c r="L686" t="e">
        <f t="array" ref="L686">(--INDEX('Raw Data'!$A$4:B$998,F686,5))</f>
        <v>#NUM!</v>
      </c>
      <c r="M686" t="e">
        <f t="array" ref="M686">(--INDEX('Raw Data'!$A$4:D$998,$F686,6))</f>
        <v>#NUM!</v>
      </c>
      <c r="N686" t="e">
        <f t="array" ref="N686">(--INDEX('Raw Data'!$A$4:D$998,$F686,7))</f>
        <v>#NUM!</v>
      </c>
      <c r="O686" t="e">
        <f t="array" ref="O686">IF(--INDEX('Raw Data'!$A$4:E$998,$F686,8)= 0, 1, 0)</f>
        <v>#NUM!</v>
      </c>
      <c r="P686" t="e">
        <f t="array" ref="P686">IF(--INDEX('Raw Data'!$A$4:F$998,$F686,8)= 1, 1, 0)</f>
        <v>#NUM!</v>
      </c>
      <c r="Q686" t="e">
        <f t="array" ref="Q686">IF(--INDEX('Raw Data'!$A$4:G$998,$F686,13)= 1, 1, 0)</f>
        <v>#NUM!</v>
      </c>
      <c r="R686" t="e">
        <f t="array" ref="R686">IF(--INDEX('Raw Data'!$A$4:H$998,$F686,14)= 1, 1, 0)</f>
        <v>#NUM!</v>
      </c>
      <c r="S686" t="e">
        <f t="array" ref="S686">IF(--INDEX('Raw Data'!$A$4:I$998,$F686,15)= 1, 1, 0)</f>
        <v>#NUM!</v>
      </c>
      <c r="T686" t="e">
        <f t="array" ref="T686">IF(--INDEX('Raw Data'!$A$4:I$998,$F686,15)= 1, 1, 0)</f>
        <v>#NUM!</v>
      </c>
      <c r="U686" t="e">
        <f t="array" ref="U686">IF(--INDEX('Raw Data'!$A$4:J$998,$F686,16)= 1, 1, 0)</f>
        <v>#NUM!</v>
      </c>
      <c r="V686" t="e">
        <f t="array" ref="V686">IF(--INDEX('Raw Data'!$A$4:K$998,$F686,17)= 1, 1, 0)</f>
        <v>#NUM!</v>
      </c>
      <c r="W686" t="e">
        <f t="array" ref="W686">INDEX('Raw Data'!$A:$O,$F686,19)</f>
        <v>#NUM!</v>
      </c>
      <c r="X686" t="e">
        <f t="array" ref="X686">INDEX('Raw Data'!$A:$O,$F686,20)</f>
        <v>#NUM!</v>
      </c>
      <c r="Y686" t="e">
        <f t="array" ref="Y686">INDEX('Raw Data'!$A:$O,F686,21)</f>
        <v>#NUM!</v>
      </c>
      <c r="Z686" t="e">
        <f t="array" ref="Z686">INDEX('Raw Data'!$A:$O,$F686,3)</f>
        <v>#NUM!</v>
      </c>
      <c r="AA686" t="e">
        <f t="array" ref="AA686">INDEX('Raw Data'!$A:$O,$F686,22)</f>
        <v>#NUM!</v>
      </c>
      <c r="AB686" t="e">
        <f t="array" ref="AB686">INDEX('Raw Data'!$A:$O,$F686,23)</f>
        <v>#NUM!</v>
      </c>
    </row>
    <row r="687" spans="1:44" x14ac:dyDescent="0.25">
      <c r="F687" t="e">
        <f t="array" ref="F687">SMALL(IF('Raw Data'!A:A=C675,ROW('Raw Data'!A:A)),ROW('Raw Data'!$12:$12))</f>
        <v>#NUM!</v>
      </c>
      <c r="G687" t="e">
        <f t="array" ref="G687">INDEX('Raw Data'!A:A,F687,9)</f>
        <v>#NUM!</v>
      </c>
      <c r="H687" t="e">
        <f t="array" ref="H687">INDEX('Raw Data'!A:A,F687,10)</f>
        <v>#NUM!</v>
      </c>
      <c r="I687" t="e">
        <f t="array" ref="I687">INDEX('Raw Data'!$A:A,$F687,11)</f>
        <v>#NUM!</v>
      </c>
      <c r="J687" t="e">
        <f t="array" ref="J687">INDEX('Raw Data'!$A:A,F687,12)</f>
        <v>#NUM!</v>
      </c>
      <c r="K687" t="e">
        <f t="array" ref="K687">(--INDEX('Raw Data'!$A$4:B$998,F687,4))</f>
        <v>#NUM!</v>
      </c>
      <c r="L687" t="e">
        <f t="array" ref="L687">(--INDEX('Raw Data'!$A$4:B$998,F687,5))</f>
        <v>#NUM!</v>
      </c>
      <c r="M687" t="e">
        <f t="array" ref="M687">(--INDEX('Raw Data'!$A$4:D$998,$F687,6))</f>
        <v>#NUM!</v>
      </c>
      <c r="N687" t="e">
        <f t="array" ref="N687">(--INDEX('Raw Data'!$A$4:D$998,$F687,7))</f>
        <v>#NUM!</v>
      </c>
      <c r="O687" t="e">
        <f t="array" ref="O687">IF(--INDEX('Raw Data'!$A$4:E$998,$F687,8)= 0, 1, 0)</f>
        <v>#NUM!</v>
      </c>
      <c r="P687" t="e">
        <f t="array" ref="P687">IF(--INDEX('Raw Data'!$A$4:F$998,$F687,8)= 1, 1, 0)</f>
        <v>#NUM!</v>
      </c>
      <c r="Q687" t="e">
        <f t="array" ref="Q687">IF(--INDEX('Raw Data'!$A$4:G$998,$F687,13)= 1, 1, 0)</f>
        <v>#NUM!</v>
      </c>
      <c r="R687" t="e">
        <f t="array" ref="R687">IF(--INDEX('Raw Data'!$A$4:H$998,$F687,14)= 1, 1, 0)</f>
        <v>#NUM!</v>
      </c>
      <c r="S687" t="e">
        <f t="array" ref="S687">IF(--INDEX('Raw Data'!$A$4:I$998,$F687,15)= 1, 1, 0)</f>
        <v>#NUM!</v>
      </c>
      <c r="T687" t="e">
        <f t="array" ref="T687">IF(--INDEX('Raw Data'!$A$4:I$998,$F687,15)= 1, 1, 0)</f>
        <v>#NUM!</v>
      </c>
      <c r="U687" t="e">
        <f t="array" ref="U687">IF(--INDEX('Raw Data'!$A$4:J$998,$F687,16)= 1, 1, 0)</f>
        <v>#NUM!</v>
      </c>
      <c r="V687" t="e">
        <f t="array" ref="V687">IF(--INDEX('Raw Data'!$A$4:K$998,$F687,17)= 1, 1, 0)</f>
        <v>#NUM!</v>
      </c>
      <c r="W687" t="e">
        <f t="array" ref="W687">INDEX('Raw Data'!$A:$O,$F687,19)</f>
        <v>#NUM!</v>
      </c>
      <c r="X687" t="e">
        <f t="array" ref="X687">INDEX('Raw Data'!$A:$O,$F687,20)</f>
        <v>#NUM!</v>
      </c>
      <c r="Y687" t="e">
        <f t="array" ref="Y687">INDEX('Raw Data'!$A:$O,F687,21)</f>
        <v>#NUM!</v>
      </c>
      <c r="Z687" t="e">
        <f t="array" ref="Z687">INDEX('Raw Data'!$A:$O,$F687,3)</f>
        <v>#NUM!</v>
      </c>
      <c r="AA687" t="e">
        <f t="array" ref="AA687">INDEX('Raw Data'!$A:$O,$F687,22)</f>
        <v>#NUM!</v>
      </c>
      <c r="AB687" t="e">
        <f t="array" ref="AB687">INDEX('Raw Data'!$A:$O,$F687,23)</f>
        <v>#NUM!</v>
      </c>
    </row>
    <row r="688" spans="1:44" x14ac:dyDescent="0.25">
      <c r="F688" t="e">
        <f t="array" ref="F688">SMALL(IF('Raw Data'!A:A=C675,ROW('Raw Data'!A:A)),ROW('Raw Data'!$13:$13))</f>
        <v>#NUM!</v>
      </c>
      <c r="G688" t="e">
        <f t="array" ref="G688">INDEX('Raw Data'!A:A,F688,9)</f>
        <v>#NUM!</v>
      </c>
      <c r="H688" t="e">
        <f t="array" ref="H688">INDEX('Raw Data'!A:A,F688,10)</f>
        <v>#NUM!</v>
      </c>
      <c r="I688" t="e">
        <f t="array" ref="I688">INDEX('Raw Data'!$A:A,$F688,11)</f>
        <v>#NUM!</v>
      </c>
      <c r="J688" t="e">
        <f t="array" ref="J688">INDEX('Raw Data'!$A:A,F688,12)</f>
        <v>#NUM!</v>
      </c>
      <c r="K688" t="e">
        <f t="array" ref="K688">(--INDEX('Raw Data'!$A$4:B$998,F688,4))</f>
        <v>#NUM!</v>
      </c>
      <c r="L688" t="e">
        <f t="array" ref="L688">(--INDEX('Raw Data'!$A$4:B$998,F688,5))</f>
        <v>#NUM!</v>
      </c>
      <c r="M688" t="e">
        <f t="array" ref="M688">(--INDEX('Raw Data'!$A$4:D$998,$F688,6))</f>
        <v>#NUM!</v>
      </c>
      <c r="N688" t="e">
        <f t="array" ref="N688">(--INDEX('Raw Data'!$A$4:D$998,$F688,7))</f>
        <v>#NUM!</v>
      </c>
      <c r="O688" t="e">
        <f t="array" ref="O688">IF(--INDEX('Raw Data'!$A$4:E$998,$F688,8)= 0, 1, 0)</f>
        <v>#NUM!</v>
      </c>
      <c r="P688" t="e">
        <f t="array" ref="P688">IF(--INDEX('Raw Data'!$A$4:F$998,$F688,8)= 1, 1, 0)</f>
        <v>#NUM!</v>
      </c>
      <c r="Q688" t="e">
        <f t="array" ref="Q688">IF(--INDEX('Raw Data'!$A$4:G$998,$F688,13)= 1, 1, 0)</f>
        <v>#NUM!</v>
      </c>
      <c r="R688" t="e">
        <f t="array" ref="R688">IF(--INDEX('Raw Data'!$A$4:H$998,$F688,14)= 1, 1, 0)</f>
        <v>#NUM!</v>
      </c>
      <c r="S688" t="e">
        <f t="array" ref="S688">IF(--INDEX('Raw Data'!$A$4:I$998,$F688,15)= 1, 1, 0)</f>
        <v>#NUM!</v>
      </c>
      <c r="T688" t="e">
        <f t="array" ref="T688">IF(--INDEX('Raw Data'!$A$4:I$998,$F688,15)= 1, 1, 0)</f>
        <v>#NUM!</v>
      </c>
      <c r="U688" t="e">
        <f t="array" ref="U688">IF(--INDEX('Raw Data'!$A$4:J$998,$F688,16)= 1, 1, 0)</f>
        <v>#NUM!</v>
      </c>
      <c r="V688" t="e">
        <f t="array" ref="V688">IF(--INDEX('Raw Data'!$A$4:K$998,$F688,17)= 1, 1, 0)</f>
        <v>#NUM!</v>
      </c>
      <c r="W688" t="e">
        <f t="array" ref="W688">INDEX('Raw Data'!$A:$O,$F688,19)</f>
        <v>#NUM!</v>
      </c>
      <c r="X688" t="e">
        <f t="array" ref="X688">INDEX('Raw Data'!$A:$O,$F688,20)</f>
        <v>#NUM!</v>
      </c>
      <c r="Y688" t="e">
        <f t="array" ref="Y688">INDEX('Raw Data'!$A:$O,F688,21)</f>
        <v>#NUM!</v>
      </c>
      <c r="Z688" t="e">
        <f t="array" ref="Z688">INDEX('Raw Data'!$A:$O,$F688,3)</f>
        <v>#NUM!</v>
      </c>
      <c r="AA688" t="e">
        <f t="array" ref="AA688">INDEX('Raw Data'!$A:$O,$F688,22)</f>
        <v>#NUM!</v>
      </c>
      <c r="AB688" t="e">
        <f t="array" ref="AB688">INDEX('Raw Data'!$A:$O,$F688,23)</f>
        <v>#NUM!</v>
      </c>
    </row>
    <row r="689" spans="1:44" x14ac:dyDescent="0.25">
      <c r="F689" t="e">
        <f t="array" ref="F689">SMALL(IF('Raw Data'!A:A=C675,ROW('Raw Data'!A:A)),ROW('Raw Data'!$14:$14))</f>
        <v>#NUM!</v>
      </c>
      <c r="G689" t="e">
        <f t="array" ref="G689">INDEX('Raw Data'!A:A,F689,9)</f>
        <v>#NUM!</v>
      </c>
      <c r="H689" t="e">
        <f t="array" ref="H689">INDEX('Raw Data'!A:A,F689,10)</f>
        <v>#NUM!</v>
      </c>
      <c r="I689" t="e">
        <f t="array" ref="I689">INDEX('Raw Data'!$A:A,$F689,11)</f>
        <v>#NUM!</v>
      </c>
      <c r="J689" t="e">
        <f t="array" ref="J689">INDEX('Raw Data'!$A:A,F689,12)</f>
        <v>#NUM!</v>
      </c>
      <c r="K689" t="e">
        <f t="array" ref="K689">(--INDEX('Raw Data'!$A$4:B$998,F689,4))</f>
        <v>#NUM!</v>
      </c>
      <c r="L689" t="e">
        <f t="array" ref="L689">(--INDEX('Raw Data'!$A$4:B$998,F689,5))</f>
        <v>#NUM!</v>
      </c>
      <c r="M689" t="e">
        <f t="array" ref="M689">(--INDEX('Raw Data'!$A$4:D$998,$F689,6))</f>
        <v>#NUM!</v>
      </c>
      <c r="N689" t="e">
        <f t="array" ref="N689">(--INDEX('Raw Data'!$A$4:D$998,$F689,7))</f>
        <v>#NUM!</v>
      </c>
      <c r="O689" t="e">
        <f t="array" ref="O689">IF(--INDEX('Raw Data'!$A$4:E$998,$F689,8)= 0, 1, 0)</f>
        <v>#NUM!</v>
      </c>
      <c r="P689" t="e">
        <f t="array" ref="P689">IF(--INDEX('Raw Data'!$A$4:F$998,$F689,8)= 1, 1, 0)</f>
        <v>#NUM!</v>
      </c>
      <c r="Q689" t="e">
        <f t="array" ref="Q689">IF(--INDEX('Raw Data'!$A$4:G$998,$F689,13)= 1, 1, 0)</f>
        <v>#NUM!</v>
      </c>
      <c r="R689" t="e">
        <f t="array" ref="R689">IF(--INDEX('Raw Data'!$A$4:H$998,$F689,14)= 1, 1, 0)</f>
        <v>#NUM!</v>
      </c>
      <c r="S689" t="e">
        <f t="array" ref="S689">IF(--INDEX('Raw Data'!$A$4:I$998,$F689,15)= 1, 1, 0)</f>
        <v>#NUM!</v>
      </c>
      <c r="T689" t="e">
        <f t="array" ref="T689">IF(--INDEX('Raw Data'!$A$4:I$998,$F689,15)= 1, 1, 0)</f>
        <v>#NUM!</v>
      </c>
      <c r="U689" t="e">
        <f t="array" ref="U689">IF(--INDEX('Raw Data'!$A$4:J$998,$F689,16)= 1, 1, 0)</f>
        <v>#NUM!</v>
      </c>
      <c r="V689" t="e">
        <f t="array" ref="V689">IF(--INDEX('Raw Data'!$A$4:K$998,$F689,17)= 1, 1, 0)</f>
        <v>#NUM!</v>
      </c>
      <c r="W689" t="e">
        <f t="array" ref="W689">INDEX('Raw Data'!$A:$O,$F689,19)</f>
        <v>#NUM!</v>
      </c>
      <c r="X689" t="e">
        <f t="array" ref="X689">INDEX('Raw Data'!$A:$O,$F689,20)</f>
        <v>#NUM!</v>
      </c>
      <c r="Y689" t="e">
        <f t="array" ref="Y689">INDEX('Raw Data'!$A:$O,F689,21)</f>
        <v>#NUM!</v>
      </c>
      <c r="Z689" t="e">
        <f t="array" ref="Z689">INDEX('Raw Data'!$A:$O,$F689,3)</f>
        <v>#NUM!</v>
      </c>
      <c r="AA689" t="e">
        <f t="array" ref="AA689">INDEX('Raw Data'!$A:$O,$F689,22)</f>
        <v>#NUM!</v>
      </c>
      <c r="AB689" t="e">
        <f t="array" ref="AB689">INDEX('Raw Data'!$A:$O,$F689,23)</f>
        <v>#NUM!</v>
      </c>
    </row>
    <row r="690" spans="1:44" x14ac:dyDescent="0.25">
      <c r="F690" t="e">
        <f t="array" ref="F690">SMALL(IF('Raw Data'!A:A=C675,ROW('Raw Data'!A:A)),ROW('Raw Data'!$15:$15))</f>
        <v>#NUM!</v>
      </c>
      <c r="G690" t="e">
        <f t="array" ref="G690">INDEX('Raw Data'!A:A,F690,9)</f>
        <v>#NUM!</v>
      </c>
      <c r="H690" t="e">
        <f t="array" ref="H690">INDEX('Raw Data'!A:A,F690,10)</f>
        <v>#NUM!</v>
      </c>
      <c r="I690" t="e">
        <f t="array" ref="I690">INDEX('Raw Data'!$A:A,$F690,11)</f>
        <v>#NUM!</v>
      </c>
      <c r="J690" t="e">
        <f t="array" ref="J690">INDEX('Raw Data'!$A:A,F690,12)</f>
        <v>#NUM!</v>
      </c>
      <c r="K690" t="e">
        <f t="array" ref="K690">(--INDEX('Raw Data'!$A$4:B$998,F690,4))</f>
        <v>#NUM!</v>
      </c>
      <c r="L690" t="e">
        <f t="array" ref="L690">(--INDEX('Raw Data'!$A$4:B$998,F690,5))</f>
        <v>#NUM!</v>
      </c>
      <c r="M690" t="e">
        <f t="array" ref="M690">(--INDEX('Raw Data'!$A$4:D$998,$F690,6))</f>
        <v>#NUM!</v>
      </c>
      <c r="N690" t="e">
        <f t="array" ref="N690">(--INDEX('Raw Data'!$A$4:D$998,$F690,7))</f>
        <v>#NUM!</v>
      </c>
      <c r="O690" t="e">
        <f t="array" ref="O690">IF(--INDEX('Raw Data'!$A$4:E$998,$F690,8)= 0, 1, 0)</f>
        <v>#NUM!</v>
      </c>
      <c r="P690" t="e">
        <f t="array" ref="P690">IF(--INDEX('Raw Data'!$A$4:F$998,$F690,8)= 1, 1, 0)</f>
        <v>#NUM!</v>
      </c>
      <c r="Q690" t="e">
        <f t="array" ref="Q690">IF(--INDEX('Raw Data'!$A$4:G$998,$F690,13)= 1, 1, 0)</f>
        <v>#NUM!</v>
      </c>
      <c r="R690" t="e">
        <f t="array" ref="R690">IF(--INDEX('Raw Data'!$A$4:H$998,$F690,14)= 1, 1, 0)</f>
        <v>#NUM!</v>
      </c>
      <c r="S690" t="e">
        <f t="array" ref="S690">IF(--INDEX('Raw Data'!$A$4:I$998,$F690,15)= 1, 1, 0)</f>
        <v>#NUM!</v>
      </c>
      <c r="T690" t="e">
        <f t="array" ref="T690">IF(--INDEX('Raw Data'!$A$4:I$998,$F690,15)= 1, 1, 0)</f>
        <v>#NUM!</v>
      </c>
      <c r="U690" t="e">
        <f t="array" ref="U690">IF(--INDEX('Raw Data'!$A$4:J$998,$F690,16)= 1, 1, 0)</f>
        <v>#NUM!</v>
      </c>
      <c r="V690" t="e">
        <f t="array" ref="V690">IF(--INDEX('Raw Data'!$A$4:K$998,$F690,17)= 1, 1, 0)</f>
        <v>#NUM!</v>
      </c>
      <c r="W690" t="e">
        <f t="array" ref="W690">INDEX('Raw Data'!$A:$O,$F690,19)</f>
        <v>#NUM!</v>
      </c>
      <c r="X690" t="e">
        <f t="array" ref="X690">INDEX('Raw Data'!$A:$O,$F690,20)</f>
        <v>#NUM!</v>
      </c>
      <c r="Y690" t="e">
        <f t="array" ref="Y690">INDEX('Raw Data'!$A:$O,F690,21)</f>
        <v>#NUM!</v>
      </c>
      <c r="Z690" t="e">
        <f t="array" ref="Z690">INDEX('Raw Data'!$A:$O,$F690,3)</f>
        <v>#NUM!</v>
      </c>
      <c r="AA690" t="e">
        <f t="array" ref="AA690">INDEX('Raw Data'!$A:$O,$F690,22)</f>
        <v>#NUM!</v>
      </c>
      <c r="AB690" t="e">
        <f t="array" ref="AB690">INDEX('Raw Data'!$A:$O,$F690,23)</f>
        <v>#NUM!</v>
      </c>
    </row>
    <row r="691" spans="1:44" x14ac:dyDescent="0.25">
      <c r="A691" t="s">
        <v>55</v>
      </c>
      <c r="C691" s="2" t="e">
        <f>B681/B680</f>
        <v>#DIV/0!</v>
      </c>
      <c r="F691">
        <f t="array" ref="F691">COUNTIF(F676:F690,"&gt;0")</f>
        <v>0</v>
      </c>
      <c r="G691">
        <f t="array" ref="G691">SUMIF(G676:G690,"&gt;0")</f>
        <v>0</v>
      </c>
      <c r="H691">
        <f t="array" ref="H691">SUMIF(H676:H690,"&gt;0")</f>
        <v>0</v>
      </c>
      <c r="I691">
        <f t="array" ref="I691">SUMIF(I676:I690,"&gt;0")</f>
        <v>0</v>
      </c>
      <c r="J691">
        <f t="array" ref="J691">SUMIF(J676:J690,"&gt;0")</f>
        <v>0</v>
      </c>
      <c r="K691">
        <f t="array" ref="K691">SUMIF(K676:K690,"&gt;0")</f>
        <v>0</v>
      </c>
      <c r="L691">
        <f t="array" ref="L691">SUMIF(L676:L690,"&gt;0")</f>
        <v>0</v>
      </c>
      <c r="M691">
        <f t="array" ref="M691">SUMIF(M676:M690,"&gt;0")</f>
        <v>0</v>
      </c>
      <c r="N691">
        <f t="array" ref="N691">SUMIF(N676:N690,"&gt;0")</f>
        <v>0</v>
      </c>
      <c r="O691">
        <f t="array" ref="O691">SUMIF(O676:O690,"&gt;0")</f>
        <v>0</v>
      </c>
      <c r="P691">
        <f t="array" ref="P691">SUMIF(P676:P690,"&gt;0")</f>
        <v>0</v>
      </c>
      <c r="Q691">
        <f t="array" ref="Q691">SUMIF(Q676:Q690,"&gt;0")</f>
        <v>0</v>
      </c>
      <c r="R691">
        <f t="array" ref="R691">SUMIF(R676:R690,"&gt;0")</f>
        <v>0</v>
      </c>
      <c r="S691">
        <f t="array" ref="S691">SUMIF(S676:S690,"&gt;0")</f>
        <v>0</v>
      </c>
      <c r="T691">
        <f t="array" ref="T691">SUMIF(T676:T690,"&gt;0")</f>
        <v>0</v>
      </c>
      <c r="U691">
        <f t="array" ref="U691">SUMIF(U676:U690,"&gt;0")</f>
        <v>0</v>
      </c>
      <c r="V691">
        <f t="array" ref="V691">SUMIF(V676:V690,"&gt;0")</f>
        <v>0</v>
      </c>
      <c r="W691">
        <f t="array" ref="W691">SUMIF(W676:W690,"&gt;0")</f>
        <v>0</v>
      </c>
      <c r="X691">
        <f t="array" ref="X691">SUMIF(X676:X690,"&gt;0")</f>
        <v>0</v>
      </c>
      <c r="Y691">
        <f t="array" ref="Y691">SUMIF(Y676:Y690,"&gt;0")</f>
        <v>0</v>
      </c>
      <c r="Z691">
        <f t="array" ref="Z691">SUMIF(Z676:Z690,"&gt;0")</f>
        <v>0</v>
      </c>
      <c r="AA691">
        <f t="array" ref="AA691">SUMIF(AA676:AA690,"&gt;0")</f>
        <v>0</v>
      </c>
      <c r="AB691">
        <f t="array" ref="AB691">SUMIF(AB676:AB690,"&gt;0")</f>
        <v>0</v>
      </c>
    </row>
    <row r="692" spans="1:44" x14ac:dyDescent="0.25">
      <c r="A692" t="s">
        <v>58</v>
      </c>
      <c r="C692" s="2">
        <f t="array" ref="C692">IF((K691+L691)&lt;&gt;0, (L691/(K691+L691)),0)</f>
        <v>0</v>
      </c>
      <c r="J692" s="6">
        <f t="array" ref="J692">J691*10</f>
        <v>0</v>
      </c>
      <c r="K692" s="6"/>
      <c r="P692" t="s">
        <v>95</v>
      </c>
      <c r="Q692" s="2" t="e">
        <f t="array" ref="Q692">Q691/$F691</f>
        <v>#DIV/0!</v>
      </c>
      <c r="R692" s="2" t="e">
        <f t="array" ref="R692">R691/$F691</f>
        <v>#DIV/0!</v>
      </c>
      <c r="S692" s="2" t="e">
        <f t="array" ref="S692">S691/$F691</f>
        <v>#DIV/0!</v>
      </c>
      <c r="T692" s="2" t="e">
        <f t="array" ref="T692">T691/$F691</f>
        <v>#DIV/0!</v>
      </c>
      <c r="U692" s="2" t="e">
        <f t="array" ref="U692">U691/$F691</f>
        <v>#DIV/0!</v>
      </c>
      <c r="V692" s="2" t="e">
        <f t="array" ref="V692">V691/$F691</f>
        <v>#DIV/0!</v>
      </c>
      <c r="W692" s="2" t="e">
        <f t="array" ref="W692">W691/$F691</f>
        <v>#DIV/0!</v>
      </c>
      <c r="X692" s="2" t="e">
        <f t="array" ref="X692">X691/$F691</f>
        <v>#DIV/0!</v>
      </c>
      <c r="Z692" s="2" t="e">
        <f t="array" ref="Z692">Z691/F691</f>
        <v>#DIV/0!</v>
      </c>
    </row>
    <row r="693" spans="1:44" x14ac:dyDescent="0.25">
      <c r="A693" t="s">
        <v>60</v>
      </c>
      <c r="C693" s="2">
        <f t="array" ref="C693">IF((M691+N691)&lt;&gt;0, (N691/(M691+N691)),0)</f>
        <v>0</v>
      </c>
      <c r="J693" s="6"/>
      <c r="K693" s="6"/>
      <c r="AR693" s="25"/>
    </row>
    <row r="694" spans="1:44" ht="28.5" x14ac:dyDescent="0.45">
      <c r="A694" t="s">
        <v>61</v>
      </c>
      <c r="C694" s="2">
        <f t="array" ref="C694">IF(((K691+N691+L691+M691)&lt;&gt;0), ((L691+N691)/(K691+N691+L691+M691)),0)</f>
        <v>0</v>
      </c>
      <c r="F694" s="17" t="s">
        <v>106</v>
      </c>
      <c r="G694" s="17" t="e">
        <f t="array" ref="G694">'Weighting &amp; Ranking Sheet'!$B$3*Math!$C692+'Weighting &amp; Ranking Sheet'!$B$4*Math!$C693+'Weighting &amp; Ranking Sheet'!$B$5*Math!$C694+'Weighting &amp; Ranking Sheet'!$B$6*Math!$C695+'Weighting &amp; Ranking Sheet'!$B$7*Math!$C679+'Weighting &amp; Ranking Sheet'!$B$8*Math!$C691+'Weighting &amp; Ranking Sheet'!$B$9*Math!$C698+'Weighting &amp; Ranking Sheet'!$B$10*Math!$C696+'Weighting &amp; Ranking Sheet'!$B$11*Math!$C697+'Weighting &amp; Ranking Sheet'!$B$12*Math!$C699*0.01+'Weighting &amp; Ranking Sheet'!$B$13*Math!$Q692+'Weighting &amp; Ranking Sheet'!$B$14*Math!$R692+'Weighting &amp; Ranking Sheet'!$B$15*Math!$S692+'Weighting &amp; Ranking Sheet'!$B$16*Math!$T692+'Weighting &amp; Ranking Sheet'!$B$17*Math!$U692+'Weighting &amp; Ranking Sheet'!$B$18*Math!$V692+'Weighting &amp; Ranking Sheet'!$B$2*Math!$Z692</f>
        <v>#DIV/0!</v>
      </c>
      <c r="J694"/>
      <c r="K694"/>
      <c r="AR694" s="25"/>
    </row>
    <row r="695" spans="1:44" x14ac:dyDescent="0.25">
      <c r="A695" t="s">
        <v>62</v>
      </c>
      <c r="C695" s="2">
        <f t="array" ref="C695">IF((O691+P691&lt;&gt;0),(P691/(O691+P691)), 0)</f>
        <v>0</v>
      </c>
      <c r="J695"/>
      <c r="K695"/>
      <c r="AR695" s="25"/>
    </row>
    <row r="696" spans="1:44" x14ac:dyDescent="0.25">
      <c r="A696" t="s">
        <v>77</v>
      </c>
      <c r="C696" s="8" t="e">
        <f t="array" ref="C696">W691/F691</f>
        <v>#DIV/0!</v>
      </c>
      <c r="J696"/>
      <c r="K696"/>
      <c r="AR696" s="23"/>
    </row>
    <row r="697" spans="1:44" x14ac:dyDescent="0.25">
      <c r="A697" t="s">
        <v>78</v>
      </c>
      <c r="C697" s="8" t="e">
        <f t="array" ref="C697">X691/F691</f>
        <v>#DIV/0!</v>
      </c>
      <c r="J697"/>
      <c r="K697"/>
    </row>
    <row r="698" spans="1:44" x14ac:dyDescent="0.25">
      <c r="A698" t="s">
        <v>91</v>
      </c>
      <c r="C698" s="2" t="e">
        <f t="array" ref="C698">(C679+C691)/2</f>
        <v>#DIV/0!</v>
      </c>
      <c r="J698"/>
      <c r="K698"/>
    </row>
    <row r="699" spans="1:44" x14ac:dyDescent="0.25">
      <c r="A699" t="s">
        <v>92</v>
      </c>
      <c r="C699" s="8" t="e">
        <f t="array" ref="C699">Y691/F691</f>
        <v>#DIV/0!</v>
      </c>
      <c r="J699"/>
      <c r="K699"/>
    </row>
    <row r="700" spans="1:44" x14ac:dyDescent="0.25">
      <c r="C700" s="8"/>
      <c r="J700"/>
      <c r="K700"/>
    </row>
    <row r="701" spans="1:44" x14ac:dyDescent="0.25">
      <c r="C701" s="8"/>
      <c r="J701" s="6"/>
      <c r="K701" s="6"/>
    </row>
    <row r="702" spans="1:44" x14ac:dyDescent="0.25">
      <c r="J702" s="6"/>
      <c r="K702" s="6"/>
    </row>
    <row r="703" spans="1:44" x14ac:dyDescent="0.25">
      <c r="A703" t="s">
        <v>3</v>
      </c>
      <c r="C703" s="5">
        <v>2495</v>
      </c>
      <c r="F703" t="s">
        <v>29</v>
      </c>
    </row>
    <row r="704" spans="1:44" x14ac:dyDescent="0.25">
      <c r="F704" t="e">
        <f t="array" ref="F704">SMALL(IF('Raw Data'!A:A=C703,ROW('Raw Data'!A:A)),ROW('Raw Data'!$1:$1))</f>
        <v>#NUM!</v>
      </c>
      <c r="G704" t="e">
        <f t="array" ref="G704">INDEX('Raw Data'!A:A,F704,9)</f>
        <v>#NUM!</v>
      </c>
      <c r="H704" t="e">
        <f t="array" ref="H704">INDEX('Raw Data'!A:A,F704,10)</f>
        <v>#NUM!</v>
      </c>
      <c r="I704" t="e">
        <f t="array" ref="I704">INDEX('Raw Data'!$A:A,$F704,11)</f>
        <v>#NUM!</v>
      </c>
      <c r="J704" t="e">
        <f t="array" ref="J704">INDEX('Raw Data'!$A:A,F704,12)</f>
        <v>#NUM!</v>
      </c>
      <c r="K704" t="e">
        <f>(--INDEX('Raw Data'!$A$4:B$993,F704,4))</f>
        <v>#NUM!</v>
      </c>
      <c r="L704" t="e">
        <f t="array" ref="L704">(--INDEX('Raw Data'!$A$4:B$993,F704,5))</f>
        <v>#NUM!</v>
      </c>
      <c r="M704" t="e">
        <f t="array" ref="M704">(--INDEX('Raw Data'!$A$4:D$993,$F704,6))</f>
        <v>#NUM!</v>
      </c>
      <c r="N704" t="e">
        <f t="array" ref="N704">(--INDEX('Raw Data'!$A$4:D$993,$F704,7))</f>
        <v>#NUM!</v>
      </c>
      <c r="O704" t="e">
        <f t="array" ref="O704">IF(--INDEX('Raw Data'!$A$4:E$993,$F704,8)= 0, 1, 0)</f>
        <v>#NUM!</v>
      </c>
      <c r="P704" t="e">
        <f t="array" ref="P704">IF(--INDEX('Raw Data'!$A$4:F$993,$F704,8)= 1, 1, 0)</f>
        <v>#NUM!</v>
      </c>
      <c r="Q704" t="e">
        <f t="array" ref="Q704">IF(--INDEX('Raw Data'!$A$4:G$993,$F704,13)= 1, 1, 0)</f>
        <v>#NUM!</v>
      </c>
      <c r="R704" t="e">
        <f t="array" ref="R704">IF(--INDEX('Raw Data'!$A$4:H$993,$F704,14)= 1, 1, 0)</f>
        <v>#NUM!</v>
      </c>
      <c r="S704" t="e">
        <f t="array" ref="S704">IF(--INDEX('Raw Data'!$A$4:I$993,$F704,15)= 1, 1, 0)</f>
        <v>#NUM!</v>
      </c>
      <c r="T704" t="e">
        <f t="array" ref="T704">IF(--INDEX('Raw Data'!$A$4:I$993,$F704,15)= 1, 1, 0)</f>
        <v>#NUM!</v>
      </c>
      <c r="U704" t="e">
        <f t="array" ref="U704">IF(--INDEX('Raw Data'!$A$4:J$993,$F704,16)= 1, 1, 0)</f>
        <v>#NUM!</v>
      </c>
      <c r="V704" t="e">
        <f t="array" ref="V704">IF(--INDEX('Raw Data'!$A$4:K$993,$F704,17)= 1, 1, 0)</f>
        <v>#NUM!</v>
      </c>
      <c r="W704" t="e">
        <f t="array" ref="W704">INDEX('Raw Data'!$A:$O,$F704,19)</f>
        <v>#NUM!</v>
      </c>
      <c r="X704" t="e">
        <f t="array" ref="X704">INDEX('Raw Data'!$A:$O,$F704,20)</f>
        <v>#NUM!</v>
      </c>
      <c r="Y704" t="e">
        <f t="array" ref="Y704">INDEX('Raw Data'!$A:$O,F704,21)</f>
        <v>#NUM!</v>
      </c>
      <c r="Z704" t="e">
        <f t="array" ref="Z704">INDEX('Raw Data'!$A:$O,$F704,3)</f>
        <v>#NUM!</v>
      </c>
      <c r="AA704" t="e">
        <f t="array" ref="AA704">INDEX('Raw Data'!$A:$O,$F704,22)</f>
        <v>#NUM!</v>
      </c>
      <c r="AB704" t="e">
        <f t="array" ref="AB704">INDEX('Raw Data'!$A:$O,$F704,23)</f>
        <v>#NUM!</v>
      </c>
    </row>
    <row r="705" spans="1:44" x14ac:dyDescent="0.25">
      <c r="A705" t="s">
        <v>0</v>
      </c>
      <c r="B705">
        <f>G719</f>
        <v>0</v>
      </c>
      <c r="F705" t="e">
        <f t="array" ref="F705">SMALL(IF('Raw Data'!A:A=C703,ROW('Raw Data'!A:A)),ROW('Raw Data'!$2:$2))</f>
        <v>#NUM!</v>
      </c>
      <c r="G705" t="e">
        <f t="array" ref="G705">INDEX('Raw Data'!A:A,F705,9)</f>
        <v>#NUM!</v>
      </c>
      <c r="H705" t="e">
        <f t="array" ref="H705">INDEX('Raw Data'!A:A,F705,10)</f>
        <v>#NUM!</v>
      </c>
      <c r="I705" t="e">
        <f t="array" ref="I705">INDEX('Raw Data'!$A:A,$F705,11)</f>
        <v>#NUM!</v>
      </c>
      <c r="J705" t="e">
        <f t="array" ref="J705">INDEX('Raw Data'!$A:A,F705,12)</f>
        <v>#NUM!</v>
      </c>
      <c r="K705" t="e">
        <f>(--INDEX('Raw Data'!$A$4:B$993,F705,4))</f>
        <v>#NUM!</v>
      </c>
      <c r="L705" t="e">
        <f t="array" ref="L705">(--INDEX('Raw Data'!$A$4:B$993,F705,5))</f>
        <v>#NUM!</v>
      </c>
      <c r="M705" t="e">
        <f t="array" ref="M705">(--INDEX('Raw Data'!$A$4:D$993,$F705,6))</f>
        <v>#NUM!</v>
      </c>
      <c r="N705" t="e">
        <f t="array" ref="N705">(--INDEX('Raw Data'!$A$4:D$993,$F705,7))</f>
        <v>#NUM!</v>
      </c>
      <c r="O705" t="e">
        <f t="array" ref="O705">IF(--INDEX('Raw Data'!$A$4:E$993,$F705,8)= 0, 1, 0)</f>
        <v>#NUM!</v>
      </c>
      <c r="P705" t="e">
        <f t="array" ref="P705">IF(--INDEX('Raw Data'!$A$4:F$993,$F705,8)= 1, 1, 0)</f>
        <v>#NUM!</v>
      </c>
      <c r="Q705" t="e">
        <f t="array" ref="Q705">IF(--INDEX('Raw Data'!$A$4:G$993,$F705,13)= 1, 1, 0)</f>
        <v>#NUM!</v>
      </c>
      <c r="R705" t="e">
        <f t="array" ref="R705">IF(--INDEX('Raw Data'!$A$4:H$993,$F705,14)= 1, 1, 0)</f>
        <v>#NUM!</v>
      </c>
      <c r="S705" t="e">
        <f t="array" ref="S705">IF(--INDEX('Raw Data'!$A$4:I$993,$F705,15)= 1, 1, 0)</f>
        <v>#NUM!</v>
      </c>
      <c r="T705" t="e">
        <f t="array" ref="T705">IF(--INDEX('Raw Data'!$A$4:I$993,$F705,15)= 1, 1, 0)</f>
        <v>#NUM!</v>
      </c>
      <c r="U705" t="e">
        <f t="array" ref="U705">IF(--INDEX('Raw Data'!$A$4:J$993,$F705,16)= 1, 1, 0)</f>
        <v>#NUM!</v>
      </c>
      <c r="V705" t="e">
        <f t="array" ref="V705">IF(--INDEX('Raw Data'!$A$4:K$993,$F705,17)= 1, 1, 0)</f>
        <v>#NUM!</v>
      </c>
      <c r="W705" t="e">
        <f t="array" ref="W705">INDEX('Raw Data'!$A:$O,$F705,19)</f>
        <v>#NUM!</v>
      </c>
      <c r="X705" t="e">
        <f t="array" ref="X705">INDEX('Raw Data'!$A:$O,$F705,20)</f>
        <v>#NUM!</v>
      </c>
      <c r="Y705" t="e">
        <f t="array" ref="Y705">INDEX('Raw Data'!$A:$O,F705,21)</f>
        <v>#NUM!</v>
      </c>
      <c r="Z705" t="e">
        <f t="array" ref="Z705">INDEX('Raw Data'!$A:$O,$F705,3)</f>
        <v>#NUM!</v>
      </c>
      <c r="AA705" t="e">
        <f t="array" ref="AA705">INDEX('Raw Data'!$A:$O,$F705,22)</f>
        <v>#NUM!</v>
      </c>
      <c r="AB705" t="e">
        <f t="array" ref="AB705">INDEX('Raw Data'!$A:$O,$F705,23)</f>
        <v>#NUM!</v>
      </c>
    </row>
    <row r="706" spans="1:44" x14ac:dyDescent="0.25">
      <c r="A706" t="s">
        <v>1</v>
      </c>
      <c r="B706">
        <f>H719</f>
        <v>0</v>
      </c>
      <c r="F706" t="e">
        <f t="array" ref="F706">SMALL(IF('Raw Data'!A:A=C703,ROW('Raw Data'!A:A)),ROW('Raw Data'!$3:$3))</f>
        <v>#NUM!</v>
      </c>
      <c r="G706" t="e">
        <f t="array" ref="G706">INDEX('Raw Data'!A:A,F706,9)</f>
        <v>#NUM!</v>
      </c>
      <c r="H706" t="e">
        <f t="array" ref="H706">INDEX('Raw Data'!A:A,F706,10)</f>
        <v>#NUM!</v>
      </c>
      <c r="I706" t="e">
        <f t="array" ref="I706">INDEX('Raw Data'!$A:A,$F706,11)</f>
        <v>#NUM!</v>
      </c>
      <c r="J706" t="e">
        <f t="array" ref="J706">INDEX('Raw Data'!$A:A,F706,12)</f>
        <v>#NUM!</v>
      </c>
      <c r="K706" t="e">
        <f>(--INDEX('Raw Data'!$A$4:B$993,F706,4))</f>
        <v>#NUM!</v>
      </c>
      <c r="L706" t="e">
        <f t="array" ref="L706">(--INDEX('Raw Data'!$A$4:B$993,F706,5))</f>
        <v>#NUM!</v>
      </c>
      <c r="M706" t="e">
        <f t="array" ref="M706">(--INDEX('Raw Data'!$A$4:D$993,$F706,6))</f>
        <v>#NUM!</v>
      </c>
      <c r="N706" t="e">
        <f t="array" ref="N706">(--INDEX('Raw Data'!$A$4:D$993,$F706,7))</f>
        <v>#NUM!</v>
      </c>
      <c r="O706" t="e">
        <f t="array" ref="O706">IF(--INDEX('Raw Data'!$A$4:E$993,$F706,8)= 0, 1, 0)</f>
        <v>#NUM!</v>
      </c>
      <c r="P706" t="e">
        <f t="array" ref="P706">IF(--INDEX('Raw Data'!$A$4:F$993,$F706,8)= 1, 1, 0)</f>
        <v>#NUM!</v>
      </c>
      <c r="Q706" t="e">
        <f t="array" ref="Q706">IF(--INDEX('Raw Data'!$A$4:G$993,$F706,13)= 1, 1, 0)</f>
        <v>#NUM!</v>
      </c>
      <c r="R706" t="e">
        <f t="array" ref="R706">IF(--INDEX('Raw Data'!$A$4:H$993,$F706,14)= 1, 1, 0)</f>
        <v>#NUM!</v>
      </c>
      <c r="S706" t="e">
        <f t="array" ref="S706">IF(--INDEX('Raw Data'!$A$4:I$993,$F706,15)= 1, 1, 0)</f>
        <v>#NUM!</v>
      </c>
      <c r="T706" t="e">
        <f t="array" ref="T706">IF(--INDEX('Raw Data'!$A$4:I$993,$F706,15)= 1, 1, 0)</f>
        <v>#NUM!</v>
      </c>
      <c r="U706" t="e">
        <f t="array" ref="U706">IF(--INDEX('Raw Data'!$A$4:J$993,$F706,16)= 1, 1, 0)</f>
        <v>#NUM!</v>
      </c>
      <c r="V706" t="e">
        <f t="array" ref="V706">IF(--INDEX('Raw Data'!$A$4:K$993,$F706,17)= 1, 1, 0)</f>
        <v>#NUM!</v>
      </c>
      <c r="W706" t="e">
        <f t="array" ref="W706">INDEX('Raw Data'!$A:$O,$F706,19)</f>
        <v>#NUM!</v>
      </c>
      <c r="X706" t="e">
        <f t="array" ref="X706">INDEX('Raw Data'!$A:$O,$F706,20)</f>
        <v>#NUM!</v>
      </c>
      <c r="Y706" t="e">
        <f t="array" ref="Y706">INDEX('Raw Data'!$A:$O,F706,21)</f>
        <v>#NUM!</v>
      </c>
      <c r="Z706" t="e">
        <f t="array" ref="Z706">INDEX('Raw Data'!$A:$O,$F706,3)</f>
        <v>#NUM!</v>
      </c>
      <c r="AA706" t="e">
        <f t="array" ref="AA706">INDEX('Raw Data'!$A:$O,$F706,22)</f>
        <v>#NUM!</v>
      </c>
      <c r="AB706" t="e">
        <f t="array" ref="AB706">INDEX('Raw Data'!$A:$O,$F706,23)</f>
        <v>#NUM!</v>
      </c>
    </row>
    <row r="707" spans="1:44" x14ac:dyDescent="0.25">
      <c r="A707" t="s">
        <v>2</v>
      </c>
      <c r="C707" s="3" t="e">
        <f>B706/B705</f>
        <v>#DIV/0!</v>
      </c>
      <c r="F707" t="e">
        <f t="array" ref="F707">SMALL(IF('Raw Data'!A:A=C703,ROW('Raw Data'!A:A)),ROW('Raw Data'!$4:$4))</f>
        <v>#NUM!</v>
      </c>
      <c r="G707" t="e">
        <f t="array" ref="G707">INDEX('Raw Data'!A:A,F707,9)</f>
        <v>#NUM!</v>
      </c>
      <c r="H707" t="e">
        <f t="array" ref="H707">INDEX('Raw Data'!A:A,F707,10)</f>
        <v>#NUM!</v>
      </c>
      <c r="I707" t="e">
        <f t="array" ref="I707">INDEX('Raw Data'!$A:A,$F707,11)</f>
        <v>#NUM!</v>
      </c>
      <c r="J707" t="e">
        <f t="array" ref="J707">INDEX('Raw Data'!$A:A,F707,12)</f>
        <v>#NUM!</v>
      </c>
      <c r="K707" t="e">
        <f>(--INDEX('Raw Data'!$A$4:B$993,F707,4))</f>
        <v>#NUM!</v>
      </c>
      <c r="L707" t="e">
        <f t="array" ref="L707">(--INDEX('Raw Data'!$A$4:B$993,F707,5))</f>
        <v>#NUM!</v>
      </c>
      <c r="M707" t="e">
        <f t="array" ref="M707">(--INDEX('Raw Data'!$A$4:D$993,$F707,6))</f>
        <v>#NUM!</v>
      </c>
      <c r="N707" t="e">
        <f t="array" ref="N707">(--INDEX('Raw Data'!$A$4:D$993,$F707,7))</f>
        <v>#NUM!</v>
      </c>
      <c r="O707" t="e">
        <f t="array" ref="O707">IF(--INDEX('Raw Data'!$A$4:E$993,$F707,8)= 0, 1, 0)</f>
        <v>#NUM!</v>
      </c>
      <c r="P707" t="e">
        <f t="array" ref="P707">IF(--INDEX('Raw Data'!$A$4:F$993,$F707,8)= 1, 1, 0)</f>
        <v>#NUM!</v>
      </c>
      <c r="Q707" t="e">
        <f t="array" ref="Q707">IF(--INDEX('Raw Data'!$A$4:G$993,$F707,13)= 1, 1, 0)</f>
        <v>#NUM!</v>
      </c>
      <c r="R707" t="e">
        <f t="array" ref="R707">IF(--INDEX('Raw Data'!$A$4:H$993,$F707,14)= 1, 1, 0)</f>
        <v>#NUM!</v>
      </c>
      <c r="S707" t="e">
        <f t="array" ref="S707">IF(--INDEX('Raw Data'!$A$4:I$993,$F707,15)= 1, 1, 0)</f>
        <v>#NUM!</v>
      </c>
      <c r="T707" t="e">
        <f t="array" ref="T707">IF(--INDEX('Raw Data'!$A$4:I$993,$F707,15)= 1, 1, 0)</f>
        <v>#NUM!</v>
      </c>
      <c r="U707" t="e">
        <f t="array" ref="U707">IF(--INDEX('Raw Data'!$A$4:J$993,$F707,16)= 1, 1, 0)</f>
        <v>#NUM!</v>
      </c>
      <c r="V707" t="e">
        <f t="array" ref="V707">IF(--INDEX('Raw Data'!$A$4:K$993,$F707,17)= 1, 1, 0)</f>
        <v>#NUM!</v>
      </c>
      <c r="W707" t="e">
        <f t="array" ref="W707">INDEX('Raw Data'!$A:$O,$F707,19)</f>
        <v>#NUM!</v>
      </c>
      <c r="X707" t="e">
        <f t="array" ref="X707">INDEX('Raw Data'!$A:$O,$F707,20)</f>
        <v>#NUM!</v>
      </c>
      <c r="Y707" t="e">
        <f t="array" ref="Y707">INDEX('Raw Data'!$A:$O,F707,21)</f>
        <v>#NUM!</v>
      </c>
      <c r="Z707" t="e">
        <f t="array" ref="Z707">INDEX('Raw Data'!$A:$O,$F707,3)</f>
        <v>#NUM!</v>
      </c>
      <c r="AA707" t="e">
        <f t="array" ref="AA707">INDEX('Raw Data'!$A:$O,$F707,22)</f>
        <v>#NUM!</v>
      </c>
      <c r="AB707" t="e">
        <f t="array" ref="AB707">INDEX('Raw Data'!$A:$O,$F707,23)</f>
        <v>#NUM!</v>
      </c>
    </row>
    <row r="708" spans="1:44" x14ac:dyDescent="0.25">
      <c r="A708" t="s">
        <v>54</v>
      </c>
      <c r="B708">
        <f>I719</f>
        <v>0</v>
      </c>
      <c r="F708" t="e">
        <f t="array" ref="F708">SMALL(IF('Raw Data'!A:A=C703,ROW('Raw Data'!A:A)),ROW('Raw Data'!$5:$5))</f>
        <v>#NUM!</v>
      </c>
      <c r="G708" t="e">
        <f t="array" ref="G708">INDEX('Raw Data'!A:A,F708,9)</f>
        <v>#NUM!</v>
      </c>
      <c r="H708" t="e">
        <f t="array" ref="H708">INDEX('Raw Data'!A:A,F708,10)</f>
        <v>#NUM!</v>
      </c>
      <c r="I708" t="e">
        <f t="array" ref="I708">INDEX('Raw Data'!$A:A,$F708,11)</f>
        <v>#NUM!</v>
      </c>
      <c r="J708" t="e">
        <f t="array" ref="J708">INDEX('Raw Data'!$A:A,F708,12)</f>
        <v>#NUM!</v>
      </c>
      <c r="K708" t="e">
        <f>(--INDEX('Raw Data'!$A$4:B$993,F708,4))</f>
        <v>#NUM!</v>
      </c>
      <c r="L708" t="e">
        <f t="array" ref="L708">(--INDEX('Raw Data'!$A$4:B$993,F708,5))</f>
        <v>#NUM!</v>
      </c>
      <c r="M708" t="e">
        <f t="array" ref="M708">(--INDEX('Raw Data'!$A$4:D$993,$F708,6))</f>
        <v>#NUM!</v>
      </c>
      <c r="N708" t="e">
        <f t="array" ref="N708">(--INDEX('Raw Data'!$A$4:D$993,$F708,7))</f>
        <v>#NUM!</v>
      </c>
      <c r="O708" t="e">
        <f t="array" ref="O708">IF(--INDEX('Raw Data'!$A$4:E$993,$F708,8)= 0, 1, 0)</f>
        <v>#NUM!</v>
      </c>
      <c r="P708" t="e">
        <f t="array" ref="P708">IF(--INDEX('Raw Data'!$A$4:F$993,$F708,8)= 1, 1, 0)</f>
        <v>#NUM!</v>
      </c>
      <c r="Q708" t="e">
        <f t="array" ref="Q708">IF(--INDEX('Raw Data'!$A$4:G$993,$F708,13)= 1, 1, 0)</f>
        <v>#NUM!</v>
      </c>
      <c r="R708" t="e">
        <f t="array" ref="R708">IF(--INDEX('Raw Data'!$A$4:H$993,$F708,14)= 1, 1, 0)</f>
        <v>#NUM!</v>
      </c>
      <c r="S708" t="e">
        <f t="array" ref="S708">IF(--INDEX('Raw Data'!$A$4:I$993,$F708,15)= 1, 1, 0)</f>
        <v>#NUM!</v>
      </c>
      <c r="T708" t="e">
        <f t="array" ref="T708">IF(--INDEX('Raw Data'!$A$4:I$993,$F708,15)= 1, 1, 0)</f>
        <v>#NUM!</v>
      </c>
      <c r="U708" t="e">
        <f t="array" ref="U708">IF(--INDEX('Raw Data'!$A$4:J$993,$F708,16)= 1, 1, 0)</f>
        <v>#NUM!</v>
      </c>
      <c r="V708" t="e">
        <f t="array" ref="V708">IF(--INDEX('Raw Data'!$A$4:K$993,$F708,17)= 1, 1, 0)</f>
        <v>#NUM!</v>
      </c>
      <c r="W708" t="e">
        <f t="array" ref="W708">INDEX('Raw Data'!$A:$O,$F708,19)</f>
        <v>#NUM!</v>
      </c>
      <c r="X708" t="e">
        <f t="array" ref="X708">INDEX('Raw Data'!$A:$O,$F708,20)</f>
        <v>#NUM!</v>
      </c>
      <c r="Y708" t="e">
        <f t="array" ref="Y708">INDEX('Raw Data'!$A:$O,F708,21)</f>
        <v>#NUM!</v>
      </c>
      <c r="Z708" t="e">
        <f t="array" ref="Z708">INDEX('Raw Data'!$A:$O,$F708,3)</f>
        <v>#NUM!</v>
      </c>
      <c r="AA708" t="e">
        <f t="array" ref="AA708">INDEX('Raw Data'!$A:$O,$F708,22)</f>
        <v>#NUM!</v>
      </c>
      <c r="AB708" t="e">
        <f t="array" ref="AB708">INDEX('Raw Data'!$A:$O,$F708,23)</f>
        <v>#NUM!</v>
      </c>
      <c r="AR708" s="25"/>
    </row>
    <row r="709" spans="1:44" x14ac:dyDescent="0.25">
      <c r="A709" t="s">
        <v>35</v>
      </c>
      <c r="B709">
        <f>J719</f>
        <v>0</v>
      </c>
      <c r="F709" t="e">
        <f t="array" ref="F709">SMALL(IF('Raw Data'!A:A=C703,ROW('Raw Data'!A:A)),ROW('Raw Data'!$6:$6))</f>
        <v>#NUM!</v>
      </c>
      <c r="G709" t="e">
        <f t="array" ref="G709">INDEX('Raw Data'!A:A,F709,9)</f>
        <v>#NUM!</v>
      </c>
      <c r="H709" t="e">
        <f t="array" ref="H709">INDEX('Raw Data'!A:A,F709,10)</f>
        <v>#NUM!</v>
      </c>
      <c r="I709" t="e">
        <f t="array" ref="I709">INDEX('Raw Data'!$A:A,$F709,11)</f>
        <v>#NUM!</v>
      </c>
      <c r="J709" t="e">
        <f t="array" ref="J709">INDEX('Raw Data'!$A:A,F709,12)</f>
        <v>#NUM!</v>
      </c>
      <c r="K709" t="e">
        <f>(--INDEX('Raw Data'!$A$4:B$993,F709,4))</f>
        <v>#NUM!</v>
      </c>
      <c r="L709" t="e">
        <f t="array" ref="L709">(--INDEX('Raw Data'!$A$4:B$998,F709,5))</f>
        <v>#NUM!</v>
      </c>
      <c r="M709" t="e">
        <f t="array" ref="M709">(--INDEX('Raw Data'!$A$4:D$998,$F709,6))</f>
        <v>#NUM!</v>
      </c>
      <c r="N709" t="e">
        <f t="array" ref="N709">(--INDEX('Raw Data'!$A$4:D$993,$F709,7))</f>
        <v>#NUM!</v>
      </c>
      <c r="O709" t="e">
        <f t="array" ref="O709">IF(--INDEX('Raw Data'!$A$4:E$993,$F709,8)= 0, 1, 0)</f>
        <v>#NUM!</v>
      </c>
      <c r="P709" t="e">
        <f t="array" ref="P709">IF(--INDEX('Raw Data'!$A$4:F$998,$F709,8)= 1, 1, 0)</f>
        <v>#NUM!</v>
      </c>
      <c r="Q709" t="e">
        <f t="array" ref="Q709">IF(--INDEX('Raw Data'!$A$4:G$998,$F709,13)= 1, 1, 0)</f>
        <v>#NUM!</v>
      </c>
      <c r="R709" t="e">
        <f t="array" ref="R709">IF(--INDEX('Raw Data'!$A$4:H$998,$F709,14)= 1, 1, 0)</f>
        <v>#NUM!</v>
      </c>
      <c r="S709" t="e">
        <f t="array" ref="S709">IF(--INDEX('Raw Data'!$A$4:I$993,$F709,15)= 1, 1, 0)</f>
        <v>#NUM!</v>
      </c>
      <c r="T709" t="e">
        <f t="array" ref="T709">IF(--INDEX('Raw Data'!$A$4:I$998,$F709,15)= 1, 1, 0)</f>
        <v>#NUM!</v>
      </c>
      <c r="U709" t="e">
        <f t="array" ref="U709">IF(--INDEX('Raw Data'!$A$4:J$998,$F709,16)= 1, 1, 0)</f>
        <v>#NUM!</v>
      </c>
      <c r="V709" t="e">
        <f t="array" ref="V709">IF(--INDEX('Raw Data'!$A$4:K$993,$F709,17)= 1, 1, 0)</f>
        <v>#NUM!</v>
      </c>
      <c r="W709" t="e">
        <f t="array" ref="W709">INDEX('Raw Data'!$A:$O,$F709,19)</f>
        <v>#NUM!</v>
      </c>
      <c r="X709" t="e">
        <f t="array" ref="X709">INDEX('Raw Data'!$A:$O,$F709,20)</f>
        <v>#NUM!</v>
      </c>
      <c r="Y709" t="e">
        <f t="array" ref="Y709">INDEX('Raw Data'!$A:$O,F709,21)</f>
        <v>#NUM!</v>
      </c>
      <c r="Z709" t="e">
        <f t="array" ref="Z709">INDEX('Raw Data'!$A:$O,$F709,3)</f>
        <v>#NUM!</v>
      </c>
      <c r="AA709" t="e">
        <f t="array" ref="AA709">INDEX('Raw Data'!$A:$O,$F709,22)</f>
        <v>#NUM!</v>
      </c>
      <c r="AB709" t="e">
        <f t="array" ref="AB709">INDEX('Raw Data'!$A:$O,$F709,23)</f>
        <v>#NUM!</v>
      </c>
      <c r="AR709" s="25"/>
    </row>
    <row r="710" spans="1:44" ht="28.5" x14ac:dyDescent="0.45">
      <c r="F710" t="e">
        <f t="array" ref="F710">SMALL(IF('Raw Data'!A:A=C703,ROW('Raw Data'!A:A)),ROW('Raw Data'!$7:$7))</f>
        <v>#NUM!</v>
      </c>
      <c r="G710" t="e">
        <f t="array" ref="G710">INDEX('Raw Data'!A:A,F710,9)</f>
        <v>#NUM!</v>
      </c>
      <c r="H710" t="e">
        <f t="array" ref="H710">INDEX('Raw Data'!A:A,F710,10)</f>
        <v>#NUM!</v>
      </c>
      <c r="I710" t="e">
        <f t="array" ref="I710">INDEX('Raw Data'!$A:A,$F710,11)</f>
        <v>#NUM!</v>
      </c>
      <c r="J710" t="e">
        <f t="array" ref="J710">INDEX('Raw Data'!$A:A,F710,12)</f>
        <v>#NUM!</v>
      </c>
      <c r="K710" t="e">
        <f t="array" ref="K710">(--INDEX('Raw Data'!$A$4:B$998,F710,4))</f>
        <v>#NUM!</v>
      </c>
      <c r="L710" t="e">
        <f t="array" ref="L710">(--INDEX('Raw Data'!$A$4:B$998,F710,5))</f>
        <v>#NUM!</v>
      </c>
      <c r="M710" t="e">
        <f t="array" ref="M710">(--INDEX('Raw Data'!$A$4:D$998,$F710,6))</f>
        <v>#NUM!</v>
      </c>
      <c r="N710" t="e">
        <f t="array" ref="N710">(--INDEX('Raw Data'!$A$4:D$998,$F710,7))</f>
        <v>#NUM!</v>
      </c>
      <c r="O710" t="e">
        <f t="array" ref="O710">IF(--INDEX('Raw Data'!$A$4:E$998,$F710,8)= 0, 1, 0)</f>
        <v>#NUM!</v>
      </c>
      <c r="P710" t="e">
        <f t="array" ref="P710">IF(--INDEX('Raw Data'!$A$4:F$998,$F710,8)= 1, 1, 0)</f>
        <v>#NUM!</v>
      </c>
      <c r="Q710" t="e">
        <f t="array" ref="Q710">IF(--INDEX('Raw Data'!$A$4:G$998,$F710,13)= 1, 1, 0)</f>
        <v>#NUM!</v>
      </c>
      <c r="R710" t="e">
        <f t="array" ref="R710">IF(--INDEX('Raw Data'!$A$4:H$998,$F710,14)= 1, 1, 0)</f>
        <v>#NUM!</v>
      </c>
      <c r="S710" t="e">
        <f t="array" ref="S710">IF(--INDEX('Raw Data'!$A$4:I$998,$F710,15)= 1, 1, 0)</f>
        <v>#NUM!</v>
      </c>
      <c r="T710" t="e">
        <f t="array" ref="T710">IF(--INDEX('Raw Data'!$A$4:I$998,$F710,15)= 1, 1, 0)</f>
        <v>#NUM!</v>
      </c>
      <c r="U710" t="e">
        <f t="array" ref="U710">IF(--INDEX('Raw Data'!$A$4:J$998,$F710,16)= 1, 1, 0)</f>
        <v>#NUM!</v>
      </c>
      <c r="V710" t="e">
        <f t="array" ref="V710">IF(--INDEX('Raw Data'!$A$4:K$998,$F710,17)= 1, 1, 0)</f>
        <v>#NUM!</v>
      </c>
      <c r="W710" t="e">
        <f t="array" ref="W710">INDEX('Raw Data'!$A:$O,$F710,19)</f>
        <v>#NUM!</v>
      </c>
      <c r="X710" t="e">
        <f t="array" ref="X710">INDEX('Raw Data'!$A:$O,$F710,20)</f>
        <v>#NUM!</v>
      </c>
      <c r="Y710" t="e">
        <f t="array" ref="Y710">INDEX('Raw Data'!$A:$O,F710,21)</f>
        <v>#NUM!</v>
      </c>
      <c r="Z710" t="e">
        <f t="array" ref="Z710">INDEX('Raw Data'!$A:$O,$F710,3)</f>
        <v>#NUM!</v>
      </c>
      <c r="AA710" t="e">
        <f t="array" ref="AA710">INDEX('Raw Data'!$A:$O,$F710,22)</f>
        <v>#NUM!</v>
      </c>
      <c r="AB710" t="e">
        <f t="array" ref="AB710">INDEX('Raw Data'!$A:$O,$F710,23)</f>
        <v>#NUM!</v>
      </c>
      <c r="AM710" s="21"/>
    </row>
    <row r="711" spans="1:44" x14ac:dyDescent="0.25">
      <c r="F711" t="e">
        <f t="array" ref="F711">SMALL(IF('Raw Data'!A:A=C703,ROW('Raw Data'!A:A)),ROW('Raw Data'!$8:$8))</f>
        <v>#NUM!</v>
      </c>
      <c r="G711" t="e">
        <f t="array" ref="G711">INDEX('Raw Data'!A:A,F711,9)</f>
        <v>#NUM!</v>
      </c>
      <c r="H711" t="e">
        <f t="array" ref="H711">INDEX('Raw Data'!A:A,F711,10)</f>
        <v>#NUM!</v>
      </c>
      <c r="I711" t="e">
        <f t="array" ref="I711">INDEX('Raw Data'!$A:A,$F711,11)</f>
        <v>#NUM!</v>
      </c>
      <c r="J711" t="e">
        <f t="array" ref="J711">INDEX('Raw Data'!$A:A,F711,12)</f>
        <v>#NUM!</v>
      </c>
      <c r="K711" t="e">
        <f t="array" ref="K711">(--INDEX('Raw Data'!$A$4:B$998,F711,4))</f>
        <v>#NUM!</v>
      </c>
      <c r="L711" t="e">
        <f t="array" ref="L711">(--INDEX('Raw Data'!$A$4:B$998,F711,5))</f>
        <v>#NUM!</v>
      </c>
      <c r="M711" t="e">
        <f t="array" ref="M711">(--INDEX('Raw Data'!$A$4:D$998,$F711,6))</f>
        <v>#NUM!</v>
      </c>
      <c r="N711" t="e">
        <f t="array" ref="N711">(--INDEX('Raw Data'!$A$4:D$998,$F711,7))</f>
        <v>#NUM!</v>
      </c>
      <c r="O711" t="e">
        <f t="array" ref="O711">IF(--INDEX('Raw Data'!$A$4:E$998,$F711,8)= 0, 1, 0)</f>
        <v>#NUM!</v>
      </c>
      <c r="P711" t="e">
        <f t="array" ref="P711">IF(--INDEX('Raw Data'!$A$4:F$998,$F711,8)= 1, 1, 0)</f>
        <v>#NUM!</v>
      </c>
      <c r="Q711" t="e">
        <f t="array" ref="Q711">IF(--INDEX('Raw Data'!$A$4:G$998,$F711,13)= 1, 1, 0)</f>
        <v>#NUM!</v>
      </c>
      <c r="R711" t="e">
        <f t="array" ref="R711">IF(--INDEX('Raw Data'!$A$4:H$998,$F711,14)= 1, 1, 0)</f>
        <v>#NUM!</v>
      </c>
      <c r="S711" t="e">
        <f t="array" ref="S711">IF(--INDEX('Raw Data'!$A$4:I$998,$F711,15)= 1, 1, 0)</f>
        <v>#NUM!</v>
      </c>
      <c r="T711" t="e">
        <f t="array" ref="T711">IF(--INDEX('Raw Data'!$A$4:I$998,$F711,15)= 1, 1, 0)</f>
        <v>#NUM!</v>
      </c>
      <c r="U711" t="e">
        <f t="array" ref="U711">IF(--INDEX('Raw Data'!$A$4:J$998,$F711,16)= 1, 1, 0)</f>
        <v>#NUM!</v>
      </c>
      <c r="V711" t="e">
        <f t="array" ref="V711">IF(--INDEX('Raw Data'!$A$4:K$998,$F711,17)= 1, 1, 0)</f>
        <v>#NUM!</v>
      </c>
      <c r="W711" t="e">
        <f t="array" ref="W711">INDEX('Raw Data'!$A:$O,$F711,19)</f>
        <v>#NUM!</v>
      </c>
      <c r="X711" t="e">
        <f t="array" ref="X711">INDEX('Raw Data'!$A:$O,$F711,20)</f>
        <v>#NUM!</v>
      </c>
      <c r="Y711" t="e">
        <f t="array" ref="Y711">INDEX('Raw Data'!$A:$O,F711,21)</f>
        <v>#NUM!</v>
      </c>
      <c r="Z711" t="e">
        <f t="array" ref="Z711">INDEX('Raw Data'!$A:$O,$F711,3)</f>
        <v>#NUM!</v>
      </c>
      <c r="AA711" t="e">
        <f t="array" ref="AA711">INDEX('Raw Data'!$A:$O,$F711,22)</f>
        <v>#NUM!</v>
      </c>
      <c r="AB711" t="e">
        <f t="array" ref="AB711">INDEX('Raw Data'!$A:$O,$F711,23)</f>
        <v>#NUM!</v>
      </c>
    </row>
    <row r="712" spans="1:44" x14ac:dyDescent="0.25">
      <c r="F712" t="e">
        <f t="array" ref="F712">SMALL(IF('Raw Data'!A:A=C703,ROW('Raw Data'!A:A)),ROW('Raw Data'!$9:$9))</f>
        <v>#NUM!</v>
      </c>
      <c r="G712" t="e">
        <f t="array" ref="G712">INDEX('Raw Data'!A:A,F712,9)</f>
        <v>#NUM!</v>
      </c>
      <c r="H712" t="e">
        <f t="array" ref="H712">INDEX('Raw Data'!A:A,F712,10)</f>
        <v>#NUM!</v>
      </c>
      <c r="I712" t="e">
        <f t="array" ref="I712">INDEX('Raw Data'!$A:A,$F712,11)</f>
        <v>#NUM!</v>
      </c>
      <c r="J712" t="e">
        <f t="array" ref="J712">INDEX('Raw Data'!$A:A,F712,12)</f>
        <v>#NUM!</v>
      </c>
      <c r="K712" t="e">
        <f t="array" ref="K712">(--INDEX('Raw Data'!$A$4:B$998,F712,4))</f>
        <v>#NUM!</v>
      </c>
      <c r="L712" t="e">
        <f t="array" ref="L712">(--INDEX('Raw Data'!$A$4:B$998,F712,5))</f>
        <v>#NUM!</v>
      </c>
      <c r="M712" t="e">
        <f t="array" ref="M712">(--INDEX('Raw Data'!$A$4:D$998,$F712,6))</f>
        <v>#NUM!</v>
      </c>
      <c r="N712" t="e">
        <f t="array" ref="N712">(--INDEX('Raw Data'!$A$4:D$998,$F712,7))</f>
        <v>#NUM!</v>
      </c>
      <c r="O712" t="e">
        <f t="array" ref="O712">IF(--INDEX('Raw Data'!$A$4:E$998,$F712,8)= 0, 1, 0)</f>
        <v>#NUM!</v>
      </c>
      <c r="P712" t="e">
        <f t="array" ref="P712">IF(--INDEX('Raw Data'!$A$4:F$998,$F712,8)= 1, 1, 0)</f>
        <v>#NUM!</v>
      </c>
      <c r="Q712" t="e">
        <f t="array" ref="Q712">IF(--INDEX('Raw Data'!$A$4:G$998,$F712,13)= 1, 1, 0)</f>
        <v>#NUM!</v>
      </c>
      <c r="R712" t="e">
        <f t="array" ref="R712">IF(--INDEX('Raw Data'!$A$4:H$998,$F712,14)= 1, 1, 0)</f>
        <v>#NUM!</v>
      </c>
      <c r="S712" t="e">
        <f t="array" ref="S712">IF(--INDEX('Raw Data'!$A$4:I$998,$F712,15)= 1, 1, 0)</f>
        <v>#NUM!</v>
      </c>
      <c r="T712" t="e">
        <f t="array" ref="T712">IF(--INDEX('Raw Data'!$A$4:I$998,$F712,15)= 1, 1, 0)</f>
        <v>#NUM!</v>
      </c>
      <c r="U712" t="e">
        <f t="array" ref="U712">IF(--INDEX('Raw Data'!$A$4:J$998,$F712,16)= 1, 1, 0)</f>
        <v>#NUM!</v>
      </c>
      <c r="V712" t="e">
        <f t="array" ref="V712">IF(--INDEX('Raw Data'!$A$4:K$998,$F712,17)= 1, 1, 0)</f>
        <v>#NUM!</v>
      </c>
      <c r="W712" t="e">
        <f t="array" ref="W712">INDEX('Raw Data'!$A:$O,$F712,19)</f>
        <v>#NUM!</v>
      </c>
      <c r="X712" t="e">
        <f t="array" ref="X712">INDEX('Raw Data'!$A:$O,$F712,20)</f>
        <v>#NUM!</v>
      </c>
      <c r="Y712" t="e">
        <f t="array" ref="Y712">INDEX('Raw Data'!$A:$O,F712,21)</f>
        <v>#NUM!</v>
      </c>
      <c r="Z712" t="e">
        <f t="array" ref="Z712">INDEX('Raw Data'!$A:$O,$F712,3)</f>
        <v>#NUM!</v>
      </c>
      <c r="AA712" t="e">
        <f t="array" ref="AA712">INDEX('Raw Data'!$A:$O,$F712,22)</f>
        <v>#NUM!</v>
      </c>
      <c r="AB712" t="e">
        <f t="array" ref="AB712">INDEX('Raw Data'!$A:$O,$F712,23)</f>
        <v>#NUM!</v>
      </c>
    </row>
    <row r="713" spans="1:44" x14ac:dyDescent="0.25">
      <c r="F713" t="e">
        <f t="array" ref="F713">SMALL(IF('Raw Data'!A:A=C703,ROW('Raw Data'!A:A)),ROW('Raw Data'!$10:$10))</f>
        <v>#NUM!</v>
      </c>
      <c r="G713" t="e">
        <f t="array" ref="G713">INDEX('Raw Data'!A:A,F713,9)</f>
        <v>#NUM!</v>
      </c>
      <c r="H713" t="e">
        <f t="array" ref="H713">INDEX('Raw Data'!A:A,F713,10)</f>
        <v>#NUM!</v>
      </c>
      <c r="I713" t="e">
        <f t="array" ref="I713">INDEX('Raw Data'!$A:A,$F713,11)</f>
        <v>#NUM!</v>
      </c>
      <c r="J713" t="e">
        <f t="array" ref="J713">INDEX('Raw Data'!$A:A,F713,12)</f>
        <v>#NUM!</v>
      </c>
      <c r="K713" t="e">
        <f t="array" ref="K713">(--INDEX('Raw Data'!$A$4:B$998,F713,4))</f>
        <v>#NUM!</v>
      </c>
      <c r="L713" t="e">
        <f t="array" ref="L713">(--INDEX('Raw Data'!$A$4:B$998,F713,5))</f>
        <v>#NUM!</v>
      </c>
      <c r="M713" t="e">
        <f t="array" ref="M713">(--INDEX('Raw Data'!$A$4:D$998,$F713,6))</f>
        <v>#NUM!</v>
      </c>
      <c r="N713" t="e">
        <f t="array" ref="N713">(--INDEX('Raw Data'!$A$4:D$998,$F713,7))</f>
        <v>#NUM!</v>
      </c>
      <c r="O713" t="e">
        <f t="array" ref="O713">IF(--INDEX('Raw Data'!$A$4:E$998,$F713,8)= 0, 1, 0)</f>
        <v>#NUM!</v>
      </c>
      <c r="P713" t="e">
        <f t="array" ref="P713">IF(--INDEX('Raw Data'!$A$4:F$998,$F713,8)= 1, 1, 0)</f>
        <v>#NUM!</v>
      </c>
      <c r="Q713" t="e">
        <f t="array" ref="Q713">IF(--INDEX('Raw Data'!$A$4:G$998,$F713,13)= 1, 1, 0)</f>
        <v>#NUM!</v>
      </c>
      <c r="R713" t="e">
        <f t="array" ref="R713">IF(--INDEX('Raw Data'!$A$4:H$998,$F713,14)= 1, 1, 0)</f>
        <v>#NUM!</v>
      </c>
      <c r="S713" t="e">
        <f t="array" ref="S713">IF(--INDEX('Raw Data'!$A$4:I$998,$F713,15)= 1, 1, 0)</f>
        <v>#NUM!</v>
      </c>
      <c r="T713" t="e">
        <f t="array" ref="T713">IF(--INDEX('Raw Data'!$A$4:I$998,$F713,15)= 1, 1, 0)</f>
        <v>#NUM!</v>
      </c>
      <c r="U713" t="e">
        <f t="array" ref="U713">IF(--INDEX('Raw Data'!$A$4:J$998,$F713,16)= 1, 1, 0)</f>
        <v>#NUM!</v>
      </c>
      <c r="V713" t="e">
        <f t="array" ref="V713">IF(--INDEX('Raw Data'!$A$4:K$998,$F713,17)= 1, 1, 0)</f>
        <v>#NUM!</v>
      </c>
      <c r="W713" t="e">
        <f t="array" ref="W713">INDEX('Raw Data'!$A:$O,$F713,19)</f>
        <v>#NUM!</v>
      </c>
      <c r="X713" t="e">
        <f t="array" ref="X713">INDEX('Raw Data'!$A:$O,$F713,20)</f>
        <v>#NUM!</v>
      </c>
      <c r="Y713" t="e">
        <f t="array" ref="Y713">INDEX('Raw Data'!$A:$O,F713,21)</f>
        <v>#NUM!</v>
      </c>
      <c r="Z713" t="e">
        <f t="array" ref="Z713">INDEX('Raw Data'!$A:$O,$F713,3)</f>
        <v>#NUM!</v>
      </c>
      <c r="AA713" t="e">
        <f t="array" ref="AA713">INDEX('Raw Data'!$A:$O,$F713,22)</f>
        <v>#NUM!</v>
      </c>
      <c r="AB713" t="e">
        <f t="array" ref="AB713">INDEX('Raw Data'!$A:$O,$F713,23)</f>
        <v>#NUM!</v>
      </c>
    </row>
    <row r="714" spans="1:44" x14ac:dyDescent="0.25">
      <c r="F714" t="e">
        <f t="array" ref="F714">SMALL(IF('Raw Data'!A:A=C703,ROW('Raw Data'!A:A)),ROW('Raw Data'!$11:$11))</f>
        <v>#NUM!</v>
      </c>
      <c r="G714" t="e">
        <f t="array" ref="G714">INDEX('Raw Data'!A:A,F714,9)</f>
        <v>#NUM!</v>
      </c>
      <c r="H714" t="e">
        <f t="array" ref="H714">INDEX('Raw Data'!A:A,F714,10)</f>
        <v>#NUM!</v>
      </c>
      <c r="I714" t="e">
        <f t="array" ref="I714">INDEX('Raw Data'!$A:A,$F714,11)</f>
        <v>#NUM!</v>
      </c>
      <c r="J714" t="e">
        <f t="array" ref="J714">INDEX('Raw Data'!$A:A,F714,12)</f>
        <v>#NUM!</v>
      </c>
      <c r="K714" t="e">
        <f t="array" ref="K714">(--INDEX('Raw Data'!$A$4:B$998,F714,4))</f>
        <v>#NUM!</v>
      </c>
      <c r="L714" t="e">
        <f t="array" ref="L714">(--INDEX('Raw Data'!$A$4:B$998,F714,5))</f>
        <v>#NUM!</v>
      </c>
      <c r="M714" t="e">
        <f t="array" ref="M714">(--INDEX('Raw Data'!$A$4:D$998,$F714,6))</f>
        <v>#NUM!</v>
      </c>
      <c r="N714" t="e">
        <f t="array" ref="N714">(--INDEX('Raw Data'!$A$4:D$998,$F714,7))</f>
        <v>#NUM!</v>
      </c>
      <c r="O714" t="e">
        <f t="array" ref="O714">IF(--INDEX('Raw Data'!$A$4:E$998,$F714,8)= 0, 1, 0)</f>
        <v>#NUM!</v>
      </c>
      <c r="P714" t="e">
        <f t="array" ref="P714">IF(--INDEX('Raw Data'!$A$4:F$998,$F714,8)= 1, 1, 0)</f>
        <v>#NUM!</v>
      </c>
      <c r="Q714" t="e">
        <f t="array" ref="Q714">IF(--INDEX('Raw Data'!$A$4:G$998,$F714,13)= 1, 1, 0)</f>
        <v>#NUM!</v>
      </c>
      <c r="R714" t="e">
        <f t="array" ref="R714">IF(--INDEX('Raw Data'!$A$4:H$998,$F714,14)= 1, 1, 0)</f>
        <v>#NUM!</v>
      </c>
      <c r="S714" t="e">
        <f t="array" ref="S714">IF(--INDEX('Raw Data'!$A$4:I$998,$F714,15)= 1, 1, 0)</f>
        <v>#NUM!</v>
      </c>
      <c r="T714" t="e">
        <f t="array" ref="T714">IF(--INDEX('Raw Data'!$A$4:I$998,$F714,15)= 1, 1, 0)</f>
        <v>#NUM!</v>
      </c>
      <c r="U714" t="e">
        <f t="array" ref="U714">IF(--INDEX('Raw Data'!$A$4:J$998,$F714,16)= 1, 1, 0)</f>
        <v>#NUM!</v>
      </c>
      <c r="V714" t="e">
        <f t="array" ref="V714">IF(--INDEX('Raw Data'!$A$4:K$998,$F714,17)= 1, 1, 0)</f>
        <v>#NUM!</v>
      </c>
      <c r="W714" t="e">
        <f t="array" ref="W714">INDEX('Raw Data'!$A:$O,$F714,19)</f>
        <v>#NUM!</v>
      </c>
      <c r="X714" t="e">
        <f t="array" ref="X714">INDEX('Raw Data'!$A:$O,$F714,20)</f>
        <v>#NUM!</v>
      </c>
      <c r="Y714" t="e">
        <f t="array" ref="Y714">INDEX('Raw Data'!$A:$O,F714,21)</f>
        <v>#NUM!</v>
      </c>
      <c r="Z714" t="e">
        <f t="array" ref="Z714">INDEX('Raw Data'!$A:$O,$F714,3)</f>
        <v>#NUM!</v>
      </c>
      <c r="AA714" t="e">
        <f t="array" ref="AA714">INDEX('Raw Data'!$A:$O,$F714,22)</f>
        <v>#NUM!</v>
      </c>
      <c r="AB714" t="e">
        <f t="array" ref="AB714">INDEX('Raw Data'!$A:$O,$F714,23)</f>
        <v>#NUM!</v>
      </c>
    </row>
    <row r="715" spans="1:44" x14ac:dyDescent="0.25">
      <c r="F715" t="e">
        <f t="array" ref="F715">SMALL(IF('Raw Data'!A:A=C703,ROW('Raw Data'!A:A)),ROW('Raw Data'!$12:$12))</f>
        <v>#NUM!</v>
      </c>
      <c r="G715" t="e">
        <f t="array" ref="G715">INDEX('Raw Data'!A:A,F715,9)</f>
        <v>#NUM!</v>
      </c>
      <c r="H715" t="e">
        <f t="array" ref="H715">INDEX('Raw Data'!A:A,F715,10)</f>
        <v>#NUM!</v>
      </c>
      <c r="I715" t="e">
        <f t="array" ref="I715">INDEX('Raw Data'!$A:A,$F715,11)</f>
        <v>#NUM!</v>
      </c>
      <c r="J715" t="e">
        <f t="array" ref="J715">INDEX('Raw Data'!$A:A,F715,12)</f>
        <v>#NUM!</v>
      </c>
      <c r="K715" t="e">
        <f t="array" ref="K715">(--INDEX('Raw Data'!$A$4:B$998,F715,4))</f>
        <v>#NUM!</v>
      </c>
      <c r="L715" t="e">
        <f t="array" ref="L715">(--INDEX('Raw Data'!$A$4:B$998,F715,5))</f>
        <v>#NUM!</v>
      </c>
      <c r="M715" t="e">
        <f t="array" ref="M715">(--INDEX('Raw Data'!$A$4:D$998,$F715,6))</f>
        <v>#NUM!</v>
      </c>
      <c r="N715" t="e">
        <f t="array" ref="N715">(--INDEX('Raw Data'!$A$4:D$998,$F715,7))</f>
        <v>#NUM!</v>
      </c>
      <c r="O715" t="e">
        <f t="array" ref="O715">IF(--INDEX('Raw Data'!$A$4:E$998,$F715,8)= 0, 1, 0)</f>
        <v>#NUM!</v>
      </c>
      <c r="P715" t="e">
        <f t="array" ref="P715">IF(--INDEX('Raw Data'!$A$4:F$998,$F715,8)= 1, 1, 0)</f>
        <v>#NUM!</v>
      </c>
      <c r="Q715" t="e">
        <f t="array" ref="Q715">IF(--INDEX('Raw Data'!$A$4:G$998,$F715,13)= 1, 1, 0)</f>
        <v>#NUM!</v>
      </c>
      <c r="R715" t="e">
        <f t="array" ref="R715">IF(--INDEX('Raw Data'!$A$4:H$998,$F715,14)= 1, 1, 0)</f>
        <v>#NUM!</v>
      </c>
      <c r="S715" t="e">
        <f t="array" ref="S715">IF(--INDEX('Raw Data'!$A$4:I$998,$F715,15)= 1, 1, 0)</f>
        <v>#NUM!</v>
      </c>
      <c r="T715" t="e">
        <f t="array" ref="T715">IF(--INDEX('Raw Data'!$A$4:I$998,$F715,15)= 1, 1, 0)</f>
        <v>#NUM!</v>
      </c>
      <c r="U715" t="e">
        <f t="array" ref="U715">IF(--INDEX('Raw Data'!$A$4:J$998,$F715,16)= 1, 1, 0)</f>
        <v>#NUM!</v>
      </c>
      <c r="V715" t="e">
        <f t="array" ref="V715">IF(--INDEX('Raw Data'!$A$4:K$998,$F715,17)= 1, 1, 0)</f>
        <v>#NUM!</v>
      </c>
      <c r="W715" t="e">
        <f t="array" ref="W715">INDEX('Raw Data'!$A:$O,$F715,19)</f>
        <v>#NUM!</v>
      </c>
      <c r="X715" t="e">
        <f t="array" ref="X715">INDEX('Raw Data'!$A:$O,$F715,20)</f>
        <v>#NUM!</v>
      </c>
      <c r="Y715" t="e">
        <f t="array" ref="Y715">INDEX('Raw Data'!$A:$O,F715,21)</f>
        <v>#NUM!</v>
      </c>
      <c r="Z715" t="e">
        <f t="array" ref="Z715">INDEX('Raw Data'!$A:$O,$F715,3)</f>
        <v>#NUM!</v>
      </c>
      <c r="AA715" t="e">
        <f t="array" ref="AA715">INDEX('Raw Data'!$A:$O,$F715,22)</f>
        <v>#NUM!</v>
      </c>
      <c r="AB715" t="e">
        <f t="array" ref="AB715">INDEX('Raw Data'!$A:$O,$F715,23)</f>
        <v>#NUM!</v>
      </c>
    </row>
    <row r="716" spans="1:44" x14ac:dyDescent="0.25">
      <c r="F716" t="e">
        <f t="array" ref="F716">SMALL(IF('Raw Data'!A:A=C703,ROW('Raw Data'!A:A)),ROW('Raw Data'!$13:$13))</f>
        <v>#NUM!</v>
      </c>
      <c r="G716" t="e">
        <f t="array" ref="G716">INDEX('Raw Data'!A:A,F716,9)</f>
        <v>#NUM!</v>
      </c>
      <c r="H716" t="e">
        <f t="array" ref="H716">INDEX('Raw Data'!A:A,F716,10)</f>
        <v>#NUM!</v>
      </c>
      <c r="I716" t="e">
        <f t="array" ref="I716">INDEX('Raw Data'!$A:A,$F716,11)</f>
        <v>#NUM!</v>
      </c>
      <c r="J716" t="e">
        <f t="array" ref="J716">INDEX('Raw Data'!$A:A,F716,12)</f>
        <v>#NUM!</v>
      </c>
      <c r="K716" t="e">
        <f t="array" ref="K716">(--INDEX('Raw Data'!$A$4:B$998,F716,4))</f>
        <v>#NUM!</v>
      </c>
      <c r="L716" t="e">
        <f t="array" ref="L716">(--INDEX('Raw Data'!$A$4:B$998,F716,5))</f>
        <v>#NUM!</v>
      </c>
      <c r="M716" t="e">
        <f t="array" ref="M716">(--INDEX('Raw Data'!$A$4:D$998,$F716,6))</f>
        <v>#NUM!</v>
      </c>
      <c r="N716" t="e">
        <f t="array" ref="N716">(--INDEX('Raw Data'!$A$4:D$998,$F716,7))</f>
        <v>#NUM!</v>
      </c>
      <c r="O716" t="e">
        <f t="array" ref="O716">IF(--INDEX('Raw Data'!$A$4:E$998,$F716,8)= 0, 1, 0)</f>
        <v>#NUM!</v>
      </c>
      <c r="P716" t="e">
        <f t="array" ref="P716">IF(--INDEX('Raw Data'!$A$4:F$998,$F716,8)= 1, 1, 0)</f>
        <v>#NUM!</v>
      </c>
      <c r="Q716" t="e">
        <f t="array" ref="Q716">IF(--INDEX('Raw Data'!$A$4:G$998,$F716,13)= 1, 1, 0)</f>
        <v>#NUM!</v>
      </c>
      <c r="R716" t="e">
        <f t="array" ref="R716">IF(--INDEX('Raw Data'!$A$4:H$998,$F716,14)= 1, 1, 0)</f>
        <v>#NUM!</v>
      </c>
      <c r="S716" t="e">
        <f t="array" ref="S716">IF(--INDEX('Raw Data'!$A$4:I$998,$F716,15)= 1, 1, 0)</f>
        <v>#NUM!</v>
      </c>
      <c r="T716" t="e">
        <f t="array" ref="T716">IF(--INDEX('Raw Data'!$A$4:I$998,$F716,15)= 1, 1, 0)</f>
        <v>#NUM!</v>
      </c>
      <c r="U716" t="e">
        <f t="array" ref="U716">IF(--INDEX('Raw Data'!$A$4:J$998,$F716,16)= 1, 1, 0)</f>
        <v>#NUM!</v>
      </c>
      <c r="V716" t="e">
        <f t="array" ref="V716">IF(--INDEX('Raw Data'!$A$4:K$998,$F716,17)= 1, 1, 0)</f>
        <v>#NUM!</v>
      </c>
      <c r="W716" t="e">
        <f t="array" ref="W716">INDEX('Raw Data'!$A:$O,$F716,19)</f>
        <v>#NUM!</v>
      </c>
      <c r="X716" t="e">
        <f t="array" ref="X716">INDEX('Raw Data'!$A:$O,$F716,20)</f>
        <v>#NUM!</v>
      </c>
      <c r="Y716" t="e">
        <f t="array" ref="Y716">INDEX('Raw Data'!$A:$O,F716,21)</f>
        <v>#NUM!</v>
      </c>
      <c r="Z716" t="e">
        <f t="array" ref="Z716">INDEX('Raw Data'!$A:$O,$F716,3)</f>
        <v>#NUM!</v>
      </c>
      <c r="AA716" t="e">
        <f t="array" ref="AA716">INDEX('Raw Data'!$A:$O,$F716,22)</f>
        <v>#NUM!</v>
      </c>
      <c r="AB716" t="e">
        <f t="array" ref="AB716">INDEX('Raw Data'!$A:$O,$F716,23)</f>
        <v>#NUM!</v>
      </c>
    </row>
    <row r="717" spans="1:44" x14ac:dyDescent="0.25">
      <c r="F717" t="e">
        <f t="array" ref="F717">SMALL(IF('Raw Data'!A:A=C703,ROW('Raw Data'!A:A)),ROW('Raw Data'!$14:$14))</f>
        <v>#NUM!</v>
      </c>
      <c r="G717" t="e">
        <f t="array" ref="G717">INDEX('Raw Data'!A:A,F717,9)</f>
        <v>#NUM!</v>
      </c>
      <c r="H717" t="e">
        <f t="array" ref="H717">INDEX('Raw Data'!A:A,F717,10)</f>
        <v>#NUM!</v>
      </c>
      <c r="I717" t="e">
        <f t="array" ref="I717">INDEX('Raw Data'!$A:A,$F717,11)</f>
        <v>#NUM!</v>
      </c>
      <c r="J717" t="e">
        <f t="array" ref="J717">INDEX('Raw Data'!$A:A,F717,12)</f>
        <v>#NUM!</v>
      </c>
      <c r="K717" t="e">
        <f t="array" ref="K717">(--INDEX('Raw Data'!$A$4:B$998,F717,4))</f>
        <v>#NUM!</v>
      </c>
      <c r="L717" t="e">
        <f t="array" ref="L717">(--INDEX('Raw Data'!$A$4:B$998,F717,5))</f>
        <v>#NUM!</v>
      </c>
      <c r="M717" t="e">
        <f t="array" ref="M717">(--INDEX('Raw Data'!$A$4:D$998,$F717,6))</f>
        <v>#NUM!</v>
      </c>
      <c r="N717" t="e">
        <f t="array" ref="N717">(--INDEX('Raw Data'!$A$4:D$998,$F717,7))</f>
        <v>#NUM!</v>
      </c>
      <c r="O717" t="e">
        <f t="array" ref="O717">IF(--INDEX('Raw Data'!$A$4:E$998,$F717,8)= 0, 1, 0)</f>
        <v>#NUM!</v>
      </c>
      <c r="P717" t="e">
        <f t="array" ref="P717">IF(--INDEX('Raw Data'!$A$4:F$998,$F717,8)= 1, 1, 0)</f>
        <v>#NUM!</v>
      </c>
      <c r="Q717" t="e">
        <f t="array" ref="Q717">IF(--INDEX('Raw Data'!$A$4:G$998,$F717,13)= 1, 1, 0)</f>
        <v>#NUM!</v>
      </c>
      <c r="R717" t="e">
        <f t="array" ref="R717">IF(--INDEX('Raw Data'!$A$4:H$998,$F717,14)= 1, 1, 0)</f>
        <v>#NUM!</v>
      </c>
      <c r="S717" t="e">
        <f t="array" ref="S717">IF(--INDEX('Raw Data'!$A$4:I$998,$F717,15)= 1, 1, 0)</f>
        <v>#NUM!</v>
      </c>
      <c r="T717" t="e">
        <f t="array" ref="T717">IF(--INDEX('Raw Data'!$A$4:I$998,$F717,15)= 1, 1, 0)</f>
        <v>#NUM!</v>
      </c>
      <c r="U717" t="e">
        <f t="array" ref="U717">IF(--INDEX('Raw Data'!$A$4:J$998,$F717,16)= 1, 1, 0)</f>
        <v>#NUM!</v>
      </c>
      <c r="V717" t="e">
        <f t="array" ref="V717">IF(--INDEX('Raw Data'!$A$4:K$998,$F717,17)= 1, 1, 0)</f>
        <v>#NUM!</v>
      </c>
      <c r="W717" t="e">
        <f t="array" ref="W717">INDEX('Raw Data'!$A:$O,$F717,19)</f>
        <v>#NUM!</v>
      </c>
      <c r="X717" t="e">
        <f t="array" ref="X717">INDEX('Raw Data'!$A:$O,$F717,20)</f>
        <v>#NUM!</v>
      </c>
      <c r="Y717" t="e">
        <f t="array" ref="Y717">INDEX('Raw Data'!$A:$O,F717,21)</f>
        <v>#NUM!</v>
      </c>
      <c r="Z717" t="e">
        <f t="array" ref="Z717">INDEX('Raw Data'!$A:$O,$F717,3)</f>
        <v>#NUM!</v>
      </c>
      <c r="AA717" t="e">
        <f t="array" ref="AA717">INDEX('Raw Data'!$A:$O,$F717,22)</f>
        <v>#NUM!</v>
      </c>
      <c r="AB717" t="e">
        <f t="array" ref="AB717">INDEX('Raw Data'!$A:$O,$F717,23)</f>
        <v>#NUM!</v>
      </c>
    </row>
    <row r="718" spans="1:44" x14ac:dyDescent="0.25">
      <c r="F718" t="e">
        <f t="array" ref="F718">SMALL(IF('Raw Data'!A:A=C703,ROW('Raw Data'!A:A)),ROW('Raw Data'!$15:$15))</f>
        <v>#NUM!</v>
      </c>
      <c r="G718" t="e">
        <f t="array" ref="G718">INDEX('Raw Data'!A:A,F718,9)</f>
        <v>#NUM!</v>
      </c>
      <c r="H718" t="e">
        <f t="array" ref="H718">INDEX('Raw Data'!A:A,F718,10)</f>
        <v>#NUM!</v>
      </c>
      <c r="I718" t="e">
        <f t="array" ref="I718">INDEX('Raw Data'!$A:A,$F718,11)</f>
        <v>#NUM!</v>
      </c>
      <c r="J718" t="e">
        <f t="array" ref="J718">INDEX('Raw Data'!$A:A,F718,12)</f>
        <v>#NUM!</v>
      </c>
      <c r="K718" t="e">
        <f t="array" ref="K718">(--INDEX('Raw Data'!$A$4:B$998,F718,4))</f>
        <v>#NUM!</v>
      </c>
      <c r="L718" t="e">
        <f t="array" ref="L718">(--INDEX('Raw Data'!$A$4:B$998,F718,5))</f>
        <v>#NUM!</v>
      </c>
      <c r="M718" t="e">
        <f t="array" ref="M718">(--INDEX('Raw Data'!$A$4:D$998,$F718,6))</f>
        <v>#NUM!</v>
      </c>
      <c r="N718" t="e">
        <f t="array" ref="N718">(--INDEX('Raw Data'!$A$4:D$998,$F718,7))</f>
        <v>#NUM!</v>
      </c>
      <c r="O718" t="e">
        <f t="array" ref="O718">IF(--INDEX('Raw Data'!$A$4:E$998,$F718,8)= 0, 1, 0)</f>
        <v>#NUM!</v>
      </c>
      <c r="P718" t="e">
        <f t="array" ref="P718">IF(--INDEX('Raw Data'!$A$4:F$998,$F718,8)= 1, 1, 0)</f>
        <v>#NUM!</v>
      </c>
      <c r="Q718" t="e">
        <f t="array" ref="Q718">IF(--INDEX('Raw Data'!$A$4:G$998,$F718,13)= 1, 1, 0)</f>
        <v>#NUM!</v>
      </c>
      <c r="R718" t="e">
        <f t="array" ref="R718">IF(--INDEX('Raw Data'!$A$4:H$998,$F718,14)= 1, 1, 0)</f>
        <v>#NUM!</v>
      </c>
      <c r="S718" t="e">
        <f t="array" ref="S718">IF(--INDEX('Raw Data'!$A$4:I$998,$F718,15)= 1, 1, 0)</f>
        <v>#NUM!</v>
      </c>
      <c r="T718" t="e">
        <f t="array" ref="T718">IF(--INDEX('Raw Data'!$A$4:I$998,$F718,15)= 1, 1, 0)</f>
        <v>#NUM!</v>
      </c>
      <c r="U718" t="e">
        <f t="array" ref="U718">IF(--INDEX('Raw Data'!$A$4:J$998,$F718,16)= 1, 1, 0)</f>
        <v>#NUM!</v>
      </c>
      <c r="V718" t="e">
        <f t="array" ref="V718">IF(--INDEX('Raw Data'!$A$4:K$998,$F718,17)= 1, 1, 0)</f>
        <v>#NUM!</v>
      </c>
      <c r="W718" t="e">
        <f t="array" ref="W718">INDEX('Raw Data'!$A:$O,$F718,19)</f>
        <v>#NUM!</v>
      </c>
      <c r="X718" t="e">
        <f t="array" ref="X718">INDEX('Raw Data'!$A:$O,$F718,20)</f>
        <v>#NUM!</v>
      </c>
      <c r="Y718" t="e">
        <f t="array" ref="Y718">INDEX('Raw Data'!$A:$O,F718,21)</f>
        <v>#NUM!</v>
      </c>
      <c r="Z718" t="e">
        <f t="array" ref="Z718">INDEX('Raw Data'!$A:$O,$F718,3)</f>
        <v>#NUM!</v>
      </c>
      <c r="AA718" t="e">
        <f t="array" ref="AA718">INDEX('Raw Data'!$A:$O,$F718,22)</f>
        <v>#NUM!</v>
      </c>
      <c r="AB718" t="e">
        <f t="array" ref="AB718">INDEX('Raw Data'!$A:$O,$F718,23)</f>
        <v>#NUM!</v>
      </c>
    </row>
    <row r="719" spans="1:44" x14ac:dyDescent="0.25">
      <c r="A719" t="s">
        <v>55</v>
      </c>
      <c r="C719" s="2" t="e">
        <f>B709/B708</f>
        <v>#DIV/0!</v>
      </c>
      <c r="F719">
        <f t="array" ref="F719">COUNTIF(F704:F718,"&gt;0")</f>
        <v>0</v>
      </c>
      <c r="G719">
        <f t="array" ref="G719">SUMIF(G704:G718,"&gt;0")</f>
        <v>0</v>
      </c>
      <c r="H719">
        <f t="array" ref="H719">SUMIF(H704:H718,"&gt;0")</f>
        <v>0</v>
      </c>
      <c r="I719">
        <f t="array" ref="I719">SUMIF(I704:I718,"&gt;0")</f>
        <v>0</v>
      </c>
      <c r="J719">
        <f t="array" ref="J719">SUMIF(J704:J718,"&gt;0")</f>
        <v>0</v>
      </c>
      <c r="K719">
        <f t="array" ref="K719">SUMIF(K704:K718,"&gt;0")</f>
        <v>0</v>
      </c>
      <c r="L719">
        <f t="array" ref="L719">SUMIF(L704:L718,"&gt;0")</f>
        <v>0</v>
      </c>
      <c r="M719">
        <f t="array" ref="M719">SUMIF(M704:M718,"&gt;0")</f>
        <v>0</v>
      </c>
      <c r="N719">
        <f t="array" ref="N719">SUMIF(N704:N718,"&gt;0")</f>
        <v>0</v>
      </c>
      <c r="O719">
        <f t="array" ref="O719">SUMIF(O704:O718,"&gt;0")</f>
        <v>0</v>
      </c>
      <c r="P719">
        <f t="array" ref="P719">SUMIF(P704:P718,"&gt;0")</f>
        <v>0</v>
      </c>
      <c r="Q719">
        <f t="array" ref="Q719">SUMIF(Q704:Q718,"&gt;0")</f>
        <v>0</v>
      </c>
      <c r="R719">
        <f t="array" ref="R719">SUMIF(R704:R718,"&gt;0")</f>
        <v>0</v>
      </c>
      <c r="S719">
        <f t="array" ref="S719">SUMIF(S704:S718,"&gt;0")</f>
        <v>0</v>
      </c>
      <c r="T719">
        <f t="array" ref="T719">SUMIF(T704:T718,"&gt;0")</f>
        <v>0</v>
      </c>
      <c r="U719">
        <f t="array" ref="U719">SUMIF(U704:U718,"&gt;0")</f>
        <v>0</v>
      </c>
      <c r="V719">
        <f t="array" ref="V719">SUMIF(V704:V718,"&gt;0")</f>
        <v>0</v>
      </c>
      <c r="W719">
        <f t="array" ref="W719">SUMIF(W704:W718,"&gt;0")</f>
        <v>0</v>
      </c>
      <c r="X719">
        <f t="array" ref="X719">SUMIF(X704:X718,"&gt;0")</f>
        <v>0</v>
      </c>
      <c r="Y719">
        <f t="array" ref="Y719">SUMIF(Y704:Y718,"&gt;0")</f>
        <v>0</v>
      </c>
      <c r="Z719">
        <f t="array" ref="Z719">SUMIF(Z704:Z718,"&gt;0")</f>
        <v>0</v>
      </c>
      <c r="AA719">
        <f t="array" ref="AA719">SUMIF(AA704:AA718,"&gt;0")</f>
        <v>0</v>
      </c>
      <c r="AB719">
        <f t="array" ref="AB719">SUMIF(AB704:AB718,"&gt;0")</f>
        <v>0</v>
      </c>
    </row>
    <row r="720" spans="1:44" x14ac:dyDescent="0.25">
      <c r="A720" t="s">
        <v>58</v>
      </c>
      <c r="C720" s="2">
        <f t="array" ref="C720">IF((K719+L719)&lt;&gt;0, (L719/(K719+L719)),0)</f>
        <v>0</v>
      </c>
      <c r="J720" s="6">
        <f t="array" ref="J720">J719*10</f>
        <v>0</v>
      </c>
      <c r="K720" s="6"/>
      <c r="P720" t="s">
        <v>95</v>
      </c>
      <c r="Q720" s="2" t="e">
        <f t="array" ref="Q720">Q719/$F719</f>
        <v>#DIV/0!</v>
      </c>
      <c r="R720" s="2" t="e">
        <f t="array" ref="R720">R719/$F719</f>
        <v>#DIV/0!</v>
      </c>
      <c r="S720" s="2" t="e">
        <f t="array" ref="S720">S719/$F719</f>
        <v>#DIV/0!</v>
      </c>
      <c r="T720" s="2" t="e">
        <f t="array" ref="T720">T719/$F719</f>
        <v>#DIV/0!</v>
      </c>
      <c r="U720" s="2" t="e">
        <f t="array" ref="U720">U719/$F719</f>
        <v>#DIV/0!</v>
      </c>
      <c r="V720" s="2" t="e">
        <f t="array" ref="V720">V719/$F719</f>
        <v>#DIV/0!</v>
      </c>
      <c r="W720" s="2" t="e">
        <f t="array" ref="W720">W719/$F719</f>
        <v>#DIV/0!</v>
      </c>
      <c r="X720" s="2" t="e">
        <f t="array" ref="X720">X719/$F719</f>
        <v>#DIV/0!</v>
      </c>
      <c r="Z720" s="2" t="e">
        <f t="array" ref="Z720">Z719/F719</f>
        <v>#DIV/0!</v>
      </c>
    </row>
    <row r="721" spans="1:44" x14ac:dyDescent="0.25">
      <c r="A721" t="s">
        <v>60</v>
      </c>
      <c r="C721" s="2">
        <f t="array" ref="C721">IF((M719+N719)&lt;&gt;0, (N719/(M719+N719)),0)</f>
        <v>0</v>
      </c>
      <c r="J721" s="6"/>
      <c r="K721" s="6"/>
    </row>
    <row r="722" spans="1:44" ht="28.5" x14ac:dyDescent="0.45">
      <c r="A722" t="s">
        <v>61</v>
      </c>
      <c r="C722" s="2">
        <f t="array" ref="C722">IF(((K719+N719+L719+M719)&lt;&gt;0), ((L719+N719)/(K719+N719+L719+M719)),0)</f>
        <v>0</v>
      </c>
      <c r="F722" s="17" t="s">
        <v>106</v>
      </c>
      <c r="G722" s="17" t="e">
        <f t="array" ref="G722">'Weighting &amp; Ranking Sheet'!$B$3*Math!$C720+'Weighting &amp; Ranking Sheet'!$B$4*Math!$C721+'Weighting &amp; Ranking Sheet'!$B$5*Math!$C722+'Weighting &amp; Ranking Sheet'!$B$6*Math!$C723+'Weighting &amp; Ranking Sheet'!$B$7*Math!$C707+'Weighting &amp; Ranking Sheet'!$B$8*Math!$C719+'Weighting &amp; Ranking Sheet'!$B$9*Math!$C726+'Weighting &amp; Ranking Sheet'!$B$10*Math!$C724+'Weighting &amp; Ranking Sheet'!$B$11*Math!$C725+'Weighting &amp; Ranking Sheet'!$B$12*Math!$C727*0.01+'Weighting &amp; Ranking Sheet'!$B$13*Math!$Q720+'Weighting &amp; Ranking Sheet'!$B$14*Math!$R720+'Weighting &amp; Ranking Sheet'!$B$15*Math!$S720+'Weighting &amp; Ranking Sheet'!$B$16*Math!$T720+'Weighting &amp; Ranking Sheet'!$B$17*Math!$U720+'Weighting &amp; Ranking Sheet'!$B$18*Math!$V720+'Weighting &amp; Ranking Sheet'!$B$2*Math!$Z720</f>
        <v>#DIV/0!</v>
      </c>
      <c r="J722"/>
      <c r="K722"/>
      <c r="AR722" s="25"/>
    </row>
    <row r="723" spans="1:44" x14ac:dyDescent="0.25">
      <c r="A723" t="s">
        <v>62</v>
      </c>
      <c r="C723" s="2">
        <f t="array" ref="C723">IF((O719+P719&lt;&gt;0),(P719/(O719+P719)), 0)</f>
        <v>0</v>
      </c>
      <c r="J723"/>
      <c r="K723"/>
      <c r="AR723" s="25"/>
    </row>
    <row r="724" spans="1:44" x14ac:dyDescent="0.25">
      <c r="A724" t="s">
        <v>77</v>
      </c>
      <c r="C724" s="8" t="e">
        <f t="array" ref="C724">W719/F719</f>
        <v>#DIV/0!</v>
      </c>
      <c r="J724"/>
      <c r="K724"/>
      <c r="AR724" s="23"/>
    </row>
    <row r="725" spans="1:44" x14ac:dyDescent="0.25">
      <c r="A725" t="s">
        <v>78</v>
      </c>
      <c r="C725" s="8" t="e">
        <f t="array" ref="C725">X719/F719</f>
        <v>#DIV/0!</v>
      </c>
      <c r="J725"/>
      <c r="K725"/>
    </row>
    <row r="726" spans="1:44" x14ac:dyDescent="0.25">
      <c r="A726" t="s">
        <v>91</v>
      </c>
      <c r="C726" s="2" t="e">
        <f t="array" ref="C726">(C707+C719)/2</f>
        <v>#DIV/0!</v>
      </c>
      <c r="J726"/>
      <c r="K726"/>
    </row>
    <row r="727" spans="1:44" x14ac:dyDescent="0.25">
      <c r="A727" t="s">
        <v>92</v>
      </c>
      <c r="C727" s="8" t="e">
        <f t="array" ref="C727">Y719/F719</f>
        <v>#DIV/0!</v>
      </c>
      <c r="J727"/>
      <c r="K727"/>
    </row>
    <row r="728" spans="1:44" x14ac:dyDescent="0.25">
      <c r="C728" s="8"/>
      <c r="J728" s="6"/>
      <c r="K728" s="6"/>
    </row>
    <row r="729" spans="1:44" x14ac:dyDescent="0.25">
      <c r="C729" s="8"/>
      <c r="J729" s="6"/>
      <c r="K729" s="6"/>
    </row>
    <row r="730" spans="1:44" x14ac:dyDescent="0.25">
      <c r="J730" s="6"/>
      <c r="K730" s="6"/>
    </row>
    <row r="731" spans="1:44" x14ac:dyDescent="0.25">
      <c r="A731" t="s">
        <v>3</v>
      </c>
      <c r="C731" s="5">
        <v>2559</v>
      </c>
      <c r="F731" t="s">
        <v>30</v>
      </c>
    </row>
    <row r="732" spans="1:44" x14ac:dyDescent="0.25">
      <c r="F732" t="e">
        <f t="array" ref="F732">SMALL(IF('Raw Data'!A:A=C731,ROW('Raw Data'!A:A)),ROW('Raw Data'!$1:$1))</f>
        <v>#NUM!</v>
      </c>
      <c r="G732" t="e">
        <f t="array" ref="G732">INDEX('Raw Data'!A:A,F732,9)</f>
        <v>#NUM!</v>
      </c>
      <c r="H732" t="e">
        <f t="array" ref="H732">INDEX('Raw Data'!A:A,F732,10)</f>
        <v>#NUM!</v>
      </c>
      <c r="I732" t="e">
        <f t="array" ref="I732">INDEX('Raw Data'!$A:A,$F732,11)</f>
        <v>#NUM!</v>
      </c>
      <c r="J732" t="e">
        <f t="array" ref="J732">INDEX('Raw Data'!$A:A,F732,12)</f>
        <v>#NUM!</v>
      </c>
      <c r="K732" t="e">
        <f>(--INDEX('Raw Data'!$A$4:B$993,F732,4))</f>
        <v>#NUM!</v>
      </c>
      <c r="L732" t="e">
        <f t="array" ref="L732">(--INDEX('Raw Data'!$A$4:B$993,F732,5))</f>
        <v>#NUM!</v>
      </c>
      <c r="M732" t="e">
        <f t="array" ref="M732">(--INDEX('Raw Data'!$A$4:D$993,$F732,6))</f>
        <v>#NUM!</v>
      </c>
      <c r="N732" t="e">
        <f t="array" ref="N732">(--INDEX('Raw Data'!$A$4:D$993,$F732,7))</f>
        <v>#NUM!</v>
      </c>
      <c r="O732" t="e">
        <f t="array" ref="O732">IF(--INDEX('Raw Data'!$A$4:E$993,$F732,8)= 0, 1, 0)</f>
        <v>#NUM!</v>
      </c>
      <c r="P732" t="e">
        <f t="array" ref="P732">IF(--INDEX('Raw Data'!$A$4:F$993,$F732,8)= 1, 1, 0)</f>
        <v>#NUM!</v>
      </c>
      <c r="Q732" t="e">
        <f t="array" ref="Q732">IF(--INDEX('Raw Data'!$A$4:G$993,$F732,13)= 1, 1, 0)</f>
        <v>#NUM!</v>
      </c>
      <c r="R732" t="e">
        <f t="array" ref="R732">IF(--INDEX('Raw Data'!$A$4:H$993,$F732,14)= 1, 1, 0)</f>
        <v>#NUM!</v>
      </c>
      <c r="S732" t="e">
        <f t="array" ref="S732">IF(--INDEX('Raw Data'!$A$4:I$993,$F732,15)= 1, 1, 0)</f>
        <v>#NUM!</v>
      </c>
      <c r="T732" t="e">
        <f t="array" ref="T732">IF(--INDEX('Raw Data'!$A$4:I$993,$F732,15)= 1, 1, 0)</f>
        <v>#NUM!</v>
      </c>
      <c r="U732" t="e">
        <f t="array" ref="U732">IF(--INDEX('Raw Data'!$A$4:J$993,$F732,16)= 1, 1, 0)</f>
        <v>#NUM!</v>
      </c>
      <c r="V732" t="e">
        <f t="array" ref="V732">IF(--INDEX('Raw Data'!$A$4:K$993,$F732,17)= 1, 1, 0)</f>
        <v>#NUM!</v>
      </c>
      <c r="W732" t="e">
        <f t="array" ref="W732">INDEX('Raw Data'!$A:$O,$F732,19)</f>
        <v>#NUM!</v>
      </c>
      <c r="X732" t="e">
        <f t="array" ref="X732">INDEX('Raw Data'!$A:$O,$F732,20)</f>
        <v>#NUM!</v>
      </c>
      <c r="Y732" t="e">
        <f t="array" ref="Y732">INDEX('Raw Data'!$A:$O,F732,21)</f>
        <v>#NUM!</v>
      </c>
      <c r="Z732" t="e">
        <f t="array" ref="Z732">INDEX('Raw Data'!$A:$O,$F732,3)</f>
        <v>#NUM!</v>
      </c>
      <c r="AA732" t="e">
        <f t="array" ref="AA732">INDEX('Raw Data'!$A:$O,$F732,22)</f>
        <v>#NUM!</v>
      </c>
      <c r="AB732" t="e">
        <f t="array" ref="AB732">INDEX('Raw Data'!$A:$O,$F732,23)</f>
        <v>#NUM!</v>
      </c>
    </row>
    <row r="733" spans="1:44" x14ac:dyDescent="0.25">
      <c r="A733" t="s">
        <v>0</v>
      </c>
      <c r="B733">
        <f>G747</f>
        <v>0</v>
      </c>
      <c r="F733" t="e">
        <f t="array" ref="F733">SMALL(IF('Raw Data'!A:A=C731,ROW('Raw Data'!A:A)),ROW('Raw Data'!$2:$2))</f>
        <v>#NUM!</v>
      </c>
      <c r="G733" t="e">
        <f t="array" ref="G733">INDEX('Raw Data'!A:A,F733,9)</f>
        <v>#NUM!</v>
      </c>
      <c r="H733" t="e">
        <f t="array" ref="H733">INDEX('Raw Data'!A:A,F733,10)</f>
        <v>#NUM!</v>
      </c>
      <c r="I733" t="e">
        <f t="array" ref="I733">INDEX('Raw Data'!$A:A,$F733,11)</f>
        <v>#NUM!</v>
      </c>
      <c r="J733" t="e">
        <f t="array" ref="J733">INDEX('Raw Data'!$A:A,F733,12)</f>
        <v>#NUM!</v>
      </c>
      <c r="K733" t="e">
        <f>(--INDEX('Raw Data'!$A$4:B$993,F733,4))</f>
        <v>#NUM!</v>
      </c>
      <c r="L733" t="e">
        <f t="array" ref="L733">(--INDEX('Raw Data'!$A$4:B$993,F733,5))</f>
        <v>#NUM!</v>
      </c>
      <c r="M733" t="e">
        <f t="array" ref="M733">(--INDEX('Raw Data'!$A$4:D$993,$F733,6))</f>
        <v>#NUM!</v>
      </c>
      <c r="N733" t="e">
        <f t="array" ref="N733">(--INDEX('Raw Data'!$A$4:D$993,$F733,7))</f>
        <v>#NUM!</v>
      </c>
      <c r="O733" t="e">
        <f t="array" ref="O733">IF(--INDEX('Raw Data'!$A$4:E$993,$F733,8)= 0, 1, 0)</f>
        <v>#NUM!</v>
      </c>
      <c r="P733" t="e">
        <f t="array" ref="P733">IF(--INDEX('Raw Data'!$A$4:F$993,$F733,8)= 1, 1, 0)</f>
        <v>#NUM!</v>
      </c>
      <c r="Q733" t="e">
        <f t="array" ref="Q733">IF(--INDEX('Raw Data'!$A$4:G$993,$F733,13)= 1, 1, 0)</f>
        <v>#NUM!</v>
      </c>
      <c r="R733" t="e">
        <f t="array" ref="R733">IF(--INDEX('Raw Data'!$A$4:H$993,$F733,14)= 1, 1, 0)</f>
        <v>#NUM!</v>
      </c>
      <c r="S733" t="e">
        <f t="array" ref="S733">IF(--INDEX('Raw Data'!$A$4:I$993,$F733,15)= 1, 1, 0)</f>
        <v>#NUM!</v>
      </c>
      <c r="T733" t="e">
        <f t="array" ref="T733">IF(--INDEX('Raw Data'!$A$4:I$993,$F733,15)= 1, 1, 0)</f>
        <v>#NUM!</v>
      </c>
      <c r="U733" t="e">
        <f t="array" ref="U733">IF(--INDEX('Raw Data'!$A$4:J$993,$F733,16)= 1, 1, 0)</f>
        <v>#NUM!</v>
      </c>
      <c r="V733" t="e">
        <f t="array" ref="V733">IF(--INDEX('Raw Data'!$A$4:K$993,$F733,17)= 1, 1, 0)</f>
        <v>#NUM!</v>
      </c>
      <c r="W733" t="e">
        <f t="array" ref="W733">INDEX('Raw Data'!$A:$O,$F733,19)</f>
        <v>#NUM!</v>
      </c>
      <c r="X733" t="e">
        <f t="array" ref="X733">INDEX('Raw Data'!$A:$O,$F733,20)</f>
        <v>#NUM!</v>
      </c>
      <c r="Y733" t="e">
        <f t="array" ref="Y733">INDEX('Raw Data'!$A:$O,F733,21)</f>
        <v>#NUM!</v>
      </c>
      <c r="Z733" t="e">
        <f t="array" ref="Z733">INDEX('Raw Data'!$A:$O,$F733,3)</f>
        <v>#NUM!</v>
      </c>
      <c r="AA733" t="e">
        <f t="array" ref="AA733">INDEX('Raw Data'!$A:$O,$F733,22)</f>
        <v>#NUM!</v>
      </c>
      <c r="AB733" t="e">
        <f t="array" ref="AB733">INDEX('Raw Data'!$A:$O,$F733,23)</f>
        <v>#NUM!</v>
      </c>
    </row>
    <row r="734" spans="1:44" x14ac:dyDescent="0.25">
      <c r="A734" t="s">
        <v>1</v>
      </c>
      <c r="B734">
        <f>H747</f>
        <v>0</v>
      </c>
      <c r="F734" t="e">
        <f t="array" ref="F734">SMALL(IF('Raw Data'!A:A=C731,ROW('Raw Data'!A:A)),ROW('Raw Data'!$3:$3))</f>
        <v>#NUM!</v>
      </c>
      <c r="G734" t="e">
        <f t="array" ref="G734">INDEX('Raw Data'!A:A,F734,9)</f>
        <v>#NUM!</v>
      </c>
      <c r="H734" t="e">
        <f t="array" ref="H734">INDEX('Raw Data'!A:A,F734,10)</f>
        <v>#NUM!</v>
      </c>
      <c r="I734" t="e">
        <f t="array" ref="I734">INDEX('Raw Data'!$A:A,$F734,11)</f>
        <v>#NUM!</v>
      </c>
      <c r="J734" t="e">
        <f t="array" ref="J734">INDEX('Raw Data'!$A:A,F734,12)</f>
        <v>#NUM!</v>
      </c>
      <c r="K734" t="e">
        <f>(--INDEX('Raw Data'!$A$4:B$993,F734,4))</f>
        <v>#NUM!</v>
      </c>
      <c r="L734" t="e">
        <f t="array" ref="L734">(--INDEX('Raw Data'!$A$4:B$993,F734,5))</f>
        <v>#NUM!</v>
      </c>
      <c r="M734" t="e">
        <f t="array" ref="M734">(--INDEX('Raw Data'!$A$4:D$993,$F734,6))</f>
        <v>#NUM!</v>
      </c>
      <c r="N734" t="e">
        <f t="array" ref="N734">(--INDEX('Raw Data'!$A$4:D$993,$F734,7))</f>
        <v>#NUM!</v>
      </c>
      <c r="O734" t="e">
        <f t="array" ref="O734">IF(--INDEX('Raw Data'!$A$4:E$993,$F734,8)= 0, 1, 0)</f>
        <v>#NUM!</v>
      </c>
      <c r="P734" t="e">
        <f t="array" ref="P734">IF(--INDEX('Raw Data'!$A$4:F$993,$F734,8)= 1, 1, 0)</f>
        <v>#NUM!</v>
      </c>
      <c r="Q734" t="e">
        <f t="array" ref="Q734">IF(--INDEX('Raw Data'!$A$4:G$993,$F734,13)= 1, 1, 0)</f>
        <v>#NUM!</v>
      </c>
      <c r="R734" t="e">
        <f t="array" ref="R734">IF(--INDEX('Raw Data'!$A$4:H$993,$F734,14)= 1, 1, 0)</f>
        <v>#NUM!</v>
      </c>
      <c r="S734" t="e">
        <f t="array" ref="S734">IF(--INDEX('Raw Data'!$A$4:I$993,$F734,15)= 1, 1, 0)</f>
        <v>#NUM!</v>
      </c>
      <c r="T734" t="e">
        <f t="array" ref="T734">IF(--INDEX('Raw Data'!$A$4:I$993,$F734,15)= 1, 1, 0)</f>
        <v>#NUM!</v>
      </c>
      <c r="U734" t="e">
        <f t="array" ref="U734">IF(--INDEX('Raw Data'!$A$4:J$993,$F734,16)= 1, 1, 0)</f>
        <v>#NUM!</v>
      </c>
      <c r="V734" t="e">
        <f t="array" ref="V734">IF(--INDEX('Raw Data'!$A$4:K$993,$F734,17)= 1, 1, 0)</f>
        <v>#NUM!</v>
      </c>
      <c r="W734" t="e">
        <f t="array" ref="W734">INDEX('Raw Data'!$A:$O,$F734,19)</f>
        <v>#NUM!</v>
      </c>
      <c r="X734" t="e">
        <f t="array" ref="X734">INDEX('Raw Data'!$A:$O,$F734,20)</f>
        <v>#NUM!</v>
      </c>
      <c r="Y734" t="e">
        <f t="array" ref="Y734">INDEX('Raw Data'!$A:$O,F734,21)</f>
        <v>#NUM!</v>
      </c>
      <c r="Z734" t="e">
        <f t="array" ref="Z734">INDEX('Raw Data'!$A:$O,$F734,3)</f>
        <v>#NUM!</v>
      </c>
      <c r="AA734" t="e">
        <f t="array" ref="AA734">INDEX('Raw Data'!$A:$O,$F734,22)</f>
        <v>#NUM!</v>
      </c>
      <c r="AB734" t="e">
        <f t="array" ref="AB734">INDEX('Raw Data'!$A:$O,$F734,23)</f>
        <v>#NUM!</v>
      </c>
    </row>
    <row r="735" spans="1:44" x14ac:dyDescent="0.25">
      <c r="A735" t="s">
        <v>2</v>
      </c>
      <c r="C735" s="3" t="e">
        <f>B734/B733</f>
        <v>#DIV/0!</v>
      </c>
      <c r="F735" t="e">
        <f t="array" ref="F735">SMALL(IF('Raw Data'!A:A=C731,ROW('Raw Data'!A:A)),ROW('Raw Data'!$4:$4))</f>
        <v>#NUM!</v>
      </c>
      <c r="G735" t="e">
        <f t="array" ref="G735">INDEX('Raw Data'!A:A,F735,9)</f>
        <v>#NUM!</v>
      </c>
      <c r="H735" t="e">
        <f t="array" ref="H735">INDEX('Raw Data'!A:A,F735,10)</f>
        <v>#NUM!</v>
      </c>
      <c r="I735" t="e">
        <f t="array" ref="I735">INDEX('Raw Data'!$A:A,$F735,11)</f>
        <v>#NUM!</v>
      </c>
      <c r="J735" t="e">
        <f t="array" ref="J735">INDEX('Raw Data'!$A:A,F735,12)</f>
        <v>#NUM!</v>
      </c>
      <c r="K735" t="e">
        <f>(--INDEX('Raw Data'!$A$4:B$993,F735,4))</f>
        <v>#NUM!</v>
      </c>
      <c r="L735" t="e">
        <f t="array" ref="L735">(--INDEX('Raw Data'!$A$4:B$993,F735,5))</f>
        <v>#NUM!</v>
      </c>
      <c r="M735" t="e">
        <f t="array" ref="M735">(--INDEX('Raw Data'!$A$4:D$993,$F735,6))</f>
        <v>#NUM!</v>
      </c>
      <c r="N735" t="e">
        <f t="array" ref="N735">(--INDEX('Raw Data'!$A$4:D$993,$F735,7))</f>
        <v>#NUM!</v>
      </c>
      <c r="O735" t="e">
        <f t="array" ref="O735">IF(--INDEX('Raw Data'!$A$4:E$993,$F735,8)= 0, 1, 0)</f>
        <v>#NUM!</v>
      </c>
      <c r="P735" t="e">
        <f t="array" ref="P735">IF(--INDEX('Raw Data'!$A$4:F$993,$F735,8)= 1, 1, 0)</f>
        <v>#NUM!</v>
      </c>
      <c r="Q735" t="e">
        <f t="array" ref="Q735">IF(--INDEX('Raw Data'!$A$4:G$993,$F735,13)= 1, 1, 0)</f>
        <v>#NUM!</v>
      </c>
      <c r="R735" t="e">
        <f t="array" ref="R735">IF(--INDEX('Raw Data'!$A$4:H$993,$F735,14)= 1, 1, 0)</f>
        <v>#NUM!</v>
      </c>
      <c r="S735" t="e">
        <f t="array" ref="S735">IF(--INDEX('Raw Data'!$A$4:I$993,$F735,15)= 1, 1, 0)</f>
        <v>#NUM!</v>
      </c>
      <c r="T735" t="e">
        <f t="array" ref="T735">IF(--INDEX('Raw Data'!$A$4:I$993,$F735,15)= 1, 1, 0)</f>
        <v>#NUM!</v>
      </c>
      <c r="U735" t="e">
        <f t="array" ref="U735">IF(--INDEX('Raw Data'!$A$4:J$993,$F735,16)= 1, 1, 0)</f>
        <v>#NUM!</v>
      </c>
      <c r="V735" t="e">
        <f t="array" ref="V735">IF(--INDEX('Raw Data'!$A$4:K$993,$F735,17)= 1, 1, 0)</f>
        <v>#NUM!</v>
      </c>
      <c r="W735" t="e">
        <f t="array" ref="W735">INDEX('Raw Data'!$A:$O,$F735,19)</f>
        <v>#NUM!</v>
      </c>
      <c r="X735" t="e">
        <f t="array" ref="X735">INDEX('Raw Data'!$A:$O,$F735,20)</f>
        <v>#NUM!</v>
      </c>
      <c r="Y735" t="e">
        <f t="array" ref="Y735">INDEX('Raw Data'!$A:$O,F735,21)</f>
        <v>#NUM!</v>
      </c>
      <c r="Z735" t="e">
        <f t="array" ref="Z735">INDEX('Raw Data'!$A:$O,$F735,3)</f>
        <v>#NUM!</v>
      </c>
      <c r="AA735" t="e">
        <f t="array" ref="AA735">INDEX('Raw Data'!$A:$O,$F735,22)</f>
        <v>#NUM!</v>
      </c>
      <c r="AB735" t="e">
        <f t="array" ref="AB735">INDEX('Raw Data'!$A:$O,$F735,23)</f>
        <v>#NUM!</v>
      </c>
    </row>
    <row r="736" spans="1:44" x14ac:dyDescent="0.25">
      <c r="A736" t="s">
        <v>54</v>
      </c>
      <c r="B736">
        <f>I747</f>
        <v>0</v>
      </c>
      <c r="F736" t="e">
        <f t="array" ref="F736">SMALL(IF('Raw Data'!A:A=C731,ROW('Raw Data'!A:A)),ROW('Raw Data'!$5:$5))</f>
        <v>#NUM!</v>
      </c>
      <c r="G736" t="e">
        <f t="array" ref="G736">INDEX('Raw Data'!A:A,F736,9)</f>
        <v>#NUM!</v>
      </c>
      <c r="H736" t="e">
        <f t="array" ref="H736">INDEX('Raw Data'!A:A,F736,10)</f>
        <v>#NUM!</v>
      </c>
      <c r="I736" t="e">
        <f t="array" ref="I736">INDEX('Raw Data'!$A:A,$F736,11)</f>
        <v>#NUM!</v>
      </c>
      <c r="J736" t="e">
        <f t="array" ref="J736">INDEX('Raw Data'!$A:A,F736,12)</f>
        <v>#NUM!</v>
      </c>
      <c r="K736" t="e">
        <f>(--INDEX('Raw Data'!$A$4:B$993,F736,4))</f>
        <v>#NUM!</v>
      </c>
      <c r="L736" t="e">
        <f t="array" ref="L736">(--INDEX('Raw Data'!$A$4:B$993,F736,5))</f>
        <v>#NUM!</v>
      </c>
      <c r="M736" t="e">
        <f t="array" ref="M736">(--INDEX('Raw Data'!$A$4:D$993,$F736,6))</f>
        <v>#NUM!</v>
      </c>
      <c r="N736" t="e">
        <f t="array" ref="N736">(--INDEX('Raw Data'!$A$4:D$993,$F736,7))</f>
        <v>#NUM!</v>
      </c>
      <c r="O736" t="e">
        <f t="array" ref="O736">IF(--INDEX('Raw Data'!$A$4:E$993,$F736,8)= 0, 1, 0)</f>
        <v>#NUM!</v>
      </c>
      <c r="P736" t="e">
        <f t="array" ref="P736">IF(--INDEX('Raw Data'!$A$4:F$993,$F736,8)= 1, 1, 0)</f>
        <v>#NUM!</v>
      </c>
      <c r="Q736" t="e">
        <f t="array" ref="Q736">IF(--INDEX('Raw Data'!$A$4:G$993,$F736,13)= 1, 1, 0)</f>
        <v>#NUM!</v>
      </c>
      <c r="R736" t="e">
        <f t="array" ref="R736">IF(--INDEX('Raw Data'!$A$4:H$993,$F736,14)= 1, 1, 0)</f>
        <v>#NUM!</v>
      </c>
      <c r="S736" t="e">
        <f t="array" ref="S736">IF(--INDEX('Raw Data'!$A$4:I$993,$F736,15)= 1, 1, 0)</f>
        <v>#NUM!</v>
      </c>
      <c r="T736" t="e">
        <f t="array" ref="T736">IF(--INDEX('Raw Data'!$A$4:I$993,$F736,15)= 1, 1, 0)</f>
        <v>#NUM!</v>
      </c>
      <c r="U736" t="e">
        <f t="array" ref="U736">IF(--INDEX('Raw Data'!$A$4:J$993,$F736,16)= 1, 1, 0)</f>
        <v>#NUM!</v>
      </c>
      <c r="V736" t="e">
        <f t="array" ref="V736">IF(--INDEX('Raw Data'!$A$4:K$993,$F736,17)= 1, 1, 0)</f>
        <v>#NUM!</v>
      </c>
      <c r="W736" t="e">
        <f t="array" ref="W736">INDEX('Raw Data'!$A:$O,$F736,19)</f>
        <v>#NUM!</v>
      </c>
      <c r="X736" t="e">
        <f t="array" ref="X736">INDEX('Raw Data'!$A:$O,$F736,20)</f>
        <v>#NUM!</v>
      </c>
      <c r="Y736" t="e">
        <f t="array" ref="Y736">INDEX('Raw Data'!$A:$O,F736,21)</f>
        <v>#NUM!</v>
      </c>
      <c r="Z736" t="e">
        <f t="array" ref="Z736">INDEX('Raw Data'!$A:$O,$F736,3)</f>
        <v>#NUM!</v>
      </c>
      <c r="AA736" t="e">
        <f t="array" ref="AA736">INDEX('Raw Data'!$A:$O,$F736,22)</f>
        <v>#NUM!</v>
      </c>
      <c r="AB736" t="e">
        <f t="array" ref="AB736">INDEX('Raw Data'!$A:$O,$F736,23)</f>
        <v>#NUM!</v>
      </c>
      <c r="AR736" s="25"/>
    </row>
    <row r="737" spans="1:44" x14ac:dyDescent="0.25">
      <c r="A737" t="s">
        <v>35</v>
      </c>
      <c r="B737">
        <f>J747</f>
        <v>0</v>
      </c>
      <c r="F737" t="e">
        <f t="array" ref="F737">SMALL(IF('Raw Data'!A:A=C731,ROW('Raw Data'!A:A)),ROW('Raw Data'!$6:$6))</f>
        <v>#NUM!</v>
      </c>
      <c r="G737" t="e">
        <f t="array" ref="G737">INDEX('Raw Data'!A:A,F737,9)</f>
        <v>#NUM!</v>
      </c>
      <c r="H737" t="e">
        <f t="array" ref="H737">INDEX('Raw Data'!A:A,F737,10)</f>
        <v>#NUM!</v>
      </c>
      <c r="I737" t="e">
        <f t="array" ref="I737">INDEX('Raw Data'!$A:A,$F737,11)</f>
        <v>#NUM!</v>
      </c>
      <c r="J737" t="e">
        <f t="array" ref="J737">INDEX('Raw Data'!$A:A,F737,12)</f>
        <v>#NUM!</v>
      </c>
      <c r="K737" t="e">
        <f>(--INDEX('Raw Data'!$A$4:B$993,F737,4))</f>
        <v>#NUM!</v>
      </c>
      <c r="L737" t="e">
        <f t="array" ref="L737">(--INDEX('Raw Data'!$A$4:B$998,F737,5))</f>
        <v>#NUM!</v>
      </c>
      <c r="M737" t="e">
        <f t="array" ref="M737">(--INDEX('Raw Data'!$A$4:D$998,$F737,6))</f>
        <v>#NUM!</v>
      </c>
      <c r="N737" t="e">
        <f t="array" ref="N737">(--INDEX('Raw Data'!$A$4:D$993,$F737,7))</f>
        <v>#NUM!</v>
      </c>
      <c r="O737" t="e">
        <f t="array" ref="O737">IF(--INDEX('Raw Data'!$A$4:E$993,$F737,8)= 0, 1, 0)</f>
        <v>#NUM!</v>
      </c>
      <c r="P737" t="e">
        <f t="array" ref="P737">IF(--INDEX('Raw Data'!$A$4:F$998,$F737,8)= 1, 1, 0)</f>
        <v>#NUM!</v>
      </c>
      <c r="Q737" t="e">
        <f t="array" ref="Q737">IF(--INDEX('Raw Data'!$A$4:G$998,$F737,13)= 1, 1, 0)</f>
        <v>#NUM!</v>
      </c>
      <c r="R737" t="e">
        <f t="array" ref="R737">IF(--INDEX('Raw Data'!$A$4:H$998,$F737,14)= 1, 1, 0)</f>
        <v>#NUM!</v>
      </c>
      <c r="S737" t="e">
        <f t="array" ref="S737">IF(--INDEX('Raw Data'!$A$4:I$993,$F737,15)= 1, 1, 0)</f>
        <v>#NUM!</v>
      </c>
      <c r="T737" t="e">
        <f t="array" ref="T737">IF(--INDEX('Raw Data'!$A$4:I$998,$F737,15)= 1, 1, 0)</f>
        <v>#NUM!</v>
      </c>
      <c r="U737" t="e">
        <f t="array" ref="U737">IF(--INDEX('Raw Data'!$A$4:J$998,$F737,16)= 1, 1, 0)</f>
        <v>#NUM!</v>
      </c>
      <c r="V737" t="e">
        <f t="array" ref="V737">IF(--INDEX('Raw Data'!$A$4:K$993,$F737,17)= 1, 1, 0)</f>
        <v>#NUM!</v>
      </c>
      <c r="W737" t="e">
        <f t="array" ref="W737">INDEX('Raw Data'!$A:$O,$F737,19)</f>
        <v>#NUM!</v>
      </c>
      <c r="X737" t="e">
        <f t="array" ref="X737">INDEX('Raw Data'!$A:$O,$F737,20)</f>
        <v>#NUM!</v>
      </c>
      <c r="Y737" t="e">
        <f t="array" ref="Y737">INDEX('Raw Data'!$A:$O,F737,21)</f>
        <v>#NUM!</v>
      </c>
      <c r="Z737" t="e">
        <f t="array" ref="Z737">INDEX('Raw Data'!$A:$O,$F737,3)</f>
        <v>#NUM!</v>
      </c>
      <c r="AA737" t="e">
        <f t="array" ref="AA737">INDEX('Raw Data'!$A:$O,$F737,22)</f>
        <v>#NUM!</v>
      </c>
      <c r="AB737" t="e">
        <f t="array" ref="AB737">INDEX('Raw Data'!$A:$O,$F737,23)</f>
        <v>#NUM!</v>
      </c>
      <c r="AR737" s="25"/>
    </row>
    <row r="738" spans="1:44" ht="28.5" x14ac:dyDescent="0.45">
      <c r="F738" t="e">
        <f t="array" ref="F738">SMALL(IF('Raw Data'!A:A=C731,ROW('Raw Data'!A:A)),ROW('Raw Data'!$7:$7))</f>
        <v>#NUM!</v>
      </c>
      <c r="G738" t="e">
        <f t="array" ref="G738">INDEX('Raw Data'!A:A,F738,9)</f>
        <v>#NUM!</v>
      </c>
      <c r="H738" t="e">
        <f t="array" ref="H738">INDEX('Raw Data'!A:A,F738,10)</f>
        <v>#NUM!</v>
      </c>
      <c r="I738" t="e">
        <f t="array" ref="I738">INDEX('Raw Data'!$A:A,$F738,11)</f>
        <v>#NUM!</v>
      </c>
      <c r="J738" t="e">
        <f t="array" ref="J738">INDEX('Raw Data'!$A:A,F738,12)</f>
        <v>#NUM!</v>
      </c>
      <c r="K738" t="e">
        <f t="array" ref="K738">(--INDEX('Raw Data'!$A$4:B$998,F738,4))</f>
        <v>#NUM!</v>
      </c>
      <c r="L738" t="e">
        <f t="array" ref="L738">(--INDEX('Raw Data'!$A$4:B$998,F738,5))</f>
        <v>#NUM!</v>
      </c>
      <c r="M738" t="e">
        <f t="array" ref="M738">(--INDEX('Raw Data'!$A$4:D$998,$F738,6))</f>
        <v>#NUM!</v>
      </c>
      <c r="N738" t="e">
        <f t="array" ref="N738">(--INDEX('Raw Data'!$A$4:D$998,$F738,7))</f>
        <v>#NUM!</v>
      </c>
      <c r="O738" t="e">
        <f t="array" ref="O738">IF(--INDEX('Raw Data'!$A$4:E$998,$F738,8)= 0, 1, 0)</f>
        <v>#NUM!</v>
      </c>
      <c r="P738" t="e">
        <f t="array" ref="P738">IF(--INDEX('Raw Data'!$A$4:F$998,$F738,8)= 1, 1, 0)</f>
        <v>#NUM!</v>
      </c>
      <c r="Q738" t="e">
        <f t="array" ref="Q738">IF(--INDEX('Raw Data'!$A$4:G$998,$F738,13)= 1, 1, 0)</f>
        <v>#NUM!</v>
      </c>
      <c r="R738" t="e">
        <f t="array" ref="R738">IF(--INDEX('Raw Data'!$A$4:H$998,$F738,14)= 1, 1, 0)</f>
        <v>#NUM!</v>
      </c>
      <c r="S738" t="e">
        <f t="array" ref="S738">IF(--INDEX('Raw Data'!$A$4:I$998,$F738,15)= 1, 1, 0)</f>
        <v>#NUM!</v>
      </c>
      <c r="T738" t="e">
        <f t="array" ref="T738">IF(--INDEX('Raw Data'!$A$4:I$998,$F738,15)= 1, 1, 0)</f>
        <v>#NUM!</v>
      </c>
      <c r="U738" t="e">
        <f t="array" ref="U738">IF(--INDEX('Raw Data'!$A$4:J$998,$F738,16)= 1, 1, 0)</f>
        <v>#NUM!</v>
      </c>
      <c r="V738" t="e">
        <f t="array" ref="V738">IF(--INDEX('Raw Data'!$A$4:K$998,$F738,17)= 1, 1, 0)</f>
        <v>#NUM!</v>
      </c>
      <c r="W738" t="e">
        <f t="array" ref="W738">INDEX('Raw Data'!$A:$O,$F738,19)</f>
        <v>#NUM!</v>
      </c>
      <c r="X738" t="e">
        <f t="array" ref="X738">INDEX('Raw Data'!$A:$O,$F738,20)</f>
        <v>#NUM!</v>
      </c>
      <c r="Y738" t="e">
        <f t="array" ref="Y738">INDEX('Raw Data'!$A:$O,F738,21)</f>
        <v>#NUM!</v>
      </c>
      <c r="Z738" t="e">
        <f t="array" ref="Z738">INDEX('Raw Data'!$A:$O,$F738,3)</f>
        <v>#NUM!</v>
      </c>
      <c r="AA738" t="e">
        <f t="array" ref="AA738">INDEX('Raw Data'!$A:$O,$F738,22)</f>
        <v>#NUM!</v>
      </c>
      <c r="AB738" t="e">
        <f t="array" ref="AB738">INDEX('Raw Data'!$A:$O,$F738,23)</f>
        <v>#NUM!</v>
      </c>
      <c r="AM738" s="21"/>
    </row>
    <row r="739" spans="1:44" x14ac:dyDescent="0.25">
      <c r="F739" t="e">
        <f t="array" ref="F739">SMALL(IF('Raw Data'!A:A=C731,ROW('Raw Data'!A:A)),ROW('Raw Data'!$8:$8))</f>
        <v>#NUM!</v>
      </c>
      <c r="G739" t="e">
        <f t="array" ref="G739">INDEX('Raw Data'!A:A,F739,9)</f>
        <v>#NUM!</v>
      </c>
      <c r="H739" t="e">
        <f t="array" ref="H739">INDEX('Raw Data'!A:A,F739,10)</f>
        <v>#NUM!</v>
      </c>
      <c r="I739" t="e">
        <f t="array" ref="I739">INDEX('Raw Data'!$A:A,$F739,11)</f>
        <v>#NUM!</v>
      </c>
      <c r="J739" t="e">
        <f t="array" ref="J739">INDEX('Raw Data'!$A:A,F739,12)</f>
        <v>#NUM!</v>
      </c>
      <c r="K739" t="e">
        <f t="array" ref="K739">(--INDEX('Raw Data'!$A$4:B$998,F739,4))</f>
        <v>#NUM!</v>
      </c>
      <c r="L739" t="e">
        <f t="array" ref="L739">(--INDEX('Raw Data'!$A$4:B$998,F739,5))</f>
        <v>#NUM!</v>
      </c>
      <c r="M739" t="e">
        <f t="array" ref="M739">(--INDEX('Raw Data'!$A$4:D$998,$F739,6))</f>
        <v>#NUM!</v>
      </c>
      <c r="N739" t="e">
        <f t="array" ref="N739">(--INDEX('Raw Data'!$A$4:D$998,$F739,7))</f>
        <v>#NUM!</v>
      </c>
      <c r="O739" t="e">
        <f t="array" ref="O739">IF(--INDEX('Raw Data'!$A$4:E$998,$F739,8)= 0, 1, 0)</f>
        <v>#NUM!</v>
      </c>
      <c r="P739" t="e">
        <f t="array" ref="P739">IF(--INDEX('Raw Data'!$A$4:F$998,$F739,8)= 1, 1, 0)</f>
        <v>#NUM!</v>
      </c>
      <c r="Q739" t="e">
        <f t="array" ref="Q739">IF(--INDEX('Raw Data'!$A$4:G$998,$F739,13)= 1, 1, 0)</f>
        <v>#NUM!</v>
      </c>
      <c r="R739" t="e">
        <f t="array" ref="R739">IF(--INDEX('Raw Data'!$A$4:H$998,$F739,14)= 1, 1, 0)</f>
        <v>#NUM!</v>
      </c>
      <c r="S739" t="e">
        <f t="array" ref="S739">IF(--INDEX('Raw Data'!$A$4:I$998,$F739,15)= 1, 1, 0)</f>
        <v>#NUM!</v>
      </c>
      <c r="T739" t="e">
        <f t="array" ref="T739">IF(--INDEX('Raw Data'!$A$4:I$998,$F739,15)= 1, 1, 0)</f>
        <v>#NUM!</v>
      </c>
      <c r="U739" t="e">
        <f t="array" ref="U739">IF(--INDEX('Raw Data'!$A$4:J$998,$F739,16)= 1, 1, 0)</f>
        <v>#NUM!</v>
      </c>
      <c r="V739" t="e">
        <f t="array" ref="V739">IF(--INDEX('Raw Data'!$A$4:K$998,$F739,17)= 1, 1, 0)</f>
        <v>#NUM!</v>
      </c>
      <c r="W739" t="e">
        <f t="array" ref="W739">INDEX('Raw Data'!$A:$O,$F739,19)</f>
        <v>#NUM!</v>
      </c>
      <c r="X739" t="e">
        <f t="array" ref="X739">INDEX('Raw Data'!$A:$O,$F739,20)</f>
        <v>#NUM!</v>
      </c>
      <c r="Y739" t="e">
        <f t="array" ref="Y739">INDEX('Raw Data'!$A:$O,F739,21)</f>
        <v>#NUM!</v>
      </c>
      <c r="Z739" t="e">
        <f t="array" ref="Z739">INDEX('Raw Data'!$A:$O,$F739,3)</f>
        <v>#NUM!</v>
      </c>
      <c r="AA739" t="e">
        <f t="array" ref="AA739">INDEX('Raw Data'!$A:$O,$F739,22)</f>
        <v>#NUM!</v>
      </c>
      <c r="AB739" t="e">
        <f t="array" ref="AB739">INDEX('Raw Data'!$A:$O,$F739,23)</f>
        <v>#NUM!</v>
      </c>
    </row>
    <row r="740" spans="1:44" x14ac:dyDescent="0.25">
      <c r="F740" t="e">
        <f t="array" ref="F740">SMALL(IF('Raw Data'!A:A=C731,ROW('Raw Data'!A:A)),ROW('Raw Data'!$9:$9))</f>
        <v>#NUM!</v>
      </c>
      <c r="G740" t="e">
        <f t="array" ref="G740">INDEX('Raw Data'!A:A,F740,9)</f>
        <v>#NUM!</v>
      </c>
      <c r="H740" t="e">
        <f t="array" ref="H740">INDEX('Raw Data'!A:A,F740,10)</f>
        <v>#NUM!</v>
      </c>
      <c r="I740" t="e">
        <f t="array" ref="I740">INDEX('Raw Data'!$A:A,$F740,11)</f>
        <v>#NUM!</v>
      </c>
      <c r="J740" t="e">
        <f t="array" ref="J740">INDEX('Raw Data'!$A:A,F740,12)</f>
        <v>#NUM!</v>
      </c>
      <c r="K740" t="e">
        <f t="array" ref="K740">(--INDEX('Raw Data'!$A$4:B$998,F740,4))</f>
        <v>#NUM!</v>
      </c>
      <c r="L740" t="e">
        <f t="array" ref="L740">(--INDEX('Raw Data'!$A$4:B$998,F740,5))</f>
        <v>#NUM!</v>
      </c>
      <c r="M740" t="e">
        <f t="array" ref="M740">(--INDEX('Raw Data'!$A$4:D$998,$F740,6))</f>
        <v>#NUM!</v>
      </c>
      <c r="N740" t="e">
        <f t="array" ref="N740">(--INDEX('Raw Data'!$A$4:D$998,$F740,7))</f>
        <v>#NUM!</v>
      </c>
      <c r="O740" t="e">
        <f t="array" ref="O740">IF(--INDEX('Raw Data'!$A$4:E$998,$F740,8)= 0, 1, 0)</f>
        <v>#NUM!</v>
      </c>
      <c r="P740" t="e">
        <f t="array" ref="P740">IF(--INDEX('Raw Data'!$A$4:F$998,$F740,8)= 1, 1, 0)</f>
        <v>#NUM!</v>
      </c>
      <c r="Q740" t="e">
        <f t="array" ref="Q740">IF(--INDEX('Raw Data'!$A$4:G$998,$F740,13)= 1, 1, 0)</f>
        <v>#NUM!</v>
      </c>
      <c r="R740" t="e">
        <f t="array" ref="R740">IF(--INDEX('Raw Data'!$A$4:H$998,$F740,14)= 1, 1, 0)</f>
        <v>#NUM!</v>
      </c>
      <c r="S740" t="e">
        <f t="array" ref="S740">IF(--INDEX('Raw Data'!$A$4:I$998,$F740,15)= 1, 1, 0)</f>
        <v>#NUM!</v>
      </c>
      <c r="T740" t="e">
        <f t="array" ref="T740">IF(--INDEX('Raw Data'!$A$4:I$998,$F740,15)= 1, 1, 0)</f>
        <v>#NUM!</v>
      </c>
      <c r="U740" t="e">
        <f t="array" ref="U740">IF(--INDEX('Raw Data'!$A$4:J$998,$F740,16)= 1, 1, 0)</f>
        <v>#NUM!</v>
      </c>
      <c r="V740" t="e">
        <f t="array" ref="V740">IF(--INDEX('Raw Data'!$A$4:K$998,$F740,17)= 1, 1, 0)</f>
        <v>#NUM!</v>
      </c>
      <c r="W740" t="e">
        <f t="array" ref="W740">INDEX('Raw Data'!$A:$O,$F740,19)</f>
        <v>#NUM!</v>
      </c>
      <c r="X740" t="e">
        <f t="array" ref="X740">INDEX('Raw Data'!$A:$O,$F740,20)</f>
        <v>#NUM!</v>
      </c>
      <c r="Y740" t="e">
        <f t="array" ref="Y740">INDEX('Raw Data'!$A:$O,F740,21)</f>
        <v>#NUM!</v>
      </c>
      <c r="Z740" t="e">
        <f t="array" ref="Z740">INDEX('Raw Data'!$A:$O,$F740,3)</f>
        <v>#NUM!</v>
      </c>
      <c r="AA740" t="e">
        <f t="array" ref="AA740">INDEX('Raw Data'!$A:$O,$F740,22)</f>
        <v>#NUM!</v>
      </c>
      <c r="AB740" t="e">
        <f t="array" ref="AB740">INDEX('Raw Data'!$A:$O,$F740,23)</f>
        <v>#NUM!</v>
      </c>
    </row>
    <row r="741" spans="1:44" x14ac:dyDescent="0.25">
      <c r="F741" t="e">
        <f t="array" ref="F741">SMALL(IF('Raw Data'!A:A=C731,ROW('Raw Data'!A:A)),ROW('Raw Data'!$10:$10))</f>
        <v>#NUM!</v>
      </c>
      <c r="G741" t="e">
        <f t="array" ref="G741">INDEX('Raw Data'!A:A,F741,9)</f>
        <v>#NUM!</v>
      </c>
      <c r="H741" t="e">
        <f t="array" ref="H741">INDEX('Raw Data'!A:A,F741,10)</f>
        <v>#NUM!</v>
      </c>
      <c r="I741" t="e">
        <f t="array" ref="I741">INDEX('Raw Data'!$A:A,$F741,11)</f>
        <v>#NUM!</v>
      </c>
      <c r="J741" t="e">
        <f t="array" ref="J741">INDEX('Raw Data'!$A:A,F741,12)</f>
        <v>#NUM!</v>
      </c>
      <c r="K741" t="e">
        <f t="array" ref="K741">(--INDEX('Raw Data'!$A$4:B$998,F741,4))</f>
        <v>#NUM!</v>
      </c>
      <c r="L741" t="e">
        <f t="array" ref="L741">(--INDEX('Raw Data'!$A$4:B$998,F741,5))</f>
        <v>#NUM!</v>
      </c>
      <c r="M741" t="e">
        <f t="array" ref="M741">(--INDEX('Raw Data'!$A$4:D$998,$F741,6))</f>
        <v>#NUM!</v>
      </c>
      <c r="N741" t="e">
        <f t="array" ref="N741">(--INDEX('Raw Data'!$A$4:D$998,$F741,7))</f>
        <v>#NUM!</v>
      </c>
      <c r="O741" t="e">
        <f t="array" ref="O741">IF(--INDEX('Raw Data'!$A$4:E$998,$F741,8)= 0, 1, 0)</f>
        <v>#NUM!</v>
      </c>
      <c r="P741" t="e">
        <f t="array" ref="P741">IF(--INDEX('Raw Data'!$A$4:F$998,$F741,8)= 1, 1, 0)</f>
        <v>#NUM!</v>
      </c>
      <c r="Q741" t="e">
        <f t="array" ref="Q741">IF(--INDEX('Raw Data'!$A$4:G$998,$F741,13)= 1, 1, 0)</f>
        <v>#NUM!</v>
      </c>
      <c r="R741" t="e">
        <f t="array" ref="R741">IF(--INDEX('Raw Data'!$A$4:H$998,$F741,14)= 1, 1, 0)</f>
        <v>#NUM!</v>
      </c>
      <c r="S741" t="e">
        <f t="array" ref="S741">IF(--INDEX('Raw Data'!$A$4:I$998,$F741,15)= 1, 1, 0)</f>
        <v>#NUM!</v>
      </c>
      <c r="T741" t="e">
        <f t="array" ref="T741">IF(--INDEX('Raw Data'!$A$4:I$998,$F741,15)= 1, 1, 0)</f>
        <v>#NUM!</v>
      </c>
      <c r="U741" t="e">
        <f t="array" ref="U741">IF(--INDEX('Raw Data'!$A$4:J$998,$F741,16)= 1, 1, 0)</f>
        <v>#NUM!</v>
      </c>
      <c r="V741" t="e">
        <f t="array" ref="V741">IF(--INDEX('Raw Data'!$A$4:K$998,$F741,17)= 1, 1, 0)</f>
        <v>#NUM!</v>
      </c>
      <c r="W741" t="e">
        <f t="array" ref="W741">INDEX('Raw Data'!$A:$O,$F741,19)</f>
        <v>#NUM!</v>
      </c>
      <c r="X741" t="e">
        <f t="array" ref="X741">INDEX('Raw Data'!$A:$O,$F741,20)</f>
        <v>#NUM!</v>
      </c>
      <c r="Y741" t="e">
        <f t="array" ref="Y741">INDEX('Raw Data'!$A:$O,F741,21)</f>
        <v>#NUM!</v>
      </c>
      <c r="Z741" t="e">
        <f t="array" ref="Z741">INDEX('Raw Data'!$A:$O,$F741,3)</f>
        <v>#NUM!</v>
      </c>
      <c r="AA741" t="e">
        <f t="array" ref="AA741">INDEX('Raw Data'!$A:$O,$F741,22)</f>
        <v>#NUM!</v>
      </c>
      <c r="AB741" t="e">
        <f t="array" ref="AB741">INDEX('Raw Data'!$A:$O,$F741,23)</f>
        <v>#NUM!</v>
      </c>
    </row>
    <row r="742" spans="1:44" x14ac:dyDescent="0.25">
      <c r="F742" t="e">
        <f t="array" ref="F742">SMALL(IF('Raw Data'!A:A=C731,ROW('Raw Data'!A:A)),ROW('Raw Data'!$11:$11))</f>
        <v>#NUM!</v>
      </c>
      <c r="G742" t="e">
        <f t="array" ref="G742">INDEX('Raw Data'!A:A,F742,9)</f>
        <v>#NUM!</v>
      </c>
      <c r="H742" t="e">
        <f t="array" ref="H742">INDEX('Raw Data'!A:A,F742,10)</f>
        <v>#NUM!</v>
      </c>
      <c r="I742" t="e">
        <f t="array" ref="I742">INDEX('Raw Data'!$A:A,$F742,11)</f>
        <v>#NUM!</v>
      </c>
      <c r="J742" t="e">
        <f t="array" ref="J742">INDEX('Raw Data'!$A:A,F742,12)</f>
        <v>#NUM!</v>
      </c>
      <c r="K742" t="e">
        <f t="array" ref="K742">(--INDEX('Raw Data'!$A$4:B$998,F742,4))</f>
        <v>#NUM!</v>
      </c>
      <c r="L742" t="e">
        <f t="array" ref="L742">(--INDEX('Raw Data'!$A$4:B$998,F742,5))</f>
        <v>#NUM!</v>
      </c>
      <c r="M742" t="e">
        <f t="array" ref="M742">(--INDEX('Raw Data'!$A$4:D$998,$F742,6))</f>
        <v>#NUM!</v>
      </c>
      <c r="N742" t="e">
        <f t="array" ref="N742">(--INDEX('Raw Data'!$A$4:D$998,$F742,7))</f>
        <v>#NUM!</v>
      </c>
      <c r="O742" t="e">
        <f t="array" ref="O742">IF(--INDEX('Raw Data'!$A$4:E$998,$F742,8)= 0, 1, 0)</f>
        <v>#NUM!</v>
      </c>
      <c r="P742" t="e">
        <f t="array" ref="P742">IF(--INDEX('Raw Data'!$A$4:F$998,$F742,8)= 1, 1, 0)</f>
        <v>#NUM!</v>
      </c>
      <c r="Q742" t="e">
        <f t="array" ref="Q742">IF(--INDEX('Raw Data'!$A$4:G$998,$F742,13)= 1, 1, 0)</f>
        <v>#NUM!</v>
      </c>
      <c r="R742" t="e">
        <f t="array" ref="R742">IF(--INDEX('Raw Data'!$A$4:H$998,$F742,14)= 1, 1, 0)</f>
        <v>#NUM!</v>
      </c>
      <c r="S742" t="e">
        <f t="array" ref="S742">IF(--INDEX('Raw Data'!$A$4:I$998,$F742,15)= 1, 1, 0)</f>
        <v>#NUM!</v>
      </c>
      <c r="T742" t="e">
        <f t="array" ref="T742">IF(--INDEX('Raw Data'!$A$4:I$998,$F742,15)= 1, 1, 0)</f>
        <v>#NUM!</v>
      </c>
      <c r="U742" t="e">
        <f t="array" ref="U742">IF(--INDEX('Raw Data'!$A$4:J$998,$F742,16)= 1, 1, 0)</f>
        <v>#NUM!</v>
      </c>
      <c r="V742" t="e">
        <f t="array" ref="V742">IF(--INDEX('Raw Data'!$A$4:K$998,$F742,17)= 1, 1, 0)</f>
        <v>#NUM!</v>
      </c>
      <c r="W742" t="e">
        <f t="array" ref="W742">INDEX('Raw Data'!$A:$O,$F742,19)</f>
        <v>#NUM!</v>
      </c>
      <c r="X742" t="e">
        <f t="array" ref="X742">INDEX('Raw Data'!$A:$O,$F742,20)</f>
        <v>#NUM!</v>
      </c>
      <c r="Y742" t="e">
        <f t="array" ref="Y742">INDEX('Raw Data'!$A:$O,F742,21)</f>
        <v>#NUM!</v>
      </c>
      <c r="Z742" t="e">
        <f t="array" ref="Z742">INDEX('Raw Data'!$A:$O,$F742,3)</f>
        <v>#NUM!</v>
      </c>
      <c r="AA742" t="e">
        <f t="array" ref="AA742">INDEX('Raw Data'!$A:$O,$F742,22)</f>
        <v>#NUM!</v>
      </c>
      <c r="AB742" t="e">
        <f t="array" ref="AB742">INDEX('Raw Data'!$A:$O,$F742,23)</f>
        <v>#NUM!</v>
      </c>
    </row>
    <row r="743" spans="1:44" x14ac:dyDescent="0.25">
      <c r="F743" t="e">
        <f t="array" ref="F743">SMALL(IF('Raw Data'!A:A=C731,ROW('Raw Data'!A:A)),ROW('Raw Data'!$12:$12))</f>
        <v>#NUM!</v>
      </c>
      <c r="G743" t="e">
        <f t="array" ref="G743">INDEX('Raw Data'!A:A,F743,9)</f>
        <v>#NUM!</v>
      </c>
      <c r="H743" t="e">
        <f t="array" ref="H743">INDEX('Raw Data'!A:A,F743,10)</f>
        <v>#NUM!</v>
      </c>
      <c r="I743" t="e">
        <f t="array" ref="I743">INDEX('Raw Data'!$A:A,$F743,11)</f>
        <v>#NUM!</v>
      </c>
      <c r="J743" t="e">
        <f t="array" ref="J743">INDEX('Raw Data'!$A:A,F743,12)</f>
        <v>#NUM!</v>
      </c>
      <c r="K743" t="e">
        <f t="array" ref="K743">(--INDEX('Raw Data'!$A$4:B$998,F743,4))</f>
        <v>#NUM!</v>
      </c>
      <c r="L743" t="e">
        <f t="array" ref="L743">(--INDEX('Raw Data'!$A$4:B$998,F743,5))</f>
        <v>#NUM!</v>
      </c>
      <c r="M743" t="e">
        <f t="array" ref="M743">(--INDEX('Raw Data'!$A$4:D$998,$F743,6))</f>
        <v>#NUM!</v>
      </c>
      <c r="N743" t="e">
        <f t="array" ref="N743">(--INDEX('Raw Data'!$A$4:D$998,$F743,7))</f>
        <v>#NUM!</v>
      </c>
      <c r="O743" t="e">
        <f t="array" ref="O743">IF(--INDEX('Raw Data'!$A$4:E$998,$F743,8)= 0, 1, 0)</f>
        <v>#NUM!</v>
      </c>
      <c r="P743" t="e">
        <f t="array" ref="P743">IF(--INDEX('Raw Data'!$A$4:F$998,$F743,8)= 1, 1, 0)</f>
        <v>#NUM!</v>
      </c>
      <c r="Q743" t="e">
        <f t="array" ref="Q743">IF(--INDEX('Raw Data'!$A$4:G$998,$F743,13)= 1, 1, 0)</f>
        <v>#NUM!</v>
      </c>
      <c r="R743" t="e">
        <f t="array" ref="R743">IF(--INDEX('Raw Data'!$A$4:H$998,$F743,14)= 1, 1, 0)</f>
        <v>#NUM!</v>
      </c>
      <c r="S743" t="e">
        <f t="array" ref="S743">IF(--INDEX('Raw Data'!$A$4:I$998,$F743,15)= 1, 1, 0)</f>
        <v>#NUM!</v>
      </c>
      <c r="T743" t="e">
        <f t="array" ref="T743">IF(--INDEX('Raw Data'!$A$4:I$998,$F743,15)= 1, 1, 0)</f>
        <v>#NUM!</v>
      </c>
      <c r="U743" t="e">
        <f t="array" ref="U743">IF(--INDEX('Raw Data'!$A$4:J$998,$F743,16)= 1, 1, 0)</f>
        <v>#NUM!</v>
      </c>
      <c r="V743" t="e">
        <f t="array" ref="V743">IF(--INDEX('Raw Data'!$A$4:K$998,$F743,17)= 1, 1, 0)</f>
        <v>#NUM!</v>
      </c>
      <c r="W743" t="e">
        <f t="array" ref="W743">INDEX('Raw Data'!$A:$O,$F743,19)</f>
        <v>#NUM!</v>
      </c>
      <c r="X743" t="e">
        <f t="array" ref="X743">INDEX('Raw Data'!$A:$O,$F743,20)</f>
        <v>#NUM!</v>
      </c>
      <c r="Y743" t="e">
        <f t="array" ref="Y743">INDEX('Raw Data'!$A:$O,F743,21)</f>
        <v>#NUM!</v>
      </c>
      <c r="Z743" t="e">
        <f t="array" ref="Z743">INDEX('Raw Data'!$A:$O,$F743,3)</f>
        <v>#NUM!</v>
      </c>
      <c r="AA743" t="e">
        <f t="array" ref="AA743">INDEX('Raw Data'!$A:$O,$F743,22)</f>
        <v>#NUM!</v>
      </c>
      <c r="AB743" t="e">
        <f t="array" ref="AB743">INDEX('Raw Data'!$A:$O,$F743,23)</f>
        <v>#NUM!</v>
      </c>
    </row>
    <row r="744" spans="1:44" x14ac:dyDescent="0.25">
      <c r="F744" t="e">
        <f t="array" ref="F744">SMALL(IF('Raw Data'!A:A=C731,ROW('Raw Data'!A:A)),ROW('Raw Data'!$13:$13))</f>
        <v>#NUM!</v>
      </c>
      <c r="G744" t="e">
        <f t="array" ref="G744">INDEX('Raw Data'!A:A,F744,9)</f>
        <v>#NUM!</v>
      </c>
      <c r="H744" t="e">
        <f t="array" ref="H744">INDEX('Raw Data'!A:A,F744,10)</f>
        <v>#NUM!</v>
      </c>
      <c r="I744" t="e">
        <f t="array" ref="I744">INDEX('Raw Data'!$A:A,$F744,11)</f>
        <v>#NUM!</v>
      </c>
      <c r="J744" t="e">
        <f t="array" ref="J744">INDEX('Raw Data'!$A:A,F744,12)</f>
        <v>#NUM!</v>
      </c>
      <c r="K744" t="e">
        <f t="array" ref="K744">(--INDEX('Raw Data'!$A$4:B$998,F744,4))</f>
        <v>#NUM!</v>
      </c>
      <c r="L744" t="e">
        <f t="array" ref="L744">(--INDEX('Raw Data'!$A$4:B$998,F744,5))</f>
        <v>#NUM!</v>
      </c>
      <c r="M744" t="e">
        <f t="array" ref="M744">(--INDEX('Raw Data'!$A$4:D$998,$F744,6))</f>
        <v>#NUM!</v>
      </c>
      <c r="N744" t="e">
        <f t="array" ref="N744">(--INDEX('Raw Data'!$A$4:D$998,$F744,7))</f>
        <v>#NUM!</v>
      </c>
      <c r="O744" t="e">
        <f t="array" ref="O744">IF(--INDEX('Raw Data'!$A$4:E$998,$F744,8)= 0, 1, 0)</f>
        <v>#NUM!</v>
      </c>
      <c r="P744" t="e">
        <f t="array" ref="P744">IF(--INDEX('Raw Data'!$A$4:F$998,$F744,8)= 1, 1, 0)</f>
        <v>#NUM!</v>
      </c>
      <c r="Q744" t="e">
        <f t="array" ref="Q744">IF(--INDEX('Raw Data'!$A$4:G$998,$F744,13)= 1, 1, 0)</f>
        <v>#NUM!</v>
      </c>
      <c r="R744" t="e">
        <f t="array" ref="R744">IF(--INDEX('Raw Data'!$A$4:H$998,$F744,14)= 1, 1, 0)</f>
        <v>#NUM!</v>
      </c>
      <c r="S744" t="e">
        <f t="array" ref="S744">IF(--INDEX('Raw Data'!$A$4:I$998,$F744,15)= 1, 1, 0)</f>
        <v>#NUM!</v>
      </c>
      <c r="T744" t="e">
        <f t="array" ref="T744">IF(--INDEX('Raw Data'!$A$4:I$998,$F744,15)= 1, 1, 0)</f>
        <v>#NUM!</v>
      </c>
      <c r="U744" t="e">
        <f t="array" ref="U744">IF(--INDEX('Raw Data'!$A$4:J$998,$F744,16)= 1, 1, 0)</f>
        <v>#NUM!</v>
      </c>
      <c r="V744" t="e">
        <f t="array" ref="V744">IF(--INDEX('Raw Data'!$A$4:K$998,$F744,17)= 1, 1, 0)</f>
        <v>#NUM!</v>
      </c>
      <c r="W744" t="e">
        <f t="array" ref="W744">INDEX('Raw Data'!$A:$O,$F744,19)</f>
        <v>#NUM!</v>
      </c>
      <c r="X744" t="e">
        <f t="array" ref="X744">INDEX('Raw Data'!$A:$O,$F744,20)</f>
        <v>#NUM!</v>
      </c>
      <c r="Y744" t="e">
        <f t="array" ref="Y744">INDEX('Raw Data'!$A:$O,F744,21)</f>
        <v>#NUM!</v>
      </c>
      <c r="Z744" t="e">
        <f t="array" ref="Z744">INDEX('Raw Data'!$A:$O,$F744,3)</f>
        <v>#NUM!</v>
      </c>
      <c r="AA744" t="e">
        <f t="array" ref="AA744">INDEX('Raw Data'!$A:$O,$F744,22)</f>
        <v>#NUM!</v>
      </c>
      <c r="AB744" t="e">
        <f t="array" ref="AB744">INDEX('Raw Data'!$A:$O,$F744,23)</f>
        <v>#NUM!</v>
      </c>
    </row>
    <row r="745" spans="1:44" x14ac:dyDescent="0.25">
      <c r="F745" t="e">
        <f t="array" ref="F745">SMALL(IF('Raw Data'!A:A=C731,ROW('Raw Data'!A:A)),ROW('Raw Data'!$14:$14))</f>
        <v>#NUM!</v>
      </c>
      <c r="G745" t="e">
        <f t="array" ref="G745">INDEX('Raw Data'!A:A,F745,9)</f>
        <v>#NUM!</v>
      </c>
      <c r="H745" t="e">
        <f t="array" ref="H745">INDEX('Raw Data'!A:A,F745,10)</f>
        <v>#NUM!</v>
      </c>
      <c r="I745" t="e">
        <f t="array" ref="I745">INDEX('Raw Data'!$A:A,$F745,11)</f>
        <v>#NUM!</v>
      </c>
      <c r="J745" t="e">
        <f t="array" ref="J745">INDEX('Raw Data'!$A:A,F745,12)</f>
        <v>#NUM!</v>
      </c>
      <c r="K745" t="e">
        <f t="array" ref="K745">(--INDEX('Raw Data'!$A$4:B$998,F745,4))</f>
        <v>#NUM!</v>
      </c>
      <c r="L745" t="e">
        <f t="array" ref="L745">(--INDEX('Raw Data'!$A$4:B$998,F745,5))</f>
        <v>#NUM!</v>
      </c>
      <c r="M745" t="e">
        <f t="array" ref="M745">(--INDEX('Raw Data'!$A$4:D$998,$F745,6))</f>
        <v>#NUM!</v>
      </c>
      <c r="N745" t="e">
        <f t="array" ref="N745">(--INDEX('Raw Data'!$A$4:D$998,$F745,7))</f>
        <v>#NUM!</v>
      </c>
      <c r="O745" t="e">
        <f t="array" ref="O745">IF(--INDEX('Raw Data'!$A$4:E$998,$F745,8)= 0, 1, 0)</f>
        <v>#NUM!</v>
      </c>
      <c r="P745" t="e">
        <f t="array" ref="P745">IF(--INDEX('Raw Data'!$A$4:F$998,$F745,8)= 1, 1, 0)</f>
        <v>#NUM!</v>
      </c>
      <c r="Q745" t="e">
        <f t="array" ref="Q745">IF(--INDEX('Raw Data'!$A$4:G$998,$F745,13)= 1, 1, 0)</f>
        <v>#NUM!</v>
      </c>
      <c r="R745" t="e">
        <f t="array" ref="R745">IF(--INDEX('Raw Data'!$A$4:H$998,$F745,14)= 1, 1, 0)</f>
        <v>#NUM!</v>
      </c>
      <c r="S745" t="e">
        <f t="array" ref="S745">IF(--INDEX('Raw Data'!$A$4:I$998,$F745,15)= 1, 1, 0)</f>
        <v>#NUM!</v>
      </c>
      <c r="T745" t="e">
        <f t="array" ref="T745">IF(--INDEX('Raw Data'!$A$4:I$998,$F745,15)= 1, 1, 0)</f>
        <v>#NUM!</v>
      </c>
      <c r="U745" t="e">
        <f t="array" ref="U745">IF(--INDEX('Raw Data'!$A$4:J$998,$F745,16)= 1, 1, 0)</f>
        <v>#NUM!</v>
      </c>
      <c r="V745" t="e">
        <f t="array" ref="V745">IF(--INDEX('Raw Data'!$A$4:K$998,$F745,17)= 1, 1, 0)</f>
        <v>#NUM!</v>
      </c>
      <c r="W745" t="e">
        <f t="array" ref="W745">INDEX('Raw Data'!$A:$O,$F745,19)</f>
        <v>#NUM!</v>
      </c>
      <c r="X745" t="e">
        <f t="array" ref="X745">INDEX('Raw Data'!$A:$O,$F745,20)</f>
        <v>#NUM!</v>
      </c>
      <c r="Y745" t="e">
        <f t="array" ref="Y745">INDEX('Raw Data'!$A:$O,F745,21)</f>
        <v>#NUM!</v>
      </c>
      <c r="Z745" t="e">
        <f t="array" ref="Z745">INDEX('Raw Data'!$A:$O,$F745,3)</f>
        <v>#NUM!</v>
      </c>
      <c r="AA745" t="e">
        <f t="array" ref="AA745">INDEX('Raw Data'!$A:$O,$F745,22)</f>
        <v>#NUM!</v>
      </c>
      <c r="AB745" t="e">
        <f t="array" ref="AB745">INDEX('Raw Data'!$A:$O,$F745,23)</f>
        <v>#NUM!</v>
      </c>
    </row>
    <row r="746" spans="1:44" x14ac:dyDescent="0.25">
      <c r="F746" t="e">
        <f t="array" ref="F746">SMALL(IF('Raw Data'!A:A=C731,ROW('Raw Data'!A:A)),ROW('Raw Data'!$15:$15))</f>
        <v>#NUM!</v>
      </c>
      <c r="G746" t="e">
        <f t="array" ref="G746">INDEX('Raw Data'!A:A,F746,9)</f>
        <v>#NUM!</v>
      </c>
      <c r="H746" t="e">
        <f t="array" ref="H746">INDEX('Raw Data'!A:A,F746,10)</f>
        <v>#NUM!</v>
      </c>
      <c r="I746" t="e">
        <f t="array" ref="I746">INDEX('Raw Data'!$A:A,$F746,11)</f>
        <v>#NUM!</v>
      </c>
      <c r="J746" t="e">
        <f t="array" ref="J746">INDEX('Raw Data'!$A:A,F746,12)</f>
        <v>#NUM!</v>
      </c>
      <c r="K746" t="e">
        <f t="array" ref="K746">(--INDEX('Raw Data'!$A$4:B$998,F746,4))</f>
        <v>#NUM!</v>
      </c>
      <c r="L746" t="e">
        <f t="array" ref="L746">(--INDEX('Raw Data'!$A$4:B$998,F746,5))</f>
        <v>#NUM!</v>
      </c>
      <c r="M746" t="e">
        <f t="array" ref="M746">(--INDEX('Raw Data'!$A$4:D$998,$F746,6))</f>
        <v>#NUM!</v>
      </c>
      <c r="N746" t="e">
        <f t="array" ref="N746">(--INDEX('Raw Data'!$A$4:D$998,$F746,7))</f>
        <v>#NUM!</v>
      </c>
      <c r="O746" t="e">
        <f t="array" ref="O746">IF(--INDEX('Raw Data'!$A$4:E$998,$F746,8)= 0, 1, 0)</f>
        <v>#NUM!</v>
      </c>
      <c r="P746" t="e">
        <f t="array" ref="P746">IF(--INDEX('Raw Data'!$A$4:F$998,$F746,8)= 1, 1, 0)</f>
        <v>#NUM!</v>
      </c>
      <c r="Q746" t="e">
        <f t="array" ref="Q746">IF(--INDEX('Raw Data'!$A$4:G$998,$F746,13)= 1, 1, 0)</f>
        <v>#NUM!</v>
      </c>
      <c r="R746" t="e">
        <f t="array" ref="R746">IF(--INDEX('Raw Data'!$A$4:H$998,$F746,14)= 1, 1, 0)</f>
        <v>#NUM!</v>
      </c>
      <c r="S746" t="e">
        <f t="array" ref="S746">IF(--INDEX('Raw Data'!$A$4:I$998,$F746,15)= 1, 1, 0)</f>
        <v>#NUM!</v>
      </c>
      <c r="T746" t="e">
        <f t="array" ref="T746">IF(--INDEX('Raw Data'!$A$4:I$998,$F746,15)= 1, 1, 0)</f>
        <v>#NUM!</v>
      </c>
      <c r="U746" t="e">
        <f t="array" ref="U746">IF(--INDEX('Raw Data'!$A$4:J$998,$F746,16)= 1, 1, 0)</f>
        <v>#NUM!</v>
      </c>
      <c r="V746" t="e">
        <f t="array" ref="V746">IF(--INDEX('Raw Data'!$A$4:K$998,$F746,17)= 1, 1, 0)</f>
        <v>#NUM!</v>
      </c>
      <c r="W746" t="e">
        <f t="array" ref="W746">INDEX('Raw Data'!$A:$O,$F746,19)</f>
        <v>#NUM!</v>
      </c>
      <c r="X746" t="e">
        <f t="array" ref="X746">INDEX('Raw Data'!$A:$O,$F746,20)</f>
        <v>#NUM!</v>
      </c>
      <c r="Y746" t="e">
        <f t="array" ref="Y746">INDEX('Raw Data'!$A:$O,F746,21)</f>
        <v>#NUM!</v>
      </c>
      <c r="Z746" t="e">
        <f t="array" ref="Z746">INDEX('Raw Data'!$A:$O,$F746,3)</f>
        <v>#NUM!</v>
      </c>
      <c r="AA746" t="e">
        <f t="array" ref="AA746">INDEX('Raw Data'!$A:$O,$F746,22)</f>
        <v>#NUM!</v>
      </c>
      <c r="AB746" t="e">
        <f t="array" ref="AB746">INDEX('Raw Data'!$A:$O,$F746,23)</f>
        <v>#NUM!</v>
      </c>
    </row>
    <row r="747" spans="1:44" x14ac:dyDescent="0.25">
      <c r="A747" t="s">
        <v>55</v>
      </c>
      <c r="C747" s="2" t="e">
        <f>B737/B736</f>
        <v>#DIV/0!</v>
      </c>
      <c r="F747">
        <f t="array" ref="F747">COUNTIF(F732:F746,"&gt;0")</f>
        <v>0</v>
      </c>
      <c r="G747">
        <f t="array" ref="G747">SUMIF(G732:G746,"&gt;0")</f>
        <v>0</v>
      </c>
      <c r="H747">
        <f t="array" ref="H747">SUMIF(H732:H746,"&gt;0")</f>
        <v>0</v>
      </c>
      <c r="I747">
        <f t="array" ref="I747">SUMIF(I732:I746,"&gt;0")</f>
        <v>0</v>
      </c>
      <c r="J747">
        <f t="array" ref="J747">SUMIF(J732:J746,"&gt;0")</f>
        <v>0</v>
      </c>
      <c r="K747">
        <f t="array" ref="K747">SUMIF(K732:K746,"&gt;0")</f>
        <v>0</v>
      </c>
      <c r="L747">
        <f t="array" ref="L747">SUMIF(L732:L746,"&gt;0")</f>
        <v>0</v>
      </c>
      <c r="M747">
        <f t="array" ref="M747">SUMIF(M732:M746,"&gt;0")</f>
        <v>0</v>
      </c>
      <c r="N747">
        <f t="array" ref="N747">SUMIF(N732:N746,"&gt;0")</f>
        <v>0</v>
      </c>
      <c r="O747">
        <f t="array" ref="O747">SUMIF(O732:O746,"&gt;0")</f>
        <v>0</v>
      </c>
      <c r="P747">
        <f t="array" ref="P747">SUMIF(P732:P746,"&gt;0")</f>
        <v>0</v>
      </c>
      <c r="Q747">
        <f t="array" ref="Q747">SUMIF(Q732:Q746,"&gt;0")</f>
        <v>0</v>
      </c>
      <c r="R747">
        <f t="array" ref="R747">SUMIF(R732:R746,"&gt;0")</f>
        <v>0</v>
      </c>
      <c r="S747">
        <f t="array" ref="S747">SUMIF(S732:S746,"&gt;0")</f>
        <v>0</v>
      </c>
      <c r="T747">
        <f t="array" ref="T747">SUMIF(T732:T746,"&gt;0")</f>
        <v>0</v>
      </c>
      <c r="U747">
        <f t="array" ref="U747">SUMIF(U732:U746,"&gt;0")</f>
        <v>0</v>
      </c>
      <c r="V747">
        <f t="array" ref="V747">SUMIF(V732:V746,"&gt;0")</f>
        <v>0</v>
      </c>
      <c r="W747">
        <f t="array" ref="W747">SUMIF(W732:W746,"&gt;0")</f>
        <v>0</v>
      </c>
      <c r="X747">
        <f t="array" ref="X747">SUMIF(X732:X746,"&gt;0")</f>
        <v>0</v>
      </c>
      <c r="Y747">
        <f t="array" ref="Y747">SUMIF(Y732:Y746,"&gt;0")</f>
        <v>0</v>
      </c>
      <c r="Z747">
        <f t="array" ref="Z747">SUMIF(Z732:Z746,"&gt;0")</f>
        <v>0</v>
      </c>
      <c r="AA747">
        <f t="array" ref="AA747">SUMIF(AA732:AA746,"&gt;0")</f>
        <v>0</v>
      </c>
      <c r="AB747">
        <f t="array" ref="AB747">SUMIF(AB732:AB746,"&gt;0")</f>
        <v>0</v>
      </c>
    </row>
    <row r="748" spans="1:44" x14ac:dyDescent="0.25">
      <c r="A748" t="s">
        <v>58</v>
      </c>
      <c r="C748" s="2">
        <f t="array" ref="C748">IF((K747+L747)&lt;&gt;0, (L747/(K747+L747)),0)</f>
        <v>0</v>
      </c>
      <c r="J748" s="6">
        <f t="array" ref="J748">J747*10</f>
        <v>0</v>
      </c>
      <c r="K748" s="6"/>
      <c r="P748" t="s">
        <v>95</v>
      </c>
      <c r="Q748" s="2" t="e">
        <f t="array" ref="Q748">Q747/$F747</f>
        <v>#DIV/0!</v>
      </c>
      <c r="R748" s="2" t="e">
        <f t="array" ref="R748">R747/$F747</f>
        <v>#DIV/0!</v>
      </c>
      <c r="S748" s="2" t="e">
        <f t="array" ref="S748">S747/$F747</f>
        <v>#DIV/0!</v>
      </c>
      <c r="T748" s="2" t="e">
        <f t="array" ref="T748">T747/$F747</f>
        <v>#DIV/0!</v>
      </c>
      <c r="U748" s="2" t="e">
        <f t="array" ref="U748">U747/$F747</f>
        <v>#DIV/0!</v>
      </c>
      <c r="V748" s="2" t="e">
        <f t="array" ref="V748">V747/$F747</f>
        <v>#DIV/0!</v>
      </c>
      <c r="W748" s="2" t="e">
        <f t="array" ref="W748">W747/$F747</f>
        <v>#DIV/0!</v>
      </c>
      <c r="X748" s="2" t="e">
        <f t="array" ref="X748">X747/$F747</f>
        <v>#DIV/0!</v>
      </c>
      <c r="Z748" s="2" t="e">
        <f t="array" ref="Z748">Z747/F747</f>
        <v>#DIV/0!</v>
      </c>
    </row>
    <row r="749" spans="1:44" x14ac:dyDescent="0.25">
      <c r="A749" t="s">
        <v>60</v>
      </c>
      <c r="C749" s="2">
        <f t="array" ref="C749">IF((M747+N747)&lt;&gt;0, (N747/(M747+N747)),0)</f>
        <v>0</v>
      </c>
      <c r="J749" s="6"/>
      <c r="K749" s="6"/>
      <c r="AR749" s="25"/>
    </row>
    <row r="750" spans="1:44" ht="28.5" x14ac:dyDescent="0.45">
      <c r="A750" t="s">
        <v>61</v>
      </c>
      <c r="C750" s="2">
        <f t="array" ref="C750">IF(((K747+N747+L747+M747)&lt;&gt;0), ((L747+N747)/(K747+N747+L747+M747)),0)</f>
        <v>0</v>
      </c>
      <c r="F750" s="17" t="s">
        <v>106</v>
      </c>
      <c r="G750" s="17" t="e">
        <f t="array" ref="G750">'Weighting &amp; Ranking Sheet'!$B$3*Math!$C748+'Weighting &amp; Ranking Sheet'!$B$4*Math!$C749+'Weighting &amp; Ranking Sheet'!$B$5*Math!$C750+'Weighting &amp; Ranking Sheet'!$B$6*Math!$C751+'Weighting &amp; Ranking Sheet'!$B$7*Math!$C735+'Weighting &amp; Ranking Sheet'!$B$8*Math!$C747+'Weighting &amp; Ranking Sheet'!$B$9*Math!$C754+'Weighting &amp; Ranking Sheet'!$B$10*Math!$C752+'Weighting &amp; Ranking Sheet'!$B$11*Math!$C753+'Weighting &amp; Ranking Sheet'!$B$12*Math!$C755*0.01+'Weighting &amp; Ranking Sheet'!$B$13*Math!$Q748+'Weighting &amp; Ranking Sheet'!$B$14*Math!$R748+'Weighting &amp; Ranking Sheet'!$B$15*Math!$S748+'Weighting &amp; Ranking Sheet'!$B$16*Math!$T748+'Weighting &amp; Ranking Sheet'!$B$17*Math!$U748+'Weighting &amp; Ranking Sheet'!$B$18*Math!$V748+'Weighting &amp; Ranking Sheet'!$B$2*Math!$Z748</f>
        <v>#DIV/0!</v>
      </c>
      <c r="J750"/>
      <c r="K750"/>
      <c r="AR750" s="25"/>
    </row>
    <row r="751" spans="1:44" x14ac:dyDescent="0.25">
      <c r="A751" t="s">
        <v>62</v>
      </c>
      <c r="C751" s="2">
        <f t="array" ref="C751">IF((O747+P747&lt;&gt;0),(P747/(O747+P747)), 0)</f>
        <v>0</v>
      </c>
      <c r="J751"/>
      <c r="K751"/>
      <c r="AR751" s="25"/>
    </row>
    <row r="752" spans="1:44" x14ac:dyDescent="0.25">
      <c r="A752" t="s">
        <v>77</v>
      </c>
      <c r="C752" s="8" t="e">
        <f t="array" ref="C752">W747/F747</f>
        <v>#DIV/0!</v>
      </c>
      <c r="J752"/>
      <c r="K752"/>
      <c r="AR752" s="23"/>
    </row>
    <row r="753" spans="1:44" x14ac:dyDescent="0.25">
      <c r="A753" t="s">
        <v>78</v>
      </c>
      <c r="C753" s="8" t="e">
        <f t="array" ref="C753">X747/F747</f>
        <v>#DIV/0!</v>
      </c>
      <c r="J753"/>
      <c r="K753"/>
    </row>
    <row r="754" spans="1:44" x14ac:dyDescent="0.25">
      <c r="A754" t="s">
        <v>91</v>
      </c>
      <c r="C754" s="2" t="e">
        <f t="array" ref="C754">(C735+C747)/2</f>
        <v>#DIV/0!</v>
      </c>
      <c r="J754"/>
      <c r="K754"/>
    </row>
    <row r="755" spans="1:44" x14ac:dyDescent="0.25">
      <c r="A755" t="s">
        <v>92</v>
      </c>
      <c r="C755" s="8" t="e">
        <f t="array" ref="C755">Y747/F747</f>
        <v>#DIV/0!</v>
      </c>
      <c r="J755"/>
      <c r="K755"/>
    </row>
    <row r="756" spans="1:44" x14ac:dyDescent="0.25">
      <c r="C756" s="8"/>
      <c r="J756"/>
      <c r="K756"/>
    </row>
    <row r="757" spans="1:44" x14ac:dyDescent="0.25">
      <c r="C757" s="8"/>
      <c r="J757" s="6"/>
      <c r="K757" s="6"/>
    </row>
    <row r="758" spans="1:44" x14ac:dyDescent="0.25">
      <c r="J758" s="6"/>
      <c r="K758" s="6"/>
    </row>
    <row r="759" spans="1:44" x14ac:dyDescent="0.25">
      <c r="A759" t="s">
        <v>3</v>
      </c>
      <c r="C759" s="5">
        <v>2590</v>
      </c>
      <c r="F759" t="s">
        <v>31</v>
      </c>
    </row>
    <row r="760" spans="1:44" x14ac:dyDescent="0.25">
      <c r="F760" t="e">
        <f t="array" ref="F760">SMALL(IF('Raw Data'!A:A=C759,ROW('Raw Data'!A:A)),ROW('Raw Data'!$1:$1))</f>
        <v>#NUM!</v>
      </c>
      <c r="G760" t="e">
        <f t="array" ref="G760">INDEX('Raw Data'!A:A,F760,9)</f>
        <v>#NUM!</v>
      </c>
      <c r="H760" t="e">
        <f t="array" ref="H760">INDEX('Raw Data'!A:A,F760,10)</f>
        <v>#NUM!</v>
      </c>
      <c r="I760" t="e">
        <f t="array" ref="I760">INDEX('Raw Data'!$A:A,$F760,11)</f>
        <v>#NUM!</v>
      </c>
      <c r="J760" t="e">
        <f t="array" ref="J760">INDEX('Raw Data'!$A:A,F760,12)</f>
        <v>#NUM!</v>
      </c>
      <c r="K760" t="e">
        <f>(--INDEX('Raw Data'!$A$4:B$993,F760,4))</f>
        <v>#NUM!</v>
      </c>
      <c r="L760" t="e">
        <f t="array" ref="L760">(--INDEX('Raw Data'!$A$4:B$993,F760,5))</f>
        <v>#NUM!</v>
      </c>
      <c r="M760" t="e">
        <f t="array" ref="M760">(--INDEX('Raw Data'!$A$4:D$993,$F760,6))</f>
        <v>#NUM!</v>
      </c>
      <c r="N760" t="e">
        <f t="array" ref="N760">(--INDEX('Raw Data'!$A$4:D$993,$F760,7))</f>
        <v>#NUM!</v>
      </c>
      <c r="O760" t="e">
        <f t="array" ref="O760">IF(--INDEX('Raw Data'!$A$4:E$993,$F760,8)= 0, 1, 0)</f>
        <v>#NUM!</v>
      </c>
      <c r="P760" t="e">
        <f t="array" ref="P760">IF(--INDEX('Raw Data'!$A$4:F$993,$F760,8)= 1, 1, 0)</f>
        <v>#NUM!</v>
      </c>
      <c r="Q760" t="e">
        <f t="array" ref="Q760">IF(--INDEX('Raw Data'!$A$4:G$993,$F760,13)= 1, 1, 0)</f>
        <v>#NUM!</v>
      </c>
      <c r="R760" t="e">
        <f t="array" ref="R760">IF(--INDEX('Raw Data'!$A$4:H$993,$F760,14)= 1, 1, 0)</f>
        <v>#NUM!</v>
      </c>
      <c r="S760" t="e">
        <f t="array" ref="S760">IF(--INDEX('Raw Data'!$A$4:I$993,$F760,15)= 1, 1, 0)</f>
        <v>#NUM!</v>
      </c>
      <c r="T760" t="e">
        <f t="array" ref="T760">IF(--INDEX('Raw Data'!$A$4:I$993,$F760,15)= 1, 1, 0)</f>
        <v>#NUM!</v>
      </c>
      <c r="U760" t="e">
        <f t="array" ref="U760">IF(--INDEX('Raw Data'!$A$4:J$993,$F760,16)= 1, 1, 0)</f>
        <v>#NUM!</v>
      </c>
      <c r="V760" t="e">
        <f t="array" ref="V760">IF(--INDEX('Raw Data'!$A$4:K$993,$F760,17)= 1, 1, 0)</f>
        <v>#NUM!</v>
      </c>
      <c r="W760" t="e">
        <f t="array" ref="W760">INDEX('Raw Data'!$A:$O,$F760,19)</f>
        <v>#NUM!</v>
      </c>
      <c r="X760" t="e">
        <f t="array" ref="X760">INDEX('Raw Data'!$A:$O,$F760,20)</f>
        <v>#NUM!</v>
      </c>
      <c r="Y760" t="e">
        <f t="array" ref="Y760">INDEX('Raw Data'!$A:$O,F760,21)</f>
        <v>#NUM!</v>
      </c>
      <c r="Z760" t="e">
        <f t="array" ref="Z760">INDEX('Raw Data'!$A:$O,$F760,3)</f>
        <v>#NUM!</v>
      </c>
      <c r="AA760" t="e">
        <f t="array" ref="AA760">INDEX('Raw Data'!$A:$O,$F760,22)</f>
        <v>#NUM!</v>
      </c>
      <c r="AB760" t="e">
        <f t="array" ref="AB760">INDEX('Raw Data'!$A:$O,$F760,23)</f>
        <v>#NUM!</v>
      </c>
    </row>
    <row r="761" spans="1:44" x14ac:dyDescent="0.25">
      <c r="A761" t="s">
        <v>0</v>
      </c>
      <c r="B761">
        <f>G775</f>
        <v>0</v>
      </c>
      <c r="F761" t="e">
        <f t="array" ref="F761">SMALL(IF('Raw Data'!A:A=C759,ROW('Raw Data'!A:A)),ROW('Raw Data'!$2:$2))</f>
        <v>#NUM!</v>
      </c>
      <c r="G761" t="e">
        <f t="array" ref="G761">INDEX('Raw Data'!A:A,F761,9)</f>
        <v>#NUM!</v>
      </c>
      <c r="H761" t="e">
        <f t="array" ref="H761">INDEX('Raw Data'!A:A,F761,10)</f>
        <v>#NUM!</v>
      </c>
      <c r="I761" t="e">
        <f t="array" ref="I761">INDEX('Raw Data'!$A:A,$F761,11)</f>
        <v>#NUM!</v>
      </c>
      <c r="J761" t="e">
        <f t="array" ref="J761">INDEX('Raw Data'!$A:A,F761,12)</f>
        <v>#NUM!</v>
      </c>
      <c r="K761" t="e">
        <f>(--INDEX('Raw Data'!$A$4:B$993,F761,4))</f>
        <v>#NUM!</v>
      </c>
      <c r="L761" t="e">
        <f t="array" ref="L761">(--INDEX('Raw Data'!$A$4:B$993,F761,5))</f>
        <v>#NUM!</v>
      </c>
      <c r="M761" t="e">
        <f t="array" ref="M761">(--INDEX('Raw Data'!$A$4:D$993,$F761,6))</f>
        <v>#NUM!</v>
      </c>
      <c r="N761" t="e">
        <f t="array" ref="N761">(--INDEX('Raw Data'!$A$4:D$993,$F761,7))</f>
        <v>#NUM!</v>
      </c>
      <c r="O761" t="e">
        <f t="array" ref="O761">IF(--INDEX('Raw Data'!$A$4:E$993,$F761,8)= 0, 1, 0)</f>
        <v>#NUM!</v>
      </c>
      <c r="P761" t="e">
        <f t="array" ref="P761">IF(--INDEX('Raw Data'!$A$4:F$993,$F761,8)= 1, 1, 0)</f>
        <v>#NUM!</v>
      </c>
      <c r="Q761" t="e">
        <f t="array" ref="Q761">IF(--INDEX('Raw Data'!$A$4:G$993,$F761,13)= 1, 1, 0)</f>
        <v>#NUM!</v>
      </c>
      <c r="R761" t="e">
        <f t="array" ref="R761">IF(--INDEX('Raw Data'!$A$4:H$993,$F761,14)= 1, 1, 0)</f>
        <v>#NUM!</v>
      </c>
      <c r="S761" t="e">
        <f t="array" ref="S761">IF(--INDEX('Raw Data'!$A$4:I$993,$F761,15)= 1, 1, 0)</f>
        <v>#NUM!</v>
      </c>
      <c r="T761" t="e">
        <f t="array" ref="T761">IF(--INDEX('Raw Data'!$A$4:I$993,$F761,15)= 1, 1, 0)</f>
        <v>#NUM!</v>
      </c>
      <c r="U761" t="e">
        <f t="array" ref="U761">IF(--INDEX('Raw Data'!$A$4:J$993,$F761,16)= 1, 1, 0)</f>
        <v>#NUM!</v>
      </c>
      <c r="V761" t="e">
        <f t="array" ref="V761">IF(--INDEX('Raw Data'!$A$4:K$993,$F761,17)= 1, 1, 0)</f>
        <v>#NUM!</v>
      </c>
      <c r="W761" t="e">
        <f t="array" ref="W761">INDEX('Raw Data'!$A:$O,$F761,19)</f>
        <v>#NUM!</v>
      </c>
      <c r="X761" t="e">
        <f t="array" ref="X761">INDEX('Raw Data'!$A:$O,$F761,20)</f>
        <v>#NUM!</v>
      </c>
      <c r="Y761" t="e">
        <f t="array" ref="Y761">INDEX('Raw Data'!$A:$O,F761,21)</f>
        <v>#NUM!</v>
      </c>
      <c r="Z761" t="e">
        <f t="array" ref="Z761">INDEX('Raw Data'!$A:$O,$F761,3)</f>
        <v>#NUM!</v>
      </c>
      <c r="AA761" t="e">
        <f t="array" ref="AA761">INDEX('Raw Data'!$A:$O,$F761,22)</f>
        <v>#NUM!</v>
      </c>
      <c r="AB761" t="e">
        <f t="array" ref="AB761">INDEX('Raw Data'!$A:$O,$F761,23)</f>
        <v>#NUM!</v>
      </c>
    </row>
    <row r="762" spans="1:44" x14ac:dyDescent="0.25">
      <c r="A762" t="s">
        <v>1</v>
      </c>
      <c r="B762">
        <f>H775</f>
        <v>0</v>
      </c>
      <c r="F762" t="e">
        <f t="array" ref="F762">SMALL(IF('Raw Data'!A:A=C759,ROW('Raw Data'!A:A)),ROW('Raw Data'!$3:$3))</f>
        <v>#NUM!</v>
      </c>
      <c r="G762" t="e">
        <f t="array" ref="G762">INDEX('Raw Data'!A:A,F762,9)</f>
        <v>#NUM!</v>
      </c>
      <c r="H762" t="e">
        <f t="array" ref="H762">INDEX('Raw Data'!A:A,F762,10)</f>
        <v>#NUM!</v>
      </c>
      <c r="I762" t="e">
        <f t="array" ref="I762">INDEX('Raw Data'!$A:A,$F762,11)</f>
        <v>#NUM!</v>
      </c>
      <c r="J762" t="e">
        <f t="array" ref="J762">INDEX('Raw Data'!$A:A,F762,12)</f>
        <v>#NUM!</v>
      </c>
      <c r="K762" t="e">
        <f>(--INDEX('Raw Data'!$A$4:B$993,F762,4))</f>
        <v>#NUM!</v>
      </c>
      <c r="L762" t="e">
        <f t="array" ref="L762">(--INDEX('Raw Data'!$A$4:B$993,F762,5))</f>
        <v>#NUM!</v>
      </c>
      <c r="M762" t="e">
        <f t="array" ref="M762">(--INDEX('Raw Data'!$A$4:D$993,$F762,6))</f>
        <v>#NUM!</v>
      </c>
      <c r="N762" t="e">
        <f t="array" ref="N762">(--INDEX('Raw Data'!$A$4:D$993,$F762,7))</f>
        <v>#NUM!</v>
      </c>
      <c r="O762" t="e">
        <f t="array" ref="O762">IF(--INDEX('Raw Data'!$A$4:E$993,$F762,8)= 0, 1, 0)</f>
        <v>#NUM!</v>
      </c>
      <c r="P762" t="e">
        <f t="array" ref="P762">IF(--INDEX('Raw Data'!$A$4:F$993,$F762,8)= 1, 1, 0)</f>
        <v>#NUM!</v>
      </c>
      <c r="Q762" t="e">
        <f t="array" ref="Q762">IF(--INDEX('Raw Data'!$A$4:G$993,$F762,13)= 1, 1, 0)</f>
        <v>#NUM!</v>
      </c>
      <c r="R762" t="e">
        <f t="array" ref="R762">IF(--INDEX('Raw Data'!$A$4:H$993,$F762,14)= 1, 1, 0)</f>
        <v>#NUM!</v>
      </c>
      <c r="S762" t="e">
        <f t="array" ref="S762">IF(--INDEX('Raw Data'!$A$4:I$993,$F762,15)= 1, 1, 0)</f>
        <v>#NUM!</v>
      </c>
      <c r="T762" t="e">
        <f t="array" ref="T762">IF(--INDEX('Raw Data'!$A$4:I$993,$F762,15)= 1, 1, 0)</f>
        <v>#NUM!</v>
      </c>
      <c r="U762" t="e">
        <f t="array" ref="U762">IF(--INDEX('Raw Data'!$A$4:J$993,$F762,16)= 1, 1, 0)</f>
        <v>#NUM!</v>
      </c>
      <c r="V762" t="e">
        <f t="array" ref="V762">IF(--INDEX('Raw Data'!$A$4:K$993,$F762,17)= 1, 1, 0)</f>
        <v>#NUM!</v>
      </c>
      <c r="W762" t="e">
        <f t="array" ref="W762">INDEX('Raw Data'!$A:$O,$F762,19)</f>
        <v>#NUM!</v>
      </c>
      <c r="X762" t="e">
        <f t="array" ref="X762">INDEX('Raw Data'!$A:$O,$F762,20)</f>
        <v>#NUM!</v>
      </c>
      <c r="Y762" t="e">
        <f t="array" ref="Y762">INDEX('Raw Data'!$A:$O,F762,21)</f>
        <v>#NUM!</v>
      </c>
      <c r="Z762" t="e">
        <f t="array" ref="Z762">INDEX('Raw Data'!$A:$O,$F762,3)</f>
        <v>#NUM!</v>
      </c>
      <c r="AA762" t="e">
        <f t="array" ref="AA762">INDEX('Raw Data'!$A:$O,$F762,22)</f>
        <v>#NUM!</v>
      </c>
      <c r="AB762" t="e">
        <f t="array" ref="AB762">INDEX('Raw Data'!$A:$O,$F762,23)</f>
        <v>#NUM!</v>
      </c>
    </row>
    <row r="763" spans="1:44" x14ac:dyDescent="0.25">
      <c r="A763" t="s">
        <v>2</v>
      </c>
      <c r="C763" s="3" t="e">
        <f>B762/B761</f>
        <v>#DIV/0!</v>
      </c>
      <c r="F763" t="e">
        <f t="array" ref="F763">SMALL(IF('Raw Data'!A:A=C759,ROW('Raw Data'!A:A)),ROW('Raw Data'!$4:$4))</f>
        <v>#NUM!</v>
      </c>
      <c r="G763" t="e">
        <f t="array" ref="G763">INDEX('Raw Data'!A:A,F763,9)</f>
        <v>#NUM!</v>
      </c>
      <c r="H763" t="e">
        <f t="array" ref="H763">INDEX('Raw Data'!A:A,F763,10)</f>
        <v>#NUM!</v>
      </c>
      <c r="I763" t="e">
        <f t="array" ref="I763">INDEX('Raw Data'!$A:A,$F763,11)</f>
        <v>#NUM!</v>
      </c>
      <c r="J763" t="e">
        <f t="array" ref="J763">INDEX('Raw Data'!$A:A,F763,12)</f>
        <v>#NUM!</v>
      </c>
      <c r="K763" t="e">
        <f>(--INDEX('Raw Data'!$A$4:B$993,F763,4))</f>
        <v>#NUM!</v>
      </c>
      <c r="L763" t="e">
        <f t="array" ref="L763">(--INDEX('Raw Data'!$A$4:B$993,F763,5))</f>
        <v>#NUM!</v>
      </c>
      <c r="M763" t="e">
        <f t="array" ref="M763">(--INDEX('Raw Data'!$A$4:D$993,$F763,6))</f>
        <v>#NUM!</v>
      </c>
      <c r="N763" t="e">
        <f t="array" ref="N763">(--INDEX('Raw Data'!$A$4:D$993,$F763,7))</f>
        <v>#NUM!</v>
      </c>
      <c r="O763" t="e">
        <f t="array" ref="O763">IF(--INDEX('Raw Data'!$A$4:E$993,$F763,8)= 0, 1, 0)</f>
        <v>#NUM!</v>
      </c>
      <c r="P763" t="e">
        <f t="array" ref="P763">IF(--INDEX('Raw Data'!$A$4:F$993,$F763,8)= 1, 1, 0)</f>
        <v>#NUM!</v>
      </c>
      <c r="Q763" t="e">
        <f t="array" ref="Q763">IF(--INDEX('Raw Data'!$A$4:G$993,$F763,13)= 1, 1, 0)</f>
        <v>#NUM!</v>
      </c>
      <c r="R763" t="e">
        <f t="array" ref="R763">IF(--INDEX('Raw Data'!$A$4:H$993,$F763,14)= 1, 1, 0)</f>
        <v>#NUM!</v>
      </c>
      <c r="S763" t="e">
        <f t="array" ref="S763">IF(--INDEX('Raw Data'!$A$4:I$993,$F763,15)= 1, 1, 0)</f>
        <v>#NUM!</v>
      </c>
      <c r="T763" t="e">
        <f t="array" ref="T763">IF(--INDEX('Raw Data'!$A$4:I$993,$F763,15)= 1, 1, 0)</f>
        <v>#NUM!</v>
      </c>
      <c r="U763" t="e">
        <f t="array" ref="U763">IF(--INDEX('Raw Data'!$A$4:J$993,$F763,16)= 1, 1, 0)</f>
        <v>#NUM!</v>
      </c>
      <c r="V763" t="e">
        <f t="array" ref="V763">IF(--INDEX('Raw Data'!$A$4:K$993,$F763,17)= 1, 1, 0)</f>
        <v>#NUM!</v>
      </c>
      <c r="W763" t="e">
        <f t="array" ref="W763">INDEX('Raw Data'!$A:$O,$F763,19)</f>
        <v>#NUM!</v>
      </c>
      <c r="X763" t="e">
        <f t="array" ref="X763">INDEX('Raw Data'!$A:$O,$F763,20)</f>
        <v>#NUM!</v>
      </c>
      <c r="Y763" t="e">
        <f t="array" ref="Y763">INDEX('Raw Data'!$A:$O,F763,21)</f>
        <v>#NUM!</v>
      </c>
      <c r="Z763" t="e">
        <f t="array" ref="Z763">INDEX('Raw Data'!$A:$O,$F763,3)</f>
        <v>#NUM!</v>
      </c>
      <c r="AA763" t="e">
        <f t="array" ref="AA763">INDEX('Raw Data'!$A:$O,$F763,22)</f>
        <v>#NUM!</v>
      </c>
      <c r="AB763" t="e">
        <f t="array" ref="AB763">INDEX('Raw Data'!$A:$O,$F763,23)</f>
        <v>#NUM!</v>
      </c>
    </row>
    <row r="764" spans="1:44" x14ac:dyDescent="0.25">
      <c r="A764" t="s">
        <v>54</v>
      </c>
      <c r="B764">
        <f>I775</f>
        <v>0</v>
      </c>
      <c r="F764" t="e">
        <f t="array" ref="F764">SMALL(IF('Raw Data'!A:A=C759,ROW('Raw Data'!A:A)),ROW('Raw Data'!$5:$5))</f>
        <v>#NUM!</v>
      </c>
      <c r="G764" t="e">
        <f t="array" ref="G764">INDEX('Raw Data'!A:A,F764,9)</f>
        <v>#NUM!</v>
      </c>
      <c r="H764" t="e">
        <f t="array" ref="H764">INDEX('Raw Data'!A:A,F764,10)</f>
        <v>#NUM!</v>
      </c>
      <c r="I764" t="e">
        <f t="array" ref="I764">INDEX('Raw Data'!$A:A,$F764,11)</f>
        <v>#NUM!</v>
      </c>
      <c r="J764" t="e">
        <f t="array" ref="J764">INDEX('Raw Data'!$A:A,F764,12)</f>
        <v>#NUM!</v>
      </c>
      <c r="K764" t="e">
        <f>(--INDEX('Raw Data'!$A$4:B$993,F764,4))</f>
        <v>#NUM!</v>
      </c>
      <c r="L764" t="e">
        <f t="array" ref="L764">(--INDEX('Raw Data'!$A$4:B$993,F764,5))</f>
        <v>#NUM!</v>
      </c>
      <c r="M764" t="e">
        <f t="array" ref="M764">(--INDEX('Raw Data'!$A$4:D$993,$F764,6))</f>
        <v>#NUM!</v>
      </c>
      <c r="N764" t="e">
        <f t="array" ref="N764">(--INDEX('Raw Data'!$A$4:D$993,$F764,7))</f>
        <v>#NUM!</v>
      </c>
      <c r="O764" t="e">
        <f t="array" ref="O764">IF(--INDEX('Raw Data'!$A$4:E$993,$F764,8)= 0, 1, 0)</f>
        <v>#NUM!</v>
      </c>
      <c r="P764" t="e">
        <f t="array" ref="P764">IF(--INDEX('Raw Data'!$A$4:F$993,$F764,8)= 1, 1, 0)</f>
        <v>#NUM!</v>
      </c>
      <c r="Q764" t="e">
        <f t="array" ref="Q764">IF(--INDEX('Raw Data'!$A$4:G$993,$F764,13)= 1, 1, 0)</f>
        <v>#NUM!</v>
      </c>
      <c r="R764" t="e">
        <f t="array" ref="R764">IF(--INDEX('Raw Data'!$A$4:H$993,$F764,14)= 1, 1, 0)</f>
        <v>#NUM!</v>
      </c>
      <c r="S764" t="e">
        <f t="array" ref="S764">IF(--INDEX('Raw Data'!$A$4:I$993,$F764,15)= 1, 1, 0)</f>
        <v>#NUM!</v>
      </c>
      <c r="T764" t="e">
        <f t="array" ref="T764">IF(--INDEX('Raw Data'!$A$4:I$993,$F764,15)= 1, 1, 0)</f>
        <v>#NUM!</v>
      </c>
      <c r="U764" t="e">
        <f t="array" ref="U764">IF(--INDEX('Raw Data'!$A$4:J$993,$F764,16)= 1, 1, 0)</f>
        <v>#NUM!</v>
      </c>
      <c r="V764" t="e">
        <f t="array" ref="V764">IF(--INDEX('Raw Data'!$A$4:K$993,$F764,17)= 1, 1, 0)</f>
        <v>#NUM!</v>
      </c>
      <c r="W764" t="e">
        <f t="array" ref="W764">INDEX('Raw Data'!$A:$O,$F764,19)</f>
        <v>#NUM!</v>
      </c>
      <c r="X764" t="e">
        <f t="array" ref="X764">INDEX('Raw Data'!$A:$O,$F764,20)</f>
        <v>#NUM!</v>
      </c>
      <c r="Y764" t="e">
        <f t="array" ref="Y764">INDEX('Raw Data'!$A:$O,F764,21)</f>
        <v>#NUM!</v>
      </c>
      <c r="Z764" t="e">
        <f t="array" ref="Z764">INDEX('Raw Data'!$A:$O,$F764,3)</f>
        <v>#NUM!</v>
      </c>
      <c r="AA764" t="e">
        <f t="array" ref="AA764">INDEX('Raw Data'!$A:$O,$F764,22)</f>
        <v>#NUM!</v>
      </c>
      <c r="AB764" t="e">
        <f t="array" ref="AB764">INDEX('Raw Data'!$A:$O,$F764,23)</f>
        <v>#NUM!</v>
      </c>
      <c r="AR764" s="25"/>
    </row>
    <row r="765" spans="1:44" x14ac:dyDescent="0.25">
      <c r="A765" t="s">
        <v>35</v>
      </c>
      <c r="B765">
        <f>J775</f>
        <v>0</v>
      </c>
      <c r="F765" t="e">
        <f t="array" ref="F765">SMALL(IF('Raw Data'!A:A=C759,ROW('Raw Data'!A:A)),ROW('Raw Data'!$6:$6))</f>
        <v>#NUM!</v>
      </c>
      <c r="G765" t="e">
        <f t="array" ref="G765">INDEX('Raw Data'!A:A,F765,9)</f>
        <v>#NUM!</v>
      </c>
      <c r="H765" t="e">
        <f t="array" ref="H765">INDEX('Raw Data'!A:A,F765,10)</f>
        <v>#NUM!</v>
      </c>
      <c r="I765" t="e">
        <f t="array" ref="I765">INDEX('Raw Data'!$A:A,$F765,11)</f>
        <v>#NUM!</v>
      </c>
      <c r="J765" t="e">
        <f t="array" ref="J765">INDEX('Raw Data'!$A:A,F765,12)</f>
        <v>#NUM!</v>
      </c>
      <c r="K765" t="e">
        <f>(--INDEX('Raw Data'!$A$4:B$993,F765,4))</f>
        <v>#NUM!</v>
      </c>
      <c r="L765" t="e">
        <f t="array" ref="L765">(--INDEX('Raw Data'!$A$4:B$998,F765,5))</f>
        <v>#NUM!</v>
      </c>
      <c r="M765" t="e">
        <f t="array" ref="M765">(--INDEX('Raw Data'!$A$4:D$998,$F765,6))</f>
        <v>#NUM!</v>
      </c>
      <c r="N765" t="e">
        <f t="array" ref="N765">(--INDEX('Raw Data'!$A$4:D$993,$F765,7))</f>
        <v>#NUM!</v>
      </c>
      <c r="O765" t="e">
        <f t="array" ref="O765">IF(--INDEX('Raw Data'!$A$4:E$993,$F765,8)= 0, 1, 0)</f>
        <v>#NUM!</v>
      </c>
      <c r="P765" t="e">
        <f t="array" ref="P765">IF(--INDEX('Raw Data'!$A$4:F$998,$F765,8)= 1, 1, 0)</f>
        <v>#NUM!</v>
      </c>
      <c r="Q765" t="e">
        <f t="array" ref="Q765">IF(--INDEX('Raw Data'!$A$4:G$998,$F765,13)= 1, 1, 0)</f>
        <v>#NUM!</v>
      </c>
      <c r="R765" t="e">
        <f t="array" ref="R765">IF(--INDEX('Raw Data'!$A$4:H$998,$F765,14)= 1, 1, 0)</f>
        <v>#NUM!</v>
      </c>
      <c r="S765" t="e">
        <f t="array" ref="S765">IF(--INDEX('Raw Data'!$A$4:I$993,$F765,15)= 1, 1, 0)</f>
        <v>#NUM!</v>
      </c>
      <c r="T765" t="e">
        <f t="array" ref="T765">IF(--INDEX('Raw Data'!$A$4:I$998,$F765,15)= 1, 1, 0)</f>
        <v>#NUM!</v>
      </c>
      <c r="U765" t="e">
        <f t="array" ref="U765">IF(--INDEX('Raw Data'!$A$4:J$998,$F765,16)= 1, 1, 0)</f>
        <v>#NUM!</v>
      </c>
      <c r="V765" t="e">
        <f t="array" ref="V765">IF(--INDEX('Raw Data'!$A$4:K$993,$F765,17)= 1, 1, 0)</f>
        <v>#NUM!</v>
      </c>
      <c r="W765" t="e">
        <f t="array" ref="W765">INDEX('Raw Data'!$A:$O,$F765,19)</f>
        <v>#NUM!</v>
      </c>
      <c r="X765" t="e">
        <f t="array" ref="X765">INDEX('Raw Data'!$A:$O,$F765,20)</f>
        <v>#NUM!</v>
      </c>
      <c r="Y765" t="e">
        <f t="array" ref="Y765">INDEX('Raw Data'!$A:$O,F765,21)</f>
        <v>#NUM!</v>
      </c>
      <c r="Z765" t="e">
        <f t="array" ref="Z765">INDEX('Raw Data'!$A:$O,$F765,3)</f>
        <v>#NUM!</v>
      </c>
      <c r="AA765" t="e">
        <f t="array" ref="AA765">INDEX('Raw Data'!$A:$O,$F765,22)</f>
        <v>#NUM!</v>
      </c>
      <c r="AB765" t="e">
        <f t="array" ref="AB765">INDEX('Raw Data'!$A:$O,$F765,23)</f>
        <v>#NUM!</v>
      </c>
      <c r="AR765" s="25"/>
    </row>
    <row r="766" spans="1:44" ht="28.5" x14ac:dyDescent="0.45">
      <c r="F766" t="e">
        <f t="array" ref="F766">SMALL(IF('Raw Data'!A:A=C759,ROW('Raw Data'!A:A)),ROW('Raw Data'!$7:$7))</f>
        <v>#NUM!</v>
      </c>
      <c r="G766" t="e">
        <f t="array" ref="G766">INDEX('Raw Data'!A:A,F766,9)</f>
        <v>#NUM!</v>
      </c>
      <c r="H766" t="e">
        <f t="array" ref="H766">INDEX('Raw Data'!A:A,F766,10)</f>
        <v>#NUM!</v>
      </c>
      <c r="I766" t="e">
        <f t="array" ref="I766">INDEX('Raw Data'!$A:A,$F766,11)</f>
        <v>#NUM!</v>
      </c>
      <c r="J766" t="e">
        <f t="array" ref="J766">INDEX('Raw Data'!$A:A,F766,12)</f>
        <v>#NUM!</v>
      </c>
      <c r="K766" t="e">
        <f t="array" ref="K766">(--INDEX('Raw Data'!$A$4:B$998,F766,4))</f>
        <v>#NUM!</v>
      </c>
      <c r="L766" t="e">
        <f t="array" ref="L766">(--INDEX('Raw Data'!$A$4:B$998,F766,5))</f>
        <v>#NUM!</v>
      </c>
      <c r="M766" t="e">
        <f t="array" ref="M766">(--INDEX('Raw Data'!$A$4:D$998,$F766,6))</f>
        <v>#NUM!</v>
      </c>
      <c r="N766" t="e">
        <f t="array" ref="N766">(--INDEX('Raw Data'!$A$4:D$998,$F766,7))</f>
        <v>#NUM!</v>
      </c>
      <c r="O766" t="e">
        <f t="array" ref="O766">IF(--INDEX('Raw Data'!$A$4:E$998,$F766,8)= 0, 1, 0)</f>
        <v>#NUM!</v>
      </c>
      <c r="P766" t="e">
        <f t="array" ref="P766">IF(--INDEX('Raw Data'!$A$4:F$998,$F766,8)= 1, 1, 0)</f>
        <v>#NUM!</v>
      </c>
      <c r="Q766" t="e">
        <f t="array" ref="Q766">IF(--INDEX('Raw Data'!$A$4:G$998,$F766,13)= 1, 1, 0)</f>
        <v>#NUM!</v>
      </c>
      <c r="R766" t="e">
        <f t="array" ref="R766">IF(--INDEX('Raw Data'!$A$4:H$998,$F766,14)= 1, 1, 0)</f>
        <v>#NUM!</v>
      </c>
      <c r="S766" t="e">
        <f t="array" ref="S766">IF(--INDEX('Raw Data'!$A$4:I$998,$F766,15)= 1, 1, 0)</f>
        <v>#NUM!</v>
      </c>
      <c r="T766" t="e">
        <f t="array" ref="T766">IF(--INDEX('Raw Data'!$A$4:I$998,$F766,15)= 1, 1, 0)</f>
        <v>#NUM!</v>
      </c>
      <c r="U766" t="e">
        <f t="array" ref="U766">IF(--INDEX('Raw Data'!$A$4:J$998,$F766,16)= 1, 1, 0)</f>
        <v>#NUM!</v>
      </c>
      <c r="V766" t="e">
        <f t="array" ref="V766">IF(--INDEX('Raw Data'!$A$4:K$998,$F766,17)= 1, 1, 0)</f>
        <v>#NUM!</v>
      </c>
      <c r="W766" t="e">
        <f t="array" ref="W766">INDEX('Raw Data'!$A:$O,$F766,19)</f>
        <v>#NUM!</v>
      </c>
      <c r="X766" t="e">
        <f t="array" ref="X766">INDEX('Raw Data'!$A:$O,$F766,20)</f>
        <v>#NUM!</v>
      </c>
      <c r="Y766" t="e">
        <f t="array" ref="Y766">INDEX('Raw Data'!$A:$O,F766,21)</f>
        <v>#NUM!</v>
      </c>
      <c r="Z766" t="e">
        <f t="array" ref="Z766">INDEX('Raw Data'!$A:$O,$F766,3)</f>
        <v>#NUM!</v>
      </c>
      <c r="AA766" t="e">
        <f t="array" ref="AA766">INDEX('Raw Data'!$A:$O,$F766,22)</f>
        <v>#NUM!</v>
      </c>
      <c r="AB766" t="e">
        <f t="array" ref="AB766">INDEX('Raw Data'!$A:$O,$F766,23)</f>
        <v>#NUM!</v>
      </c>
      <c r="AM766" s="21"/>
    </row>
    <row r="767" spans="1:44" x14ac:dyDescent="0.25">
      <c r="F767" t="e">
        <f t="array" ref="F767">SMALL(IF('Raw Data'!A:A=C759,ROW('Raw Data'!A:A)),ROW('Raw Data'!$8:$8))</f>
        <v>#NUM!</v>
      </c>
      <c r="G767" t="e">
        <f t="array" ref="G767">INDEX('Raw Data'!A:A,F767,9)</f>
        <v>#NUM!</v>
      </c>
      <c r="H767" t="e">
        <f t="array" ref="H767">INDEX('Raw Data'!A:A,F767,10)</f>
        <v>#NUM!</v>
      </c>
      <c r="I767" t="e">
        <f t="array" ref="I767">INDEX('Raw Data'!$A:A,$F767,11)</f>
        <v>#NUM!</v>
      </c>
      <c r="J767" t="e">
        <f t="array" ref="J767">INDEX('Raw Data'!$A:A,F767,12)</f>
        <v>#NUM!</v>
      </c>
      <c r="K767" t="e">
        <f t="array" ref="K767">(--INDEX('Raw Data'!$A$4:B$998,F767,4))</f>
        <v>#NUM!</v>
      </c>
      <c r="L767" t="e">
        <f t="array" ref="L767">(--INDEX('Raw Data'!$A$4:B$998,F767,5))</f>
        <v>#NUM!</v>
      </c>
      <c r="M767" t="e">
        <f t="array" ref="M767">(--INDEX('Raw Data'!$A$4:D$998,$F767,6))</f>
        <v>#NUM!</v>
      </c>
      <c r="N767" t="e">
        <f t="array" ref="N767">(--INDEX('Raw Data'!$A$4:D$998,$F767,7))</f>
        <v>#NUM!</v>
      </c>
      <c r="O767" t="e">
        <f t="array" ref="O767">IF(--INDEX('Raw Data'!$A$4:E$998,$F767,8)= 0, 1, 0)</f>
        <v>#NUM!</v>
      </c>
      <c r="P767" t="e">
        <f t="array" ref="P767">IF(--INDEX('Raw Data'!$A$4:F$998,$F767,8)= 1, 1, 0)</f>
        <v>#NUM!</v>
      </c>
      <c r="Q767" t="e">
        <f t="array" ref="Q767">IF(--INDEX('Raw Data'!$A$4:G$998,$F767,13)= 1, 1, 0)</f>
        <v>#NUM!</v>
      </c>
      <c r="R767" t="e">
        <f t="array" ref="R767">IF(--INDEX('Raw Data'!$A$4:H$998,$F767,14)= 1, 1, 0)</f>
        <v>#NUM!</v>
      </c>
      <c r="S767" t="e">
        <f t="array" ref="S767">IF(--INDEX('Raw Data'!$A$4:I$998,$F767,15)= 1, 1, 0)</f>
        <v>#NUM!</v>
      </c>
      <c r="T767" t="e">
        <f t="array" ref="T767">IF(--INDEX('Raw Data'!$A$4:I$998,$F767,15)= 1, 1, 0)</f>
        <v>#NUM!</v>
      </c>
      <c r="U767" t="e">
        <f t="array" ref="U767">IF(--INDEX('Raw Data'!$A$4:J$998,$F767,16)= 1, 1, 0)</f>
        <v>#NUM!</v>
      </c>
      <c r="V767" t="e">
        <f t="array" ref="V767">IF(--INDEX('Raw Data'!$A$4:K$998,$F767,17)= 1, 1, 0)</f>
        <v>#NUM!</v>
      </c>
      <c r="W767" t="e">
        <f t="array" ref="W767">INDEX('Raw Data'!$A:$O,$F767,19)</f>
        <v>#NUM!</v>
      </c>
      <c r="X767" t="e">
        <f t="array" ref="X767">INDEX('Raw Data'!$A:$O,$F767,20)</f>
        <v>#NUM!</v>
      </c>
      <c r="Y767" t="e">
        <f t="array" ref="Y767">INDEX('Raw Data'!$A:$O,F767,21)</f>
        <v>#NUM!</v>
      </c>
      <c r="Z767" t="e">
        <f t="array" ref="Z767">INDEX('Raw Data'!$A:$O,$F767,3)</f>
        <v>#NUM!</v>
      </c>
      <c r="AA767" t="e">
        <f t="array" ref="AA767">INDEX('Raw Data'!$A:$O,$F767,22)</f>
        <v>#NUM!</v>
      </c>
      <c r="AB767" t="e">
        <f t="array" ref="AB767">INDEX('Raw Data'!$A:$O,$F767,23)</f>
        <v>#NUM!</v>
      </c>
    </row>
    <row r="768" spans="1:44" x14ac:dyDescent="0.25">
      <c r="F768" t="e">
        <f t="array" ref="F768">SMALL(IF('Raw Data'!A:A=C759,ROW('Raw Data'!A:A)),ROW('Raw Data'!$9:$9))</f>
        <v>#NUM!</v>
      </c>
      <c r="G768" t="e">
        <f t="array" ref="G768">INDEX('Raw Data'!A:A,F768,9)</f>
        <v>#NUM!</v>
      </c>
      <c r="H768" t="e">
        <f t="array" ref="H768">INDEX('Raw Data'!A:A,F768,10)</f>
        <v>#NUM!</v>
      </c>
      <c r="I768" t="e">
        <f t="array" ref="I768">INDEX('Raw Data'!$A:A,$F768,11)</f>
        <v>#NUM!</v>
      </c>
      <c r="J768" t="e">
        <f t="array" ref="J768">INDEX('Raw Data'!$A:A,F768,12)</f>
        <v>#NUM!</v>
      </c>
      <c r="K768" t="e">
        <f t="array" ref="K768">(--INDEX('Raw Data'!$A$4:B$998,F768,4))</f>
        <v>#NUM!</v>
      </c>
      <c r="L768" t="e">
        <f t="array" ref="L768">(--INDEX('Raw Data'!$A$4:B$998,F768,5))</f>
        <v>#NUM!</v>
      </c>
      <c r="M768" t="e">
        <f t="array" ref="M768">(--INDEX('Raw Data'!$A$4:D$998,$F768,6))</f>
        <v>#NUM!</v>
      </c>
      <c r="N768" t="e">
        <f t="array" ref="N768">(--INDEX('Raw Data'!$A$4:D$998,$F768,7))</f>
        <v>#NUM!</v>
      </c>
      <c r="O768" t="e">
        <f t="array" ref="O768">IF(--INDEX('Raw Data'!$A$4:E$998,$F768,8)= 0, 1, 0)</f>
        <v>#NUM!</v>
      </c>
      <c r="P768" t="e">
        <f t="array" ref="P768">IF(--INDEX('Raw Data'!$A$4:F$998,$F768,8)= 1, 1, 0)</f>
        <v>#NUM!</v>
      </c>
      <c r="Q768" t="e">
        <f t="array" ref="Q768">IF(--INDEX('Raw Data'!$A$4:G$998,$F768,13)= 1, 1, 0)</f>
        <v>#NUM!</v>
      </c>
      <c r="R768" t="e">
        <f t="array" ref="R768">IF(--INDEX('Raw Data'!$A$4:H$998,$F768,14)= 1, 1, 0)</f>
        <v>#NUM!</v>
      </c>
      <c r="S768" t="e">
        <f t="array" ref="S768">IF(--INDEX('Raw Data'!$A$4:I$998,$F768,15)= 1, 1, 0)</f>
        <v>#NUM!</v>
      </c>
      <c r="T768" t="e">
        <f t="array" ref="T768">IF(--INDEX('Raw Data'!$A$4:I$998,$F768,15)= 1, 1, 0)</f>
        <v>#NUM!</v>
      </c>
      <c r="U768" t="e">
        <f t="array" ref="U768">IF(--INDEX('Raw Data'!$A$4:J$998,$F768,16)= 1, 1, 0)</f>
        <v>#NUM!</v>
      </c>
      <c r="V768" t="e">
        <f t="array" ref="V768">IF(--INDEX('Raw Data'!$A$4:K$998,$F768,17)= 1, 1, 0)</f>
        <v>#NUM!</v>
      </c>
      <c r="W768" t="e">
        <f t="array" ref="W768">INDEX('Raw Data'!$A:$O,$F768,19)</f>
        <v>#NUM!</v>
      </c>
      <c r="X768" t="e">
        <f t="array" ref="X768">INDEX('Raw Data'!$A:$O,$F768,20)</f>
        <v>#NUM!</v>
      </c>
      <c r="Y768" t="e">
        <f t="array" ref="Y768">INDEX('Raw Data'!$A:$O,F768,21)</f>
        <v>#NUM!</v>
      </c>
      <c r="Z768" t="e">
        <f t="array" ref="Z768">INDEX('Raw Data'!$A:$O,$F768,3)</f>
        <v>#NUM!</v>
      </c>
      <c r="AA768" t="e">
        <f t="array" ref="AA768">INDEX('Raw Data'!$A:$O,$F768,22)</f>
        <v>#NUM!</v>
      </c>
      <c r="AB768" t="e">
        <f t="array" ref="AB768">INDEX('Raw Data'!$A:$O,$F768,23)</f>
        <v>#NUM!</v>
      </c>
    </row>
    <row r="769" spans="1:44" x14ac:dyDescent="0.25">
      <c r="F769" t="e">
        <f t="array" ref="F769">SMALL(IF('Raw Data'!A:A=C759,ROW('Raw Data'!A:A)),ROW('Raw Data'!$10:$10))</f>
        <v>#NUM!</v>
      </c>
      <c r="G769" t="e">
        <f t="array" ref="G769">INDEX('Raw Data'!A:A,F769,9)</f>
        <v>#NUM!</v>
      </c>
      <c r="H769" t="e">
        <f t="array" ref="H769">INDEX('Raw Data'!A:A,F769,10)</f>
        <v>#NUM!</v>
      </c>
      <c r="I769" t="e">
        <f t="array" ref="I769">INDEX('Raw Data'!$A:A,$F769,11)</f>
        <v>#NUM!</v>
      </c>
      <c r="J769" t="e">
        <f t="array" ref="J769">INDEX('Raw Data'!$A:A,F769,12)</f>
        <v>#NUM!</v>
      </c>
      <c r="K769" t="e">
        <f t="array" ref="K769">(--INDEX('Raw Data'!$A$4:B$998,F769,4))</f>
        <v>#NUM!</v>
      </c>
      <c r="L769" t="e">
        <f t="array" ref="L769">(--INDEX('Raw Data'!$A$4:B$998,F769,5))</f>
        <v>#NUM!</v>
      </c>
      <c r="M769" t="e">
        <f t="array" ref="M769">(--INDEX('Raw Data'!$A$4:D$998,$F769,6))</f>
        <v>#NUM!</v>
      </c>
      <c r="N769" t="e">
        <f t="array" ref="N769">(--INDEX('Raw Data'!$A$4:D$998,$F769,7))</f>
        <v>#NUM!</v>
      </c>
      <c r="O769" t="e">
        <f t="array" ref="O769">IF(--INDEX('Raw Data'!$A$4:E$998,$F769,8)= 0, 1, 0)</f>
        <v>#NUM!</v>
      </c>
      <c r="P769" t="e">
        <f t="array" ref="P769">IF(--INDEX('Raw Data'!$A$4:F$998,$F769,8)= 1, 1, 0)</f>
        <v>#NUM!</v>
      </c>
      <c r="Q769" t="e">
        <f t="array" ref="Q769">IF(--INDEX('Raw Data'!$A$4:G$998,$F769,13)= 1, 1, 0)</f>
        <v>#NUM!</v>
      </c>
      <c r="R769" t="e">
        <f t="array" ref="R769">IF(--INDEX('Raw Data'!$A$4:H$998,$F769,14)= 1, 1, 0)</f>
        <v>#NUM!</v>
      </c>
      <c r="S769" t="e">
        <f t="array" ref="S769">IF(--INDEX('Raw Data'!$A$4:I$998,$F769,15)= 1, 1, 0)</f>
        <v>#NUM!</v>
      </c>
      <c r="T769" t="e">
        <f t="array" ref="T769">IF(--INDEX('Raw Data'!$A$4:I$998,$F769,15)= 1, 1, 0)</f>
        <v>#NUM!</v>
      </c>
      <c r="U769" t="e">
        <f t="array" ref="U769">IF(--INDEX('Raw Data'!$A$4:J$998,$F769,16)= 1, 1, 0)</f>
        <v>#NUM!</v>
      </c>
      <c r="V769" t="e">
        <f t="array" ref="V769">IF(--INDEX('Raw Data'!$A$4:K$998,$F769,17)= 1, 1, 0)</f>
        <v>#NUM!</v>
      </c>
      <c r="W769" t="e">
        <f t="array" ref="W769">INDEX('Raw Data'!$A:$O,$F769,19)</f>
        <v>#NUM!</v>
      </c>
      <c r="X769" t="e">
        <f t="array" ref="X769">INDEX('Raw Data'!$A:$O,$F769,20)</f>
        <v>#NUM!</v>
      </c>
      <c r="Y769" t="e">
        <f t="array" ref="Y769">INDEX('Raw Data'!$A:$O,F769,21)</f>
        <v>#NUM!</v>
      </c>
      <c r="Z769" t="e">
        <f t="array" ref="Z769">INDEX('Raw Data'!$A:$O,$F769,3)</f>
        <v>#NUM!</v>
      </c>
      <c r="AA769" t="e">
        <f t="array" ref="AA769">INDEX('Raw Data'!$A:$O,$F769,22)</f>
        <v>#NUM!</v>
      </c>
      <c r="AB769" t="e">
        <f t="array" ref="AB769">INDEX('Raw Data'!$A:$O,$F769,23)</f>
        <v>#NUM!</v>
      </c>
    </row>
    <row r="770" spans="1:44" x14ac:dyDescent="0.25">
      <c r="F770" t="e">
        <f t="array" ref="F770">SMALL(IF('Raw Data'!A:A=C759,ROW('Raw Data'!A:A)),ROW('Raw Data'!$11:$11))</f>
        <v>#NUM!</v>
      </c>
      <c r="G770" t="e">
        <f t="array" ref="G770">INDEX('Raw Data'!A:A,F770,9)</f>
        <v>#NUM!</v>
      </c>
      <c r="H770" t="e">
        <f t="array" ref="H770">INDEX('Raw Data'!A:A,F770,10)</f>
        <v>#NUM!</v>
      </c>
      <c r="I770" t="e">
        <f t="array" ref="I770">INDEX('Raw Data'!$A:A,$F770,11)</f>
        <v>#NUM!</v>
      </c>
      <c r="J770" t="e">
        <f t="array" ref="J770">INDEX('Raw Data'!$A:A,F770,12)</f>
        <v>#NUM!</v>
      </c>
      <c r="K770" t="e">
        <f t="array" ref="K770">(--INDEX('Raw Data'!$A$4:B$998,F770,4))</f>
        <v>#NUM!</v>
      </c>
      <c r="L770" t="e">
        <f t="array" ref="L770">(--INDEX('Raw Data'!$A$4:B$998,F770,5))</f>
        <v>#NUM!</v>
      </c>
      <c r="M770" t="e">
        <f t="array" ref="M770">(--INDEX('Raw Data'!$A$4:D$998,$F770,6))</f>
        <v>#NUM!</v>
      </c>
      <c r="N770" t="e">
        <f t="array" ref="N770">(--INDEX('Raw Data'!$A$4:D$998,$F770,7))</f>
        <v>#NUM!</v>
      </c>
      <c r="O770" t="e">
        <f t="array" ref="O770">IF(--INDEX('Raw Data'!$A$4:E$998,$F770,8)= 0, 1, 0)</f>
        <v>#NUM!</v>
      </c>
      <c r="P770" t="e">
        <f t="array" ref="P770">IF(--INDEX('Raw Data'!$A$4:F$998,$F770,8)= 1, 1, 0)</f>
        <v>#NUM!</v>
      </c>
      <c r="Q770" t="e">
        <f t="array" ref="Q770">IF(--INDEX('Raw Data'!$A$4:G$998,$F770,13)= 1, 1, 0)</f>
        <v>#NUM!</v>
      </c>
      <c r="R770" t="e">
        <f t="array" ref="R770">IF(--INDEX('Raw Data'!$A$4:H$998,$F770,14)= 1, 1, 0)</f>
        <v>#NUM!</v>
      </c>
      <c r="S770" t="e">
        <f t="array" ref="S770">IF(--INDEX('Raw Data'!$A$4:I$998,$F770,15)= 1, 1, 0)</f>
        <v>#NUM!</v>
      </c>
      <c r="T770" t="e">
        <f t="array" ref="T770">IF(--INDEX('Raw Data'!$A$4:I$998,$F770,15)= 1, 1, 0)</f>
        <v>#NUM!</v>
      </c>
      <c r="U770" t="e">
        <f t="array" ref="U770">IF(--INDEX('Raw Data'!$A$4:J$998,$F770,16)= 1, 1, 0)</f>
        <v>#NUM!</v>
      </c>
      <c r="V770" t="e">
        <f t="array" ref="V770">IF(--INDEX('Raw Data'!$A$4:K$998,$F770,17)= 1, 1, 0)</f>
        <v>#NUM!</v>
      </c>
      <c r="W770" t="e">
        <f t="array" ref="W770">INDEX('Raw Data'!$A:$O,$F770,19)</f>
        <v>#NUM!</v>
      </c>
      <c r="X770" t="e">
        <f t="array" ref="X770">INDEX('Raw Data'!$A:$O,$F770,20)</f>
        <v>#NUM!</v>
      </c>
      <c r="Y770" t="e">
        <f t="array" ref="Y770">INDEX('Raw Data'!$A:$O,F770,21)</f>
        <v>#NUM!</v>
      </c>
      <c r="Z770" t="e">
        <f t="array" ref="Z770">INDEX('Raw Data'!$A:$O,$F770,3)</f>
        <v>#NUM!</v>
      </c>
      <c r="AA770" t="e">
        <f t="array" ref="AA770">INDEX('Raw Data'!$A:$O,$F770,22)</f>
        <v>#NUM!</v>
      </c>
      <c r="AB770" t="e">
        <f t="array" ref="AB770">INDEX('Raw Data'!$A:$O,$F770,23)</f>
        <v>#NUM!</v>
      </c>
    </row>
    <row r="771" spans="1:44" x14ac:dyDescent="0.25">
      <c r="F771" t="e">
        <f t="array" ref="F771">SMALL(IF('Raw Data'!A:A=C759,ROW('Raw Data'!A:A)),ROW('Raw Data'!$12:$12))</f>
        <v>#NUM!</v>
      </c>
      <c r="G771" t="e">
        <f t="array" ref="G771">INDEX('Raw Data'!A:A,F771,9)</f>
        <v>#NUM!</v>
      </c>
      <c r="H771" t="e">
        <f t="array" ref="H771">INDEX('Raw Data'!A:A,F771,10)</f>
        <v>#NUM!</v>
      </c>
      <c r="I771" t="e">
        <f t="array" ref="I771">INDEX('Raw Data'!$A:A,$F771,11)</f>
        <v>#NUM!</v>
      </c>
      <c r="J771" t="e">
        <f t="array" ref="J771">INDEX('Raw Data'!$A:A,F771,12)</f>
        <v>#NUM!</v>
      </c>
      <c r="K771" t="e">
        <f t="array" ref="K771">(--INDEX('Raw Data'!$A$4:B$998,F771,4))</f>
        <v>#NUM!</v>
      </c>
      <c r="L771" t="e">
        <f t="array" ref="L771">(--INDEX('Raw Data'!$A$4:B$998,F771,5))</f>
        <v>#NUM!</v>
      </c>
      <c r="M771" t="e">
        <f t="array" ref="M771">(--INDEX('Raw Data'!$A$4:D$998,$F771,6))</f>
        <v>#NUM!</v>
      </c>
      <c r="N771" t="e">
        <f t="array" ref="N771">(--INDEX('Raw Data'!$A$4:D$998,$F771,7))</f>
        <v>#NUM!</v>
      </c>
      <c r="O771" t="e">
        <f t="array" ref="O771">IF(--INDEX('Raw Data'!$A$4:E$998,$F771,8)= 0, 1, 0)</f>
        <v>#NUM!</v>
      </c>
      <c r="P771" t="e">
        <f t="array" ref="P771">IF(--INDEX('Raw Data'!$A$4:F$998,$F771,8)= 1, 1, 0)</f>
        <v>#NUM!</v>
      </c>
      <c r="Q771" t="e">
        <f t="array" ref="Q771">IF(--INDEX('Raw Data'!$A$4:G$998,$F771,13)= 1, 1, 0)</f>
        <v>#NUM!</v>
      </c>
      <c r="R771" t="e">
        <f t="array" ref="R771">IF(--INDEX('Raw Data'!$A$4:H$998,$F771,14)= 1, 1, 0)</f>
        <v>#NUM!</v>
      </c>
      <c r="S771" t="e">
        <f t="array" ref="S771">IF(--INDEX('Raw Data'!$A$4:I$998,$F771,15)= 1, 1, 0)</f>
        <v>#NUM!</v>
      </c>
      <c r="T771" t="e">
        <f t="array" ref="T771">IF(--INDEX('Raw Data'!$A$4:I$998,$F771,15)= 1, 1, 0)</f>
        <v>#NUM!</v>
      </c>
      <c r="U771" t="e">
        <f t="array" ref="U771">IF(--INDEX('Raw Data'!$A$4:J$998,$F771,16)= 1, 1, 0)</f>
        <v>#NUM!</v>
      </c>
      <c r="V771" t="e">
        <f t="array" ref="V771">IF(--INDEX('Raw Data'!$A$4:K$998,$F771,17)= 1, 1, 0)</f>
        <v>#NUM!</v>
      </c>
      <c r="W771" t="e">
        <f t="array" ref="W771">INDEX('Raw Data'!$A:$O,$F771,19)</f>
        <v>#NUM!</v>
      </c>
      <c r="X771" t="e">
        <f t="array" ref="X771">INDEX('Raw Data'!$A:$O,$F771,20)</f>
        <v>#NUM!</v>
      </c>
      <c r="Y771" t="e">
        <f t="array" ref="Y771">INDEX('Raw Data'!$A:$O,F771,21)</f>
        <v>#NUM!</v>
      </c>
      <c r="Z771" t="e">
        <f t="array" ref="Z771">INDEX('Raw Data'!$A:$O,$F771,3)</f>
        <v>#NUM!</v>
      </c>
      <c r="AA771" t="e">
        <f t="array" ref="AA771">INDEX('Raw Data'!$A:$O,$F771,22)</f>
        <v>#NUM!</v>
      </c>
      <c r="AB771" t="e">
        <f t="array" ref="AB771">INDEX('Raw Data'!$A:$O,$F771,23)</f>
        <v>#NUM!</v>
      </c>
    </row>
    <row r="772" spans="1:44" x14ac:dyDescent="0.25">
      <c r="F772" t="e">
        <f t="array" ref="F772">SMALL(IF('Raw Data'!A:A=C759,ROW('Raw Data'!A:A)),ROW('Raw Data'!$13:$13))</f>
        <v>#NUM!</v>
      </c>
      <c r="G772" t="e">
        <f t="array" ref="G772">INDEX('Raw Data'!A:A,F772,9)</f>
        <v>#NUM!</v>
      </c>
      <c r="H772" t="e">
        <f t="array" ref="H772">INDEX('Raw Data'!A:A,F772,10)</f>
        <v>#NUM!</v>
      </c>
      <c r="I772" t="e">
        <f t="array" ref="I772">INDEX('Raw Data'!$A:A,$F772,11)</f>
        <v>#NUM!</v>
      </c>
      <c r="J772" t="e">
        <f t="array" ref="J772">INDEX('Raw Data'!$A:A,F772,12)</f>
        <v>#NUM!</v>
      </c>
      <c r="K772" t="e">
        <f t="array" ref="K772">(--INDEX('Raw Data'!$A$4:B$998,F772,4))</f>
        <v>#NUM!</v>
      </c>
      <c r="L772" t="e">
        <f t="array" ref="L772">(--INDEX('Raw Data'!$A$4:B$998,F772,5))</f>
        <v>#NUM!</v>
      </c>
      <c r="M772" t="e">
        <f t="array" ref="M772">(--INDEX('Raw Data'!$A$4:D$998,$F772,6))</f>
        <v>#NUM!</v>
      </c>
      <c r="N772" t="e">
        <f t="array" ref="N772">(--INDEX('Raw Data'!$A$4:D$998,$F772,7))</f>
        <v>#NUM!</v>
      </c>
      <c r="O772" t="e">
        <f t="array" ref="O772">IF(--INDEX('Raw Data'!$A$4:E$998,$F772,8)= 0, 1, 0)</f>
        <v>#NUM!</v>
      </c>
      <c r="P772" t="e">
        <f t="array" ref="P772">IF(--INDEX('Raw Data'!$A$4:F$998,$F772,8)= 1, 1, 0)</f>
        <v>#NUM!</v>
      </c>
      <c r="Q772" t="e">
        <f t="array" ref="Q772">IF(--INDEX('Raw Data'!$A$4:G$998,$F772,13)= 1, 1, 0)</f>
        <v>#NUM!</v>
      </c>
      <c r="R772" t="e">
        <f t="array" ref="R772">IF(--INDEX('Raw Data'!$A$4:H$998,$F772,14)= 1, 1, 0)</f>
        <v>#NUM!</v>
      </c>
      <c r="S772" t="e">
        <f t="array" ref="S772">IF(--INDEX('Raw Data'!$A$4:I$998,$F772,15)= 1, 1, 0)</f>
        <v>#NUM!</v>
      </c>
      <c r="T772" t="e">
        <f t="array" ref="T772">IF(--INDEX('Raw Data'!$A$4:I$998,$F772,15)= 1, 1, 0)</f>
        <v>#NUM!</v>
      </c>
      <c r="U772" t="e">
        <f t="array" ref="U772">IF(--INDEX('Raw Data'!$A$4:J$998,$F772,16)= 1, 1, 0)</f>
        <v>#NUM!</v>
      </c>
      <c r="V772" t="e">
        <f t="array" ref="V772">IF(--INDEX('Raw Data'!$A$4:K$998,$F772,17)= 1, 1, 0)</f>
        <v>#NUM!</v>
      </c>
      <c r="W772" t="e">
        <f t="array" ref="W772">INDEX('Raw Data'!$A:$O,$F772,19)</f>
        <v>#NUM!</v>
      </c>
      <c r="X772" t="e">
        <f t="array" ref="X772">INDEX('Raw Data'!$A:$O,$F772,20)</f>
        <v>#NUM!</v>
      </c>
      <c r="Y772" t="e">
        <f t="array" ref="Y772">INDEX('Raw Data'!$A:$O,F772,21)</f>
        <v>#NUM!</v>
      </c>
      <c r="Z772" t="e">
        <f t="array" ref="Z772">INDEX('Raw Data'!$A:$O,$F772,3)</f>
        <v>#NUM!</v>
      </c>
      <c r="AA772" t="e">
        <f t="array" ref="AA772">INDEX('Raw Data'!$A:$O,$F772,22)</f>
        <v>#NUM!</v>
      </c>
      <c r="AB772" t="e">
        <f t="array" ref="AB772">INDEX('Raw Data'!$A:$O,$F772,23)</f>
        <v>#NUM!</v>
      </c>
    </row>
    <row r="773" spans="1:44" x14ac:dyDescent="0.25">
      <c r="F773" t="e">
        <f t="array" ref="F773">SMALL(IF('Raw Data'!A:A=C759,ROW('Raw Data'!A:A)),ROW('Raw Data'!$14:$14))</f>
        <v>#NUM!</v>
      </c>
      <c r="G773" t="e">
        <f t="array" ref="G773">INDEX('Raw Data'!A:A,F773,9)</f>
        <v>#NUM!</v>
      </c>
      <c r="H773" t="e">
        <f t="array" ref="H773">INDEX('Raw Data'!A:A,F773,10)</f>
        <v>#NUM!</v>
      </c>
      <c r="I773" t="e">
        <f t="array" ref="I773">INDEX('Raw Data'!$A:A,$F773,11)</f>
        <v>#NUM!</v>
      </c>
      <c r="J773" t="e">
        <f t="array" ref="J773">INDEX('Raw Data'!$A:A,F773,12)</f>
        <v>#NUM!</v>
      </c>
      <c r="K773" t="e">
        <f t="array" ref="K773">(--INDEX('Raw Data'!$A$4:B$998,F773,4))</f>
        <v>#NUM!</v>
      </c>
      <c r="L773" t="e">
        <f t="array" ref="L773">(--INDEX('Raw Data'!$A$4:B$998,F773,5))</f>
        <v>#NUM!</v>
      </c>
      <c r="M773" t="e">
        <f t="array" ref="M773">(--INDEX('Raw Data'!$A$4:D$998,$F773,6))</f>
        <v>#NUM!</v>
      </c>
      <c r="N773" t="e">
        <f t="array" ref="N773">(--INDEX('Raw Data'!$A$4:D$998,$F773,7))</f>
        <v>#NUM!</v>
      </c>
      <c r="O773" t="e">
        <f t="array" ref="O773">IF(--INDEX('Raw Data'!$A$4:E$998,$F773,8)= 0, 1, 0)</f>
        <v>#NUM!</v>
      </c>
      <c r="P773" t="e">
        <f t="array" ref="P773">IF(--INDEX('Raw Data'!$A$4:F$998,$F773,8)= 1, 1, 0)</f>
        <v>#NUM!</v>
      </c>
      <c r="Q773" t="e">
        <f t="array" ref="Q773">IF(--INDEX('Raw Data'!$A$4:G$998,$F773,13)= 1, 1, 0)</f>
        <v>#NUM!</v>
      </c>
      <c r="R773" t="e">
        <f t="array" ref="R773">IF(--INDEX('Raw Data'!$A$4:H$998,$F773,14)= 1, 1, 0)</f>
        <v>#NUM!</v>
      </c>
      <c r="S773" t="e">
        <f t="array" ref="S773">IF(--INDEX('Raw Data'!$A$4:I$998,$F773,15)= 1, 1, 0)</f>
        <v>#NUM!</v>
      </c>
      <c r="T773" t="e">
        <f t="array" ref="T773">IF(--INDEX('Raw Data'!$A$4:I$998,$F773,15)= 1, 1, 0)</f>
        <v>#NUM!</v>
      </c>
      <c r="U773" t="e">
        <f t="array" ref="U773">IF(--INDEX('Raw Data'!$A$4:J$998,$F773,16)= 1, 1, 0)</f>
        <v>#NUM!</v>
      </c>
      <c r="V773" t="e">
        <f t="array" ref="V773">IF(--INDEX('Raw Data'!$A$4:K$998,$F773,17)= 1, 1, 0)</f>
        <v>#NUM!</v>
      </c>
      <c r="W773" t="e">
        <f t="array" ref="W773">INDEX('Raw Data'!$A:$O,$F773,19)</f>
        <v>#NUM!</v>
      </c>
      <c r="X773" t="e">
        <f t="array" ref="X773">INDEX('Raw Data'!$A:$O,$F773,20)</f>
        <v>#NUM!</v>
      </c>
      <c r="Y773" t="e">
        <f t="array" ref="Y773">INDEX('Raw Data'!$A:$O,F773,21)</f>
        <v>#NUM!</v>
      </c>
      <c r="Z773" t="e">
        <f t="array" ref="Z773">INDEX('Raw Data'!$A:$O,$F773,3)</f>
        <v>#NUM!</v>
      </c>
      <c r="AA773" t="e">
        <f t="array" ref="AA773">INDEX('Raw Data'!$A:$O,$F773,22)</f>
        <v>#NUM!</v>
      </c>
      <c r="AB773" t="e">
        <f t="array" ref="AB773">INDEX('Raw Data'!$A:$O,$F773,23)</f>
        <v>#NUM!</v>
      </c>
    </row>
    <row r="774" spans="1:44" x14ac:dyDescent="0.25">
      <c r="F774" t="e">
        <f t="array" ref="F774">SMALL(IF('Raw Data'!A:A=C759,ROW('Raw Data'!A:A)),ROW('Raw Data'!$15:$15))</f>
        <v>#NUM!</v>
      </c>
      <c r="G774" t="e">
        <f t="array" ref="G774">INDEX('Raw Data'!A:A,F774,9)</f>
        <v>#NUM!</v>
      </c>
      <c r="H774" t="e">
        <f t="array" ref="H774">INDEX('Raw Data'!A:A,F774,10)</f>
        <v>#NUM!</v>
      </c>
      <c r="I774" t="e">
        <f t="array" ref="I774">INDEX('Raw Data'!$A:A,$F774,11)</f>
        <v>#NUM!</v>
      </c>
      <c r="J774" t="e">
        <f t="array" ref="J774">INDEX('Raw Data'!$A:A,F774,12)</f>
        <v>#NUM!</v>
      </c>
      <c r="K774" t="e">
        <f t="array" ref="K774">(--INDEX('Raw Data'!$A$4:B$998,F774,4))</f>
        <v>#NUM!</v>
      </c>
      <c r="L774" t="e">
        <f t="array" ref="L774">(--INDEX('Raw Data'!$A$4:B$998,F774,5))</f>
        <v>#NUM!</v>
      </c>
      <c r="M774" t="e">
        <f t="array" ref="M774">(--INDEX('Raw Data'!$A$4:D$998,$F774,6))</f>
        <v>#NUM!</v>
      </c>
      <c r="N774" t="e">
        <f t="array" ref="N774">(--INDEX('Raw Data'!$A$4:D$998,$F774,7))</f>
        <v>#NUM!</v>
      </c>
      <c r="O774" t="e">
        <f t="array" ref="O774">IF(--INDEX('Raw Data'!$A$4:E$998,$F774,8)= 0, 1, 0)</f>
        <v>#NUM!</v>
      </c>
      <c r="P774" t="e">
        <f t="array" ref="P774">IF(--INDEX('Raw Data'!$A$4:F$998,$F774,8)= 1, 1, 0)</f>
        <v>#NUM!</v>
      </c>
      <c r="Q774" t="e">
        <f t="array" ref="Q774">IF(--INDEX('Raw Data'!$A$4:G$998,$F774,13)= 1, 1, 0)</f>
        <v>#NUM!</v>
      </c>
      <c r="R774" t="e">
        <f t="array" ref="R774">IF(--INDEX('Raw Data'!$A$4:H$998,$F774,14)= 1, 1, 0)</f>
        <v>#NUM!</v>
      </c>
      <c r="S774" t="e">
        <f t="array" ref="S774">IF(--INDEX('Raw Data'!$A$4:I$998,$F774,15)= 1, 1, 0)</f>
        <v>#NUM!</v>
      </c>
      <c r="T774" t="e">
        <f t="array" ref="T774">IF(--INDEX('Raw Data'!$A$4:I$998,$F774,15)= 1, 1, 0)</f>
        <v>#NUM!</v>
      </c>
      <c r="U774" t="e">
        <f t="array" ref="U774">IF(--INDEX('Raw Data'!$A$4:J$998,$F774,16)= 1, 1, 0)</f>
        <v>#NUM!</v>
      </c>
      <c r="V774" t="e">
        <f t="array" ref="V774">IF(--INDEX('Raw Data'!$A$4:K$998,$F774,17)= 1, 1, 0)</f>
        <v>#NUM!</v>
      </c>
      <c r="W774" t="e">
        <f t="array" ref="W774">INDEX('Raw Data'!$A:$O,$F774,19)</f>
        <v>#NUM!</v>
      </c>
      <c r="X774" t="e">
        <f t="array" ref="X774">INDEX('Raw Data'!$A:$O,$F774,20)</f>
        <v>#NUM!</v>
      </c>
      <c r="Y774" t="e">
        <f t="array" ref="Y774">INDEX('Raw Data'!$A:$O,F774,21)</f>
        <v>#NUM!</v>
      </c>
      <c r="Z774" t="e">
        <f t="array" ref="Z774">INDEX('Raw Data'!$A:$O,$F774,3)</f>
        <v>#NUM!</v>
      </c>
      <c r="AA774" t="e">
        <f t="array" ref="AA774">INDEX('Raw Data'!$A:$O,$F774,22)</f>
        <v>#NUM!</v>
      </c>
      <c r="AB774" t="e">
        <f t="array" ref="AB774">INDEX('Raw Data'!$A:$O,$F774,23)</f>
        <v>#NUM!</v>
      </c>
    </row>
    <row r="775" spans="1:44" x14ac:dyDescent="0.25">
      <c r="A775" t="s">
        <v>55</v>
      </c>
      <c r="C775" s="2" t="e">
        <f>B765/B764</f>
        <v>#DIV/0!</v>
      </c>
      <c r="F775">
        <f t="array" ref="F775">COUNTIF(F760:F774,"&gt;0")</f>
        <v>0</v>
      </c>
      <c r="G775">
        <f t="array" ref="G775">SUMIF(G760:G774,"&gt;0")</f>
        <v>0</v>
      </c>
      <c r="H775">
        <f t="array" ref="H775">SUMIF(H760:H774,"&gt;0")</f>
        <v>0</v>
      </c>
      <c r="I775">
        <f t="array" ref="I775">SUMIF(I760:I774,"&gt;0")</f>
        <v>0</v>
      </c>
      <c r="J775">
        <f t="array" ref="J775">SUMIF(J760:J774,"&gt;0")</f>
        <v>0</v>
      </c>
      <c r="K775">
        <f t="array" ref="K775">SUMIF(K760:K774,"&gt;0")</f>
        <v>0</v>
      </c>
      <c r="L775">
        <f t="array" ref="L775">SUMIF(L760:L774,"&gt;0")</f>
        <v>0</v>
      </c>
      <c r="M775">
        <f t="array" ref="M775">SUMIF(M760:M774,"&gt;0")</f>
        <v>0</v>
      </c>
      <c r="N775">
        <f t="array" ref="N775">SUMIF(N760:N774,"&gt;0")</f>
        <v>0</v>
      </c>
      <c r="O775">
        <f t="array" ref="O775">SUMIF(O760:O774,"&gt;0")</f>
        <v>0</v>
      </c>
      <c r="P775">
        <f t="array" ref="P775">SUMIF(P760:P774,"&gt;0")</f>
        <v>0</v>
      </c>
      <c r="Q775">
        <f t="array" ref="Q775">SUMIF(Q760:Q774,"&gt;0")</f>
        <v>0</v>
      </c>
      <c r="R775">
        <f t="array" ref="R775">SUMIF(R760:R774,"&gt;0")</f>
        <v>0</v>
      </c>
      <c r="S775">
        <f t="array" ref="S775">SUMIF(S760:S774,"&gt;0")</f>
        <v>0</v>
      </c>
      <c r="T775">
        <f t="array" ref="T775">SUMIF(T760:T774,"&gt;0")</f>
        <v>0</v>
      </c>
      <c r="U775">
        <f t="array" ref="U775">SUMIF(U760:U774,"&gt;0")</f>
        <v>0</v>
      </c>
      <c r="V775">
        <f t="array" ref="V775">SUMIF(V760:V774,"&gt;0")</f>
        <v>0</v>
      </c>
      <c r="W775">
        <f t="array" ref="W775">SUMIF(W760:W774,"&gt;0")</f>
        <v>0</v>
      </c>
      <c r="X775">
        <f t="array" ref="X775">SUMIF(X760:X774,"&gt;0")</f>
        <v>0</v>
      </c>
      <c r="Y775">
        <f t="array" ref="Y775">SUMIF(Y760:Y774,"&gt;0")</f>
        <v>0</v>
      </c>
      <c r="Z775">
        <f t="array" ref="Z775">SUMIF(Z760:Z774,"&gt;0")</f>
        <v>0</v>
      </c>
      <c r="AA775">
        <f t="array" ref="AA775">SUMIF(AA760:AA774,"&gt;0")</f>
        <v>0</v>
      </c>
      <c r="AB775">
        <f t="array" ref="AB775">SUMIF(AB760:AB774,"&gt;0")</f>
        <v>0</v>
      </c>
    </row>
    <row r="776" spans="1:44" x14ac:dyDescent="0.25">
      <c r="A776" t="s">
        <v>58</v>
      </c>
      <c r="C776" s="2">
        <f t="array" ref="C776">IF((K775+L775)&lt;&gt;0, (L775/(K775+L775)),0)</f>
        <v>0</v>
      </c>
      <c r="J776" s="6">
        <f t="array" ref="J776">J775*10</f>
        <v>0</v>
      </c>
      <c r="K776" s="6"/>
      <c r="P776" t="s">
        <v>95</v>
      </c>
      <c r="Q776" s="2" t="e">
        <f t="array" ref="Q776">Q775/$F775</f>
        <v>#DIV/0!</v>
      </c>
      <c r="R776" s="2" t="e">
        <f t="array" ref="R776">R775/$F775</f>
        <v>#DIV/0!</v>
      </c>
      <c r="S776" s="2" t="e">
        <f t="array" ref="S776">S775/$F775</f>
        <v>#DIV/0!</v>
      </c>
      <c r="T776" s="2" t="e">
        <f t="array" ref="T776">T775/$F775</f>
        <v>#DIV/0!</v>
      </c>
      <c r="U776" s="2" t="e">
        <f t="array" ref="U776">U775/$F775</f>
        <v>#DIV/0!</v>
      </c>
      <c r="V776" s="2" t="e">
        <f t="array" ref="V776">V775/$F775</f>
        <v>#DIV/0!</v>
      </c>
      <c r="W776" s="2" t="e">
        <f t="array" ref="W776">W775/$F775</f>
        <v>#DIV/0!</v>
      </c>
      <c r="X776" s="2" t="e">
        <f t="array" ref="X776">X775/$F775</f>
        <v>#DIV/0!</v>
      </c>
      <c r="Z776" s="2" t="e">
        <f t="array" ref="Z776">Z775/F775</f>
        <v>#DIV/0!</v>
      </c>
    </row>
    <row r="777" spans="1:44" x14ac:dyDescent="0.25">
      <c r="A777" t="s">
        <v>60</v>
      </c>
      <c r="C777" s="2">
        <f t="array" ref="C777">IF((M775+N775)&lt;&gt;0, (N775/(M775+N775)),0)</f>
        <v>0</v>
      </c>
      <c r="J777"/>
      <c r="K777"/>
    </row>
    <row r="778" spans="1:44" ht="28.5" x14ac:dyDescent="0.45">
      <c r="A778" t="s">
        <v>61</v>
      </c>
      <c r="C778" s="2">
        <f t="array" ref="C778">IF(((K775+N775+L775+M775)&lt;&gt;0), ((L775+N775)/(K775+N775+L775+M775)),0)</f>
        <v>0</v>
      </c>
      <c r="F778" s="17" t="s">
        <v>106</v>
      </c>
      <c r="G778" s="17" t="e">
        <f t="array" ref="G778">'Weighting &amp; Ranking Sheet'!$B$3*Math!$C776+'Weighting &amp; Ranking Sheet'!$B$4*Math!$C777+'Weighting &amp; Ranking Sheet'!$B$5*Math!$C778+'Weighting &amp; Ranking Sheet'!$B$6*Math!$C779+'Weighting &amp; Ranking Sheet'!$B$7*Math!$C763+'Weighting &amp; Ranking Sheet'!$B$8*Math!$C775+'Weighting &amp; Ranking Sheet'!$B$9*Math!$C782+'Weighting &amp; Ranking Sheet'!$B$10*Math!$C780+'Weighting &amp; Ranking Sheet'!$B$11*Math!$C781+'Weighting &amp; Ranking Sheet'!$B$12*Math!$C783*0.01+'Weighting &amp; Ranking Sheet'!$B$13*Math!$Q776+'Weighting &amp; Ranking Sheet'!$B$14*Math!$R776+'Weighting &amp; Ranking Sheet'!$B$15*Math!$S776+'Weighting &amp; Ranking Sheet'!$B$16*Math!$T776+'Weighting &amp; Ranking Sheet'!$B$17*Math!$U776+'Weighting &amp; Ranking Sheet'!$B$18*Math!$V776+'Weighting &amp; Ranking Sheet'!$B$2*Math!$Z776</f>
        <v>#DIV/0!</v>
      </c>
      <c r="J778"/>
      <c r="K778"/>
      <c r="AR778" s="25"/>
    </row>
    <row r="779" spans="1:44" x14ac:dyDescent="0.25">
      <c r="A779" t="s">
        <v>62</v>
      </c>
      <c r="C779" s="2">
        <f t="array" ref="C779">IF((O775+P775&lt;&gt;0),(P775/(O775+P775)), 0)</f>
        <v>0</v>
      </c>
      <c r="J779"/>
      <c r="K779"/>
      <c r="AR779" s="25"/>
    </row>
    <row r="780" spans="1:44" x14ac:dyDescent="0.25">
      <c r="A780" t="s">
        <v>77</v>
      </c>
      <c r="C780" s="8" t="e">
        <f t="array" ref="C780">W775/F775</f>
        <v>#DIV/0!</v>
      </c>
      <c r="J780"/>
      <c r="K780"/>
      <c r="AR780" s="23"/>
    </row>
    <row r="781" spans="1:44" x14ac:dyDescent="0.25">
      <c r="A781" t="s">
        <v>78</v>
      </c>
      <c r="C781" s="8" t="e">
        <f t="array" ref="C781">X775/F775</f>
        <v>#DIV/0!</v>
      </c>
      <c r="J781"/>
      <c r="K781"/>
    </row>
    <row r="782" spans="1:44" x14ac:dyDescent="0.25">
      <c r="A782" t="s">
        <v>91</v>
      </c>
      <c r="C782" s="2" t="e">
        <f t="array" ref="C782">(C763+C775)/2</f>
        <v>#DIV/0!</v>
      </c>
      <c r="J782"/>
      <c r="K782"/>
    </row>
    <row r="783" spans="1:44" x14ac:dyDescent="0.25">
      <c r="A783" t="s">
        <v>92</v>
      </c>
      <c r="C783" s="8" t="e">
        <f t="array" ref="C783">Y775/F775</f>
        <v>#DIV/0!</v>
      </c>
      <c r="J783"/>
      <c r="K783"/>
    </row>
    <row r="784" spans="1:44" x14ac:dyDescent="0.25">
      <c r="C784" s="8"/>
      <c r="J784"/>
      <c r="K784"/>
    </row>
    <row r="785" spans="1:44" x14ac:dyDescent="0.25">
      <c r="C785" s="8"/>
      <c r="J785"/>
      <c r="K785"/>
    </row>
    <row r="786" spans="1:44" x14ac:dyDescent="0.25">
      <c r="J786" s="6"/>
      <c r="K786" s="6"/>
    </row>
    <row r="787" spans="1:44" x14ac:dyDescent="0.25">
      <c r="A787" t="s">
        <v>3</v>
      </c>
      <c r="C787" s="5">
        <v>2600</v>
      </c>
      <c r="F787" t="s">
        <v>32</v>
      </c>
    </row>
    <row r="788" spans="1:44" x14ac:dyDescent="0.25">
      <c r="F788" t="e">
        <f t="array" ref="F788">SMALL(IF('Raw Data'!A:A=C787,ROW('Raw Data'!A:A)),ROW('Raw Data'!$1:$1))</f>
        <v>#NUM!</v>
      </c>
      <c r="G788" t="e">
        <f t="array" ref="G788">INDEX('Raw Data'!A:A,F788,9)</f>
        <v>#NUM!</v>
      </c>
      <c r="H788" t="e">
        <f t="array" ref="H788">INDEX('Raw Data'!A:A,F788,10)</f>
        <v>#NUM!</v>
      </c>
      <c r="I788" t="e">
        <f t="array" ref="I788">INDEX('Raw Data'!$A:A,$F788,11)</f>
        <v>#NUM!</v>
      </c>
      <c r="J788" t="e">
        <f t="array" ref="J788">INDEX('Raw Data'!$A:A,F788,12)</f>
        <v>#NUM!</v>
      </c>
      <c r="K788" t="e">
        <f>(--INDEX('Raw Data'!$A$4:B$993,F788,4))</f>
        <v>#NUM!</v>
      </c>
      <c r="L788" t="e">
        <f t="array" ref="L788">(--INDEX('Raw Data'!$A$4:B$993,F788,5))</f>
        <v>#NUM!</v>
      </c>
      <c r="M788" t="e">
        <f t="array" ref="M788">(--INDEX('Raw Data'!$A$4:D$993,$F788,6))</f>
        <v>#NUM!</v>
      </c>
      <c r="N788" t="e">
        <f t="array" ref="N788">(--INDEX('Raw Data'!$A$4:D$993,$F788,7))</f>
        <v>#NUM!</v>
      </c>
      <c r="O788" t="e">
        <f t="array" ref="O788">IF(--INDEX('Raw Data'!$A$4:E$993,$F788,8)= 0, 1, 0)</f>
        <v>#NUM!</v>
      </c>
      <c r="P788" t="e">
        <f t="array" ref="P788">IF(--INDEX('Raw Data'!$A$4:F$993,$F788,8)= 1, 1, 0)</f>
        <v>#NUM!</v>
      </c>
      <c r="Q788" t="e">
        <f t="array" ref="Q788">IF(--INDEX('Raw Data'!$A$4:G$993,$F788,13)= 1, 1, 0)</f>
        <v>#NUM!</v>
      </c>
      <c r="R788" t="e">
        <f t="array" ref="R788">IF(--INDEX('Raw Data'!$A$4:H$993,$F788,14)= 1, 1, 0)</f>
        <v>#NUM!</v>
      </c>
      <c r="S788" t="e">
        <f t="array" ref="S788">IF(--INDEX('Raw Data'!$A$4:I$993,$F788,15)= 1, 1, 0)</f>
        <v>#NUM!</v>
      </c>
      <c r="T788" t="e">
        <f t="array" ref="T788">IF(--INDEX('Raw Data'!$A$4:I$993,$F788,15)= 1, 1, 0)</f>
        <v>#NUM!</v>
      </c>
      <c r="U788" t="e">
        <f t="array" ref="U788">IF(--INDEX('Raw Data'!$A$4:J$993,$F788,16)= 1, 1, 0)</f>
        <v>#NUM!</v>
      </c>
      <c r="V788" t="e">
        <f t="array" ref="V788">IF(--INDEX('Raw Data'!$A$4:K$993,$F788,17)= 1, 1, 0)</f>
        <v>#NUM!</v>
      </c>
      <c r="W788" t="e">
        <f t="array" ref="W788">INDEX('Raw Data'!$A:$O,$F788,19)</f>
        <v>#NUM!</v>
      </c>
      <c r="X788" t="e">
        <f t="array" ref="X788">INDEX('Raw Data'!$A:$O,$F788,20)</f>
        <v>#NUM!</v>
      </c>
      <c r="Y788" t="e">
        <f t="array" ref="Y788">INDEX('Raw Data'!$A:$O,F788,21)</f>
        <v>#NUM!</v>
      </c>
      <c r="Z788" t="e">
        <f t="array" ref="Z788">INDEX('Raw Data'!$A:$O,$F788,3)</f>
        <v>#NUM!</v>
      </c>
      <c r="AA788" t="e">
        <f t="array" ref="AA788">INDEX('Raw Data'!$A:$O,$F788,22)</f>
        <v>#NUM!</v>
      </c>
      <c r="AB788" t="e">
        <f t="array" ref="AB788">INDEX('Raw Data'!$A:$O,$F788,23)</f>
        <v>#NUM!</v>
      </c>
    </row>
    <row r="789" spans="1:44" x14ac:dyDescent="0.25">
      <c r="A789" t="s">
        <v>0</v>
      </c>
      <c r="B789">
        <f>G803</f>
        <v>0</v>
      </c>
      <c r="F789" t="e">
        <f t="array" ref="F789">SMALL(IF('Raw Data'!A:A=C787,ROW('Raw Data'!A:A)),ROW('Raw Data'!$2:$2))</f>
        <v>#NUM!</v>
      </c>
      <c r="G789" t="e">
        <f t="array" ref="G789">INDEX('Raw Data'!A:A,F789,9)</f>
        <v>#NUM!</v>
      </c>
      <c r="H789" t="e">
        <f t="array" ref="H789">INDEX('Raw Data'!A:A,F789,10)</f>
        <v>#NUM!</v>
      </c>
      <c r="I789" t="e">
        <f t="array" ref="I789">INDEX('Raw Data'!$A:A,$F789,11)</f>
        <v>#NUM!</v>
      </c>
      <c r="J789" t="e">
        <f t="array" ref="J789">INDEX('Raw Data'!$A:A,F789,12)</f>
        <v>#NUM!</v>
      </c>
      <c r="K789" t="e">
        <f>(--INDEX('Raw Data'!$A$4:B$993,F789,4))</f>
        <v>#NUM!</v>
      </c>
      <c r="L789" t="e">
        <f t="array" ref="L789">(--INDEX('Raw Data'!$A$4:B$993,F789,5))</f>
        <v>#NUM!</v>
      </c>
      <c r="M789" t="e">
        <f t="array" ref="M789">(--INDEX('Raw Data'!$A$4:D$993,$F789,6))</f>
        <v>#NUM!</v>
      </c>
      <c r="N789" t="e">
        <f t="array" ref="N789">(--INDEX('Raw Data'!$A$4:D$993,$F789,7))</f>
        <v>#NUM!</v>
      </c>
      <c r="O789" t="e">
        <f t="array" ref="O789">IF(--INDEX('Raw Data'!$A$4:E$993,$F789,8)= 0, 1, 0)</f>
        <v>#NUM!</v>
      </c>
      <c r="P789" t="e">
        <f t="array" ref="P789">IF(--INDEX('Raw Data'!$A$4:F$993,$F789,8)= 1, 1, 0)</f>
        <v>#NUM!</v>
      </c>
      <c r="Q789" t="e">
        <f t="array" ref="Q789">IF(--INDEX('Raw Data'!$A$4:G$993,$F789,13)= 1, 1, 0)</f>
        <v>#NUM!</v>
      </c>
      <c r="R789" t="e">
        <f t="array" ref="R789">IF(--INDEX('Raw Data'!$A$4:H$993,$F789,14)= 1, 1, 0)</f>
        <v>#NUM!</v>
      </c>
      <c r="S789" t="e">
        <f t="array" ref="S789">IF(--INDEX('Raw Data'!$A$4:I$993,$F789,15)= 1, 1, 0)</f>
        <v>#NUM!</v>
      </c>
      <c r="T789" t="e">
        <f t="array" ref="T789">IF(--INDEX('Raw Data'!$A$4:I$993,$F789,15)= 1, 1, 0)</f>
        <v>#NUM!</v>
      </c>
      <c r="U789" t="e">
        <f t="array" ref="U789">IF(--INDEX('Raw Data'!$A$4:J$993,$F789,16)= 1, 1, 0)</f>
        <v>#NUM!</v>
      </c>
      <c r="V789" t="e">
        <f t="array" ref="V789">IF(--INDEX('Raw Data'!$A$4:K$993,$F789,17)= 1, 1, 0)</f>
        <v>#NUM!</v>
      </c>
      <c r="W789" t="e">
        <f t="array" ref="W789">INDEX('Raw Data'!$A:$O,$F789,19)</f>
        <v>#NUM!</v>
      </c>
      <c r="X789" t="e">
        <f t="array" ref="X789">INDEX('Raw Data'!$A:$O,$F789,20)</f>
        <v>#NUM!</v>
      </c>
      <c r="Y789" t="e">
        <f t="array" ref="Y789">INDEX('Raw Data'!$A:$O,F789,21)</f>
        <v>#NUM!</v>
      </c>
      <c r="Z789" t="e">
        <f t="array" ref="Z789">INDEX('Raw Data'!$A:$O,$F789,3)</f>
        <v>#NUM!</v>
      </c>
      <c r="AA789" t="e">
        <f t="array" ref="AA789">INDEX('Raw Data'!$A:$O,$F789,22)</f>
        <v>#NUM!</v>
      </c>
      <c r="AB789" t="e">
        <f t="array" ref="AB789">INDEX('Raw Data'!$A:$O,$F789,23)</f>
        <v>#NUM!</v>
      </c>
    </row>
    <row r="790" spans="1:44" x14ac:dyDescent="0.25">
      <c r="A790" t="s">
        <v>1</v>
      </c>
      <c r="B790">
        <f>H803</f>
        <v>0</v>
      </c>
      <c r="F790" t="e">
        <f t="array" ref="F790">SMALL(IF('Raw Data'!A:A=C787,ROW('Raw Data'!A:A)),ROW('Raw Data'!$3:$3))</f>
        <v>#NUM!</v>
      </c>
      <c r="G790" t="e">
        <f t="array" ref="G790">INDEX('Raw Data'!A:A,F790,9)</f>
        <v>#NUM!</v>
      </c>
      <c r="H790" t="e">
        <f t="array" ref="H790">INDEX('Raw Data'!A:A,F790,10)</f>
        <v>#NUM!</v>
      </c>
      <c r="I790" t="e">
        <f t="array" ref="I790">INDEX('Raw Data'!$A:A,$F790,11)</f>
        <v>#NUM!</v>
      </c>
      <c r="J790" t="e">
        <f t="array" ref="J790">INDEX('Raw Data'!$A:A,F790,12)</f>
        <v>#NUM!</v>
      </c>
      <c r="K790" t="e">
        <f>(--INDEX('Raw Data'!$A$4:B$993,F790,4))</f>
        <v>#NUM!</v>
      </c>
      <c r="L790" t="e">
        <f t="array" ref="L790">(--INDEX('Raw Data'!$A$4:B$993,F790,5))</f>
        <v>#NUM!</v>
      </c>
      <c r="M790" t="e">
        <f t="array" ref="M790">(--INDEX('Raw Data'!$A$4:D$993,$F790,6))</f>
        <v>#NUM!</v>
      </c>
      <c r="N790" t="e">
        <f t="array" ref="N790">(--INDEX('Raw Data'!$A$4:D$993,$F790,7))</f>
        <v>#NUM!</v>
      </c>
      <c r="O790" t="e">
        <f t="array" ref="O790">IF(--INDEX('Raw Data'!$A$4:E$993,$F790,8)= 0, 1, 0)</f>
        <v>#NUM!</v>
      </c>
      <c r="P790" t="e">
        <f t="array" ref="P790">IF(--INDEX('Raw Data'!$A$4:F$993,$F790,8)= 1, 1, 0)</f>
        <v>#NUM!</v>
      </c>
      <c r="Q790" t="e">
        <f t="array" ref="Q790">IF(--INDEX('Raw Data'!$A$4:G$993,$F790,13)= 1, 1, 0)</f>
        <v>#NUM!</v>
      </c>
      <c r="R790" t="e">
        <f t="array" ref="R790">IF(--INDEX('Raw Data'!$A$4:H$993,$F790,14)= 1, 1, 0)</f>
        <v>#NUM!</v>
      </c>
      <c r="S790" t="e">
        <f t="array" ref="S790">IF(--INDEX('Raw Data'!$A$4:I$993,$F790,15)= 1, 1, 0)</f>
        <v>#NUM!</v>
      </c>
      <c r="T790" t="e">
        <f t="array" ref="T790">IF(--INDEX('Raw Data'!$A$4:I$993,$F790,15)= 1, 1, 0)</f>
        <v>#NUM!</v>
      </c>
      <c r="U790" t="e">
        <f t="array" ref="U790">IF(--INDEX('Raw Data'!$A$4:J$993,$F790,16)= 1, 1, 0)</f>
        <v>#NUM!</v>
      </c>
      <c r="V790" t="e">
        <f t="array" ref="V790">IF(--INDEX('Raw Data'!$A$4:K$993,$F790,17)= 1, 1, 0)</f>
        <v>#NUM!</v>
      </c>
      <c r="W790" t="e">
        <f t="array" ref="W790">INDEX('Raw Data'!$A:$O,$F790,19)</f>
        <v>#NUM!</v>
      </c>
      <c r="X790" t="e">
        <f t="array" ref="X790">INDEX('Raw Data'!$A:$O,$F790,20)</f>
        <v>#NUM!</v>
      </c>
      <c r="Y790" t="e">
        <f t="array" ref="Y790">INDEX('Raw Data'!$A:$O,F790,21)</f>
        <v>#NUM!</v>
      </c>
      <c r="Z790" t="e">
        <f t="array" ref="Z790">INDEX('Raw Data'!$A:$O,$F790,3)</f>
        <v>#NUM!</v>
      </c>
      <c r="AA790" t="e">
        <f t="array" ref="AA790">INDEX('Raw Data'!$A:$O,$F790,22)</f>
        <v>#NUM!</v>
      </c>
      <c r="AB790" t="e">
        <f t="array" ref="AB790">INDEX('Raw Data'!$A:$O,$F790,23)</f>
        <v>#NUM!</v>
      </c>
    </row>
    <row r="791" spans="1:44" x14ac:dyDescent="0.25">
      <c r="A791" t="s">
        <v>2</v>
      </c>
      <c r="C791" s="3" t="e">
        <f>B790/B789</f>
        <v>#DIV/0!</v>
      </c>
      <c r="F791" t="e">
        <f t="array" ref="F791">SMALL(IF('Raw Data'!A:A=C787,ROW('Raw Data'!A:A)),ROW('Raw Data'!$4:$4))</f>
        <v>#NUM!</v>
      </c>
      <c r="G791" t="e">
        <f t="array" ref="G791">INDEX('Raw Data'!A:A,F791,9)</f>
        <v>#NUM!</v>
      </c>
      <c r="H791" t="e">
        <f t="array" ref="H791">INDEX('Raw Data'!A:A,F791,10)</f>
        <v>#NUM!</v>
      </c>
      <c r="I791" t="e">
        <f t="array" ref="I791">INDEX('Raw Data'!$A:A,$F791,11)</f>
        <v>#NUM!</v>
      </c>
      <c r="J791" t="e">
        <f t="array" ref="J791">INDEX('Raw Data'!$A:A,F791,12)</f>
        <v>#NUM!</v>
      </c>
      <c r="K791" t="e">
        <f>(--INDEX('Raw Data'!$A$4:B$993,F791,4))</f>
        <v>#NUM!</v>
      </c>
      <c r="L791" t="e">
        <f t="array" ref="L791">(--INDEX('Raw Data'!$A$4:B$993,F791,5))</f>
        <v>#NUM!</v>
      </c>
      <c r="M791" t="e">
        <f t="array" ref="M791">(--INDEX('Raw Data'!$A$4:D$993,$F791,6))</f>
        <v>#NUM!</v>
      </c>
      <c r="N791" t="e">
        <f t="array" ref="N791">(--INDEX('Raw Data'!$A$4:D$993,$F791,7))</f>
        <v>#NUM!</v>
      </c>
      <c r="O791" t="e">
        <f t="array" ref="O791">IF(--INDEX('Raw Data'!$A$4:E$993,$F791,8)= 0, 1, 0)</f>
        <v>#NUM!</v>
      </c>
      <c r="P791" t="e">
        <f t="array" ref="P791">IF(--INDEX('Raw Data'!$A$4:F$993,$F791,8)= 1, 1, 0)</f>
        <v>#NUM!</v>
      </c>
      <c r="Q791" t="e">
        <f t="array" ref="Q791">IF(--INDEX('Raw Data'!$A$4:G$993,$F791,13)= 1, 1, 0)</f>
        <v>#NUM!</v>
      </c>
      <c r="R791" t="e">
        <f t="array" ref="R791">IF(--INDEX('Raw Data'!$A$4:H$993,$F791,14)= 1, 1, 0)</f>
        <v>#NUM!</v>
      </c>
      <c r="S791" t="e">
        <f t="array" ref="S791">IF(--INDEX('Raw Data'!$A$4:I$993,$F791,15)= 1, 1, 0)</f>
        <v>#NUM!</v>
      </c>
      <c r="T791" t="e">
        <f t="array" ref="T791">IF(--INDEX('Raw Data'!$A$4:I$993,$F791,15)= 1, 1, 0)</f>
        <v>#NUM!</v>
      </c>
      <c r="U791" t="e">
        <f t="array" ref="U791">IF(--INDEX('Raw Data'!$A$4:J$993,$F791,16)= 1, 1, 0)</f>
        <v>#NUM!</v>
      </c>
      <c r="V791" t="e">
        <f t="array" ref="V791">IF(--INDEX('Raw Data'!$A$4:K$993,$F791,17)= 1, 1, 0)</f>
        <v>#NUM!</v>
      </c>
      <c r="W791" t="e">
        <f t="array" ref="W791">INDEX('Raw Data'!$A:$O,$F791,19)</f>
        <v>#NUM!</v>
      </c>
      <c r="X791" t="e">
        <f t="array" ref="X791">INDEX('Raw Data'!$A:$O,$F791,20)</f>
        <v>#NUM!</v>
      </c>
      <c r="Y791" t="e">
        <f t="array" ref="Y791">INDEX('Raw Data'!$A:$O,F791,21)</f>
        <v>#NUM!</v>
      </c>
      <c r="Z791" t="e">
        <f t="array" ref="Z791">INDEX('Raw Data'!$A:$O,$F791,3)</f>
        <v>#NUM!</v>
      </c>
      <c r="AA791" t="e">
        <f t="array" ref="AA791">INDEX('Raw Data'!$A:$O,$F791,22)</f>
        <v>#NUM!</v>
      </c>
      <c r="AB791" t="e">
        <f t="array" ref="AB791">INDEX('Raw Data'!$A:$O,$F791,23)</f>
        <v>#NUM!</v>
      </c>
    </row>
    <row r="792" spans="1:44" x14ac:dyDescent="0.25">
      <c r="A792" t="s">
        <v>54</v>
      </c>
      <c r="B792">
        <f>I803</f>
        <v>0</v>
      </c>
      <c r="F792" t="e">
        <f t="array" ref="F792">SMALL(IF('Raw Data'!A:A=C787,ROW('Raw Data'!A:A)),ROW('Raw Data'!$5:$5))</f>
        <v>#NUM!</v>
      </c>
      <c r="G792" t="e">
        <f t="array" ref="G792">INDEX('Raw Data'!A:A,F792,9)</f>
        <v>#NUM!</v>
      </c>
      <c r="H792" t="e">
        <f t="array" ref="H792">INDEX('Raw Data'!A:A,F792,10)</f>
        <v>#NUM!</v>
      </c>
      <c r="I792" t="e">
        <f t="array" ref="I792">INDEX('Raw Data'!$A:A,$F792,11)</f>
        <v>#NUM!</v>
      </c>
      <c r="J792" t="e">
        <f t="array" ref="J792">INDEX('Raw Data'!$A:A,F792,12)</f>
        <v>#NUM!</v>
      </c>
      <c r="K792" t="e">
        <f>(--INDEX('Raw Data'!$A$4:B$993,F792,4))</f>
        <v>#NUM!</v>
      </c>
      <c r="L792" t="e">
        <f t="array" ref="L792">(--INDEX('Raw Data'!$A$4:B$993,F792,5))</f>
        <v>#NUM!</v>
      </c>
      <c r="M792" t="e">
        <f t="array" ref="M792">(--INDEX('Raw Data'!$A$4:D$993,$F792,6))</f>
        <v>#NUM!</v>
      </c>
      <c r="N792" t="e">
        <f t="array" ref="N792">(--INDEX('Raw Data'!$A$4:D$993,$F792,7))</f>
        <v>#NUM!</v>
      </c>
      <c r="O792" t="e">
        <f t="array" ref="O792">IF(--INDEX('Raw Data'!$A$4:E$993,$F792,8)= 0, 1, 0)</f>
        <v>#NUM!</v>
      </c>
      <c r="P792" t="e">
        <f t="array" ref="P792">IF(--INDEX('Raw Data'!$A$4:F$993,$F792,8)= 1, 1, 0)</f>
        <v>#NUM!</v>
      </c>
      <c r="Q792" t="e">
        <f t="array" ref="Q792">IF(--INDEX('Raw Data'!$A$4:G$993,$F792,13)= 1, 1, 0)</f>
        <v>#NUM!</v>
      </c>
      <c r="R792" t="e">
        <f t="array" ref="R792">IF(--INDEX('Raw Data'!$A$4:H$993,$F792,14)= 1, 1, 0)</f>
        <v>#NUM!</v>
      </c>
      <c r="S792" t="e">
        <f t="array" ref="S792">IF(--INDEX('Raw Data'!$A$4:I$993,$F792,15)= 1, 1, 0)</f>
        <v>#NUM!</v>
      </c>
      <c r="T792" t="e">
        <f t="array" ref="T792">IF(--INDEX('Raw Data'!$A$4:I$993,$F792,15)= 1, 1, 0)</f>
        <v>#NUM!</v>
      </c>
      <c r="U792" t="e">
        <f t="array" ref="U792">IF(--INDEX('Raw Data'!$A$4:J$993,$F792,16)= 1, 1, 0)</f>
        <v>#NUM!</v>
      </c>
      <c r="V792" t="e">
        <f t="array" ref="V792">IF(--INDEX('Raw Data'!$A$4:K$993,$F792,17)= 1, 1, 0)</f>
        <v>#NUM!</v>
      </c>
      <c r="W792" t="e">
        <f t="array" ref="W792">INDEX('Raw Data'!$A:$O,$F792,19)</f>
        <v>#NUM!</v>
      </c>
      <c r="X792" t="e">
        <f t="array" ref="X792">INDEX('Raw Data'!$A:$O,$F792,20)</f>
        <v>#NUM!</v>
      </c>
      <c r="Y792" t="e">
        <f t="array" ref="Y792">INDEX('Raw Data'!$A:$O,F792,21)</f>
        <v>#NUM!</v>
      </c>
      <c r="Z792" t="e">
        <f t="array" ref="Z792">INDEX('Raw Data'!$A:$O,$F792,3)</f>
        <v>#NUM!</v>
      </c>
      <c r="AA792" t="e">
        <f t="array" ref="AA792">INDEX('Raw Data'!$A:$O,$F792,22)</f>
        <v>#NUM!</v>
      </c>
      <c r="AB792" t="e">
        <f t="array" ref="AB792">INDEX('Raw Data'!$A:$O,$F792,23)</f>
        <v>#NUM!</v>
      </c>
      <c r="AR792" s="25"/>
    </row>
    <row r="793" spans="1:44" x14ac:dyDescent="0.25">
      <c r="A793" t="s">
        <v>35</v>
      </c>
      <c r="B793">
        <f>J803</f>
        <v>0</v>
      </c>
      <c r="F793" t="e">
        <f t="array" ref="F793">SMALL(IF('Raw Data'!A:A=C787,ROW('Raw Data'!A:A)),ROW('Raw Data'!$6:$6))</f>
        <v>#NUM!</v>
      </c>
      <c r="G793" t="e">
        <f t="array" ref="G793">INDEX('Raw Data'!A:A,F793,9)</f>
        <v>#NUM!</v>
      </c>
      <c r="H793" t="e">
        <f t="array" ref="H793">INDEX('Raw Data'!A:A,F793,10)</f>
        <v>#NUM!</v>
      </c>
      <c r="I793" t="e">
        <f t="array" ref="I793">INDEX('Raw Data'!$A:A,$F793,11)</f>
        <v>#NUM!</v>
      </c>
      <c r="J793" t="e">
        <f t="array" ref="J793">INDEX('Raw Data'!$A:A,F793,12)</f>
        <v>#NUM!</v>
      </c>
      <c r="K793" t="e">
        <f>(--INDEX('Raw Data'!$A$4:B$993,F793,4))</f>
        <v>#NUM!</v>
      </c>
      <c r="L793" t="e">
        <f t="array" ref="L793">(--INDEX('Raw Data'!$A$4:B$998,F793,5))</f>
        <v>#NUM!</v>
      </c>
      <c r="M793" t="e">
        <f t="array" ref="M793">(--INDEX('Raw Data'!$A$4:D$998,$F793,6))</f>
        <v>#NUM!</v>
      </c>
      <c r="N793" t="e">
        <f t="array" ref="N793">(--INDEX('Raw Data'!$A$4:D$993,$F793,7))</f>
        <v>#NUM!</v>
      </c>
      <c r="O793" t="e">
        <f t="array" ref="O793">IF(--INDEX('Raw Data'!$A$4:E$993,$F793,8)= 0, 1, 0)</f>
        <v>#NUM!</v>
      </c>
      <c r="P793" t="e">
        <f t="array" ref="P793">IF(--INDEX('Raw Data'!$A$4:F$998,$F793,8)= 1, 1, 0)</f>
        <v>#NUM!</v>
      </c>
      <c r="Q793" t="e">
        <f t="array" ref="Q793">IF(--INDEX('Raw Data'!$A$4:G$998,$F793,13)= 1, 1, 0)</f>
        <v>#NUM!</v>
      </c>
      <c r="R793" t="e">
        <f t="array" ref="R793">IF(--INDEX('Raw Data'!$A$4:H$998,$F793,14)= 1, 1, 0)</f>
        <v>#NUM!</v>
      </c>
      <c r="S793" t="e">
        <f t="array" ref="S793">IF(--INDEX('Raw Data'!$A$4:I$993,$F793,15)= 1, 1, 0)</f>
        <v>#NUM!</v>
      </c>
      <c r="T793" t="e">
        <f t="array" ref="T793">IF(--INDEX('Raw Data'!$A$4:I$998,$F793,15)= 1, 1, 0)</f>
        <v>#NUM!</v>
      </c>
      <c r="U793" t="e">
        <f t="array" ref="U793">IF(--INDEX('Raw Data'!$A$4:J$998,$F793,16)= 1, 1, 0)</f>
        <v>#NUM!</v>
      </c>
      <c r="V793" t="e">
        <f t="array" ref="V793">IF(--INDEX('Raw Data'!$A$4:K$993,$F793,17)= 1, 1, 0)</f>
        <v>#NUM!</v>
      </c>
      <c r="W793" t="e">
        <f t="array" ref="W793">INDEX('Raw Data'!$A:$O,$F793,19)</f>
        <v>#NUM!</v>
      </c>
      <c r="X793" t="e">
        <f t="array" ref="X793">INDEX('Raw Data'!$A:$O,$F793,20)</f>
        <v>#NUM!</v>
      </c>
      <c r="Y793" t="e">
        <f t="array" ref="Y793">INDEX('Raw Data'!$A:$O,F793,21)</f>
        <v>#NUM!</v>
      </c>
      <c r="Z793" t="e">
        <f t="array" ref="Z793">INDEX('Raw Data'!$A:$O,$F793,3)</f>
        <v>#NUM!</v>
      </c>
      <c r="AA793" t="e">
        <f t="array" ref="AA793">INDEX('Raw Data'!$A:$O,$F793,22)</f>
        <v>#NUM!</v>
      </c>
      <c r="AB793" t="e">
        <f t="array" ref="AB793">INDEX('Raw Data'!$A:$O,$F793,23)</f>
        <v>#NUM!</v>
      </c>
    </row>
    <row r="794" spans="1:44" ht="28.5" x14ac:dyDescent="0.45">
      <c r="F794" t="e">
        <f t="array" ref="F794">SMALL(IF('Raw Data'!A:A=C787,ROW('Raw Data'!A:A)),ROW('Raw Data'!$7:$7))</f>
        <v>#NUM!</v>
      </c>
      <c r="G794" t="e">
        <f t="array" ref="G794">INDEX('Raw Data'!A:A,F794,9)</f>
        <v>#NUM!</v>
      </c>
      <c r="H794" t="e">
        <f t="array" ref="H794">INDEX('Raw Data'!A:A,F794,10)</f>
        <v>#NUM!</v>
      </c>
      <c r="I794" t="e">
        <f t="array" ref="I794">INDEX('Raw Data'!$A:A,$F794,11)</f>
        <v>#NUM!</v>
      </c>
      <c r="J794" t="e">
        <f t="array" ref="J794">INDEX('Raw Data'!$A:A,F794,12)</f>
        <v>#NUM!</v>
      </c>
      <c r="K794" t="e">
        <f t="array" ref="K794">(--INDEX('Raw Data'!$A$4:B$998,F794,4))</f>
        <v>#NUM!</v>
      </c>
      <c r="L794" t="e">
        <f t="array" ref="L794">(--INDEX('Raw Data'!$A$4:B$998,F794,5))</f>
        <v>#NUM!</v>
      </c>
      <c r="M794" t="e">
        <f t="array" ref="M794">(--INDEX('Raw Data'!$A$4:D$998,$F794,6))</f>
        <v>#NUM!</v>
      </c>
      <c r="N794" t="e">
        <f t="array" ref="N794">(--INDEX('Raw Data'!$A$4:D$998,$F794,7))</f>
        <v>#NUM!</v>
      </c>
      <c r="O794" t="e">
        <f t="array" ref="O794">IF(--INDEX('Raw Data'!$A$4:E$998,$F794,8)= 0, 1, 0)</f>
        <v>#NUM!</v>
      </c>
      <c r="P794" t="e">
        <f t="array" ref="P794">IF(--INDEX('Raw Data'!$A$4:F$998,$F794,8)= 1, 1, 0)</f>
        <v>#NUM!</v>
      </c>
      <c r="Q794" t="e">
        <f t="array" ref="Q794">IF(--INDEX('Raw Data'!$A$4:G$998,$F794,13)= 1, 1, 0)</f>
        <v>#NUM!</v>
      </c>
      <c r="R794" t="e">
        <f t="array" ref="R794">IF(--INDEX('Raw Data'!$A$4:H$998,$F794,14)= 1, 1, 0)</f>
        <v>#NUM!</v>
      </c>
      <c r="S794" t="e">
        <f t="array" ref="S794">IF(--INDEX('Raw Data'!$A$4:I$998,$F794,15)= 1, 1, 0)</f>
        <v>#NUM!</v>
      </c>
      <c r="T794" t="e">
        <f t="array" ref="T794">IF(--INDEX('Raw Data'!$A$4:I$998,$F794,15)= 1, 1, 0)</f>
        <v>#NUM!</v>
      </c>
      <c r="U794" t="e">
        <f t="array" ref="U794">IF(--INDEX('Raw Data'!$A$4:J$998,$F794,16)= 1, 1, 0)</f>
        <v>#NUM!</v>
      </c>
      <c r="V794" t="e">
        <f t="array" ref="V794">IF(--INDEX('Raw Data'!$A$4:K$998,$F794,17)= 1, 1, 0)</f>
        <v>#NUM!</v>
      </c>
      <c r="W794" t="e">
        <f t="array" ref="W794">INDEX('Raw Data'!$A:$O,$F794,19)</f>
        <v>#NUM!</v>
      </c>
      <c r="X794" t="e">
        <f t="array" ref="X794">INDEX('Raw Data'!$A:$O,$F794,20)</f>
        <v>#NUM!</v>
      </c>
      <c r="Y794" t="e">
        <f t="array" ref="Y794">INDEX('Raw Data'!$A:$O,F794,21)</f>
        <v>#NUM!</v>
      </c>
      <c r="Z794" t="e">
        <f t="array" ref="Z794">INDEX('Raw Data'!$A:$O,$F794,3)</f>
        <v>#NUM!</v>
      </c>
      <c r="AA794" t="e">
        <f t="array" ref="AA794">INDEX('Raw Data'!$A:$O,$F794,22)</f>
        <v>#NUM!</v>
      </c>
      <c r="AB794" t="e">
        <f t="array" ref="AB794">INDEX('Raw Data'!$A:$O,$F794,23)</f>
        <v>#NUM!</v>
      </c>
      <c r="AM794" s="21"/>
    </row>
    <row r="795" spans="1:44" x14ac:dyDescent="0.25">
      <c r="F795" t="e">
        <f t="array" ref="F795">SMALL(IF('Raw Data'!A:A=C787,ROW('Raw Data'!A:A)),ROW('Raw Data'!$8:$8))</f>
        <v>#NUM!</v>
      </c>
      <c r="G795" t="e">
        <f t="array" ref="G795">INDEX('Raw Data'!A:A,F795,9)</f>
        <v>#NUM!</v>
      </c>
      <c r="H795" t="e">
        <f t="array" ref="H795">INDEX('Raw Data'!A:A,F795,10)</f>
        <v>#NUM!</v>
      </c>
      <c r="I795" t="e">
        <f t="array" ref="I795">INDEX('Raw Data'!$A:A,$F795,11)</f>
        <v>#NUM!</v>
      </c>
      <c r="J795" t="e">
        <f t="array" ref="J795">INDEX('Raw Data'!$A:A,F795,12)</f>
        <v>#NUM!</v>
      </c>
      <c r="K795" t="e">
        <f t="array" ref="K795">(--INDEX('Raw Data'!$A$4:B$998,F795,4))</f>
        <v>#NUM!</v>
      </c>
      <c r="L795" t="e">
        <f t="array" ref="L795">(--INDEX('Raw Data'!$A$4:B$998,F795,5))</f>
        <v>#NUM!</v>
      </c>
      <c r="M795" t="e">
        <f t="array" ref="M795">(--INDEX('Raw Data'!$A$4:D$998,$F795,6))</f>
        <v>#NUM!</v>
      </c>
      <c r="N795" t="e">
        <f t="array" ref="N795">(--INDEX('Raw Data'!$A$4:D$998,$F795,7))</f>
        <v>#NUM!</v>
      </c>
      <c r="O795" t="e">
        <f t="array" ref="O795">IF(--INDEX('Raw Data'!$A$4:E$998,$F795,8)= 0, 1, 0)</f>
        <v>#NUM!</v>
      </c>
      <c r="P795" t="e">
        <f t="array" ref="P795">IF(--INDEX('Raw Data'!$A$4:F$998,$F795,8)= 1, 1, 0)</f>
        <v>#NUM!</v>
      </c>
      <c r="Q795" t="e">
        <f t="array" ref="Q795">IF(--INDEX('Raw Data'!$A$4:G$998,$F795,13)= 1, 1, 0)</f>
        <v>#NUM!</v>
      </c>
      <c r="R795" t="e">
        <f t="array" ref="R795">IF(--INDEX('Raw Data'!$A$4:H$998,$F795,14)= 1, 1, 0)</f>
        <v>#NUM!</v>
      </c>
      <c r="S795" t="e">
        <f t="array" ref="S795">IF(--INDEX('Raw Data'!$A$4:I$998,$F795,15)= 1, 1, 0)</f>
        <v>#NUM!</v>
      </c>
      <c r="T795" t="e">
        <f t="array" ref="T795">IF(--INDEX('Raw Data'!$A$4:I$998,$F795,15)= 1, 1, 0)</f>
        <v>#NUM!</v>
      </c>
      <c r="U795" t="e">
        <f t="array" ref="U795">IF(--INDEX('Raw Data'!$A$4:J$998,$F795,16)= 1, 1, 0)</f>
        <v>#NUM!</v>
      </c>
      <c r="V795" t="e">
        <f t="array" ref="V795">IF(--INDEX('Raw Data'!$A$4:K$998,$F795,17)= 1, 1, 0)</f>
        <v>#NUM!</v>
      </c>
      <c r="W795" t="e">
        <f t="array" ref="W795">INDEX('Raw Data'!$A:$O,$F795,19)</f>
        <v>#NUM!</v>
      </c>
      <c r="X795" t="e">
        <f t="array" ref="X795">INDEX('Raw Data'!$A:$O,$F795,20)</f>
        <v>#NUM!</v>
      </c>
      <c r="Y795" t="e">
        <f t="array" ref="Y795">INDEX('Raw Data'!$A:$O,F795,21)</f>
        <v>#NUM!</v>
      </c>
      <c r="Z795" t="e">
        <f t="array" ref="Z795">INDEX('Raw Data'!$A:$O,$F795,3)</f>
        <v>#NUM!</v>
      </c>
      <c r="AA795" t="e">
        <f t="array" ref="AA795">INDEX('Raw Data'!$A:$O,$F795,22)</f>
        <v>#NUM!</v>
      </c>
      <c r="AB795" t="e">
        <f t="array" ref="AB795">INDEX('Raw Data'!$A:$O,$F795,23)</f>
        <v>#NUM!</v>
      </c>
    </row>
    <row r="796" spans="1:44" x14ac:dyDescent="0.25">
      <c r="F796" t="e">
        <f t="array" ref="F796">SMALL(IF('Raw Data'!A:A=C787,ROW('Raw Data'!A:A)),ROW('Raw Data'!$9:$9))</f>
        <v>#NUM!</v>
      </c>
      <c r="G796" t="e">
        <f t="array" ref="G796">INDEX('Raw Data'!A:A,F796,9)</f>
        <v>#NUM!</v>
      </c>
      <c r="H796" t="e">
        <f t="array" ref="H796">INDEX('Raw Data'!A:A,F796,10)</f>
        <v>#NUM!</v>
      </c>
      <c r="I796" t="e">
        <f t="array" ref="I796">INDEX('Raw Data'!$A:A,$F796,11)</f>
        <v>#NUM!</v>
      </c>
      <c r="J796" t="e">
        <f t="array" ref="J796">INDEX('Raw Data'!$A:A,F796,12)</f>
        <v>#NUM!</v>
      </c>
      <c r="K796" t="e">
        <f t="array" ref="K796">(--INDEX('Raw Data'!$A$4:B$998,F796,4))</f>
        <v>#NUM!</v>
      </c>
      <c r="L796" t="e">
        <f t="array" ref="L796">(--INDEX('Raw Data'!$A$4:B$998,F796,5))</f>
        <v>#NUM!</v>
      </c>
      <c r="M796" t="e">
        <f t="array" ref="M796">(--INDEX('Raw Data'!$A$4:D$998,$F796,6))</f>
        <v>#NUM!</v>
      </c>
      <c r="N796" t="e">
        <f t="array" ref="N796">(--INDEX('Raw Data'!$A$4:D$998,$F796,7))</f>
        <v>#NUM!</v>
      </c>
      <c r="O796" t="e">
        <f t="array" ref="O796">IF(--INDEX('Raw Data'!$A$4:E$998,$F796,8)= 0, 1, 0)</f>
        <v>#NUM!</v>
      </c>
      <c r="P796" t="e">
        <f t="array" ref="P796">IF(--INDEX('Raw Data'!$A$4:F$998,$F796,8)= 1, 1, 0)</f>
        <v>#NUM!</v>
      </c>
      <c r="Q796" t="e">
        <f t="array" ref="Q796">IF(--INDEX('Raw Data'!$A$4:G$998,$F796,13)= 1, 1, 0)</f>
        <v>#NUM!</v>
      </c>
      <c r="R796" t="e">
        <f t="array" ref="R796">IF(--INDEX('Raw Data'!$A$4:H$998,$F796,14)= 1, 1, 0)</f>
        <v>#NUM!</v>
      </c>
      <c r="S796" t="e">
        <f t="array" ref="S796">IF(--INDEX('Raw Data'!$A$4:I$998,$F796,15)= 1, 1, 0)</f>
        <v>#NUM!</v>
      </c>
      <c r="T796" t="e">
        <f t="array" ref="T796">IF(--INDEX('Raw Data'!$A$4:I$998,$F796,15)= 1, 1, 0)</f>
        <v>#NUM!</v>
      </c>
      <c r="U796" t="e">
        <f t="array" ref="U796">IF(--INDEX('Raw Data'!$A$4:J$998,$F796,16)= 1, 1, 0)</f>
        <v>#NUM!</v>
      </c>
      <c r="V796" t="e">
        <f t="array" ref="V796">IF(--INDEX('Raw Data'!$A$4:K$998,$F796,17)= 1, 1, 0)</f>
        <v>#NUM!</v>
      </c>
      <c r="W796" t="e">
        <f t="array" ref="W796">INDEX('Raw Data'!$A:$O,$F796,19)</f>
        <v>#NUM!</v>
      </c>
      <c r="X796" t="e">
        <f t="array" ref="X796">INDEX('Raw Data'!$A:$O,$F796,20)</f>
        <v>#NUM!</v>
      </c>
      <c r="Y796" t="e">
        <f t="array" ref="Y796">INDEX('Raw Data'!$A:$O,F796,21)</f>
        <v>#NUM!</v>
      </c>
      <c r="Z796" t="e">
        <f t="array" ref="Z796">INDEX('Raw Data'!$A:$O,$F796,3)</f>
        <v>#NUM!</v>
      </c>
      <c r="AA796" t="e">
        <f t="array" ref="AA796">INDEX('Raw Data'!$A:$O,$F796,22)</f>
        <v>#NUM!</v>
      </c>
      <c r="AB796" t="e">
        <f t="array" ref="AB796">INDEX('Raw Data'!$A:$O,$F796,23)</f>
        <v>#NUM!</v>
      </c>
    </row>
    <row r="797" spans="1:44" x14ac:dyDescent="0.25">
      <c r="F797" t="e">
        <f t="array" ref="F797">SMALL(IF('Raw Data'!A:A=C787,ROW('Raw Data'!A:A)),ROW('Raw Data'!$10:$10))</f>
        <v>#NUM!</v>
      </c>
      <c r="G797" t="e">
        <f t="array" ref="G797">INDEX('Raw Data'!A:A,F797,9)</f>
        <v>#NUM!</v>
      </c>
      <c r="H797" t="e">
        <f t="array" ref="H797">INDEX('Raw Data'!A:A,F797,10)</f>
        <v>#NUM!</v>
      </c>
      <c r="I797" t="e">
        <f t="array" ref="I797">INDEX('Raw Data'!$A:A,$F797,11)</f>
        <v>#NUM!</v>
      </c>
      <c r="J797" t="e">
        <f t="array" ref="J797">INDEX('Raw Data'!$A:A,F797,12)</f>
        <v>#NUM!</v>
      </c>
      <c r="K797" t="e">
        <f t="array" ref="K797">(--INDEX('Raw Data'!$A$4:B$998,F797,4))</f>
        <v>#NUM!</v>
      </c>
      <c r="L797" t="e">
        <f t="array" ref="L797">(--INDEX('Raw Data'!$A$4:B$998,F797,5))</f>
        <v>#NUM!</v>
      </c>
      <c r="M797" t="e">
        <f t="array" ref="M797">(--INDEX('Raw Data'!$A$4:D$998,$F797,6))</f>
        <v>#NUM!</v>
      </c>
      <c r="N797" t="e">
        <f t="array" ref="N797">(--INDEX('Raw Data'!$A$4:D$998,$F797,7))</f>
        <v>#NUM!</v>
      </c>
      <c r="O797" t="e">
        <f t="array" ref="O797">IF(--INDEX('Raw Data'!$A$4:E$998,$F797,8)= 0, 1, 0)</f>
        <v>#NUM!</v>
      </c>
      <c r="P797" t="e">
        <f t="array" ref="P797">IF(--INDEX('Raw Data'!$A$4:F$998,$F797,8)= 1, 1, 0)</f>
        <v>#NUM!</v>
      </c>
      <c r="Q797" t="e">
        <f t="array" ref="Q797">IF(--INDEX('Raw Data'!$A$4:G$998,$F797,13)= 1, 1, 0)</f>
        <v>#NUM!</v>
      </c>
      <c r="R797" t="e">
        <f t="array" ref="R797">IF(--INDEX('Raw Data'!$A$4:H$998,$F797,14)= 1, 1, 0)</f>
        <v>#NUM!</v>
      </c>
      <c r="S797" t="e">
        <f t="array" ref="S797">IF(--INDEX('Raw Data'!$A$4:I$998,$F797,15)= 1, 1, 0)</f>
        <v>#NUM!</v>
      </c>
      <c r="T797" t="e">
        <f t="array" ref="T797">IF(--INDEX('Raw Data'!$A$4:I$998,$F797,15)= 1, 1, 0)</f>
        <v>#NUM!</v>
      </c>
      <c r="U797" t="e">
        <f t="array" ref="U797">IF(--INDEX('Raw Data'!$A$4:J$998,$F797,16)= 1, 1, 0)</f>
        <v>#NUM!</v>
      </c>
      <c r="V797" t="e">
        <f t="array" ref="V797">IF(--INDEX('Raw Data'!$A$4:K$998,$F797,17)= 1, 1, 0)</f>
        <v>#NUM!</v>
      </c>
      <c r="W797" t="e">
        <f t="array" ref="W797">INDEX('Raw Data'!$A:$O,$F797,19)</f>
        <v>#NUM!</v>
      </c>
      <c r="X797" t="e">
        <f t="array" ref="X797">INDEX('Raw Data'!$A:$O,$F797,20)</f>
        <v>#NUM!</v>
      </c>
      <c r="Y797" t="e">
        <f t="array" ref="Y797">INDEX('Raw Data'!$A:$O,F797,21)</f>
        <v>#NUM!</v>
      </c>
      <c r="Z797" t="e">
        <f t="array" ref="Z797">INDEX('Raw Data'!$A:$O,$F797,3)</f>
        <v>#NUM!</v>
      </c>
      <c r="AA797" t="e">
        <f t="array" ref="AA797">INDEX('Raw Data'!$A:$O,$F797,22)</f>
        <v>#NUM!</v>
      </c>
      <c r="AB797" t="e">
        <f t="array" ref="AB797">INDEX('Raw Data'!$A:$O,$F797,23)</f>
        <v>#NUM!</v>
      </c>
    </row>
    <row r="798" spans="1:44" x14ac:dyDescent="0.25">
      <c r="F798" t="e">
        <f t="array" ref="F798">SMALL(IF('Raw Data'!A:A=C787,ROW('Raw Data'!A:A)),ROW('Raw Data'!$11:$11))</f>
        <v>#NUM!</v>
      </c>
      <c r="G798" t="e">
        <f t="array" ref="G798">INDEX('Raw Data'!A:A,F798,9)</f>
        <v>#NUM!</v>
      </c>
      <c r="H798" t="e">
        <f t="array" ref="H798">INDEX('Raw Data'!A:A,F798,10)</f>
        <v>#NUM!</v>
      </c>
      <c r="I798" t="e">
        <f t="array" ref="I798">INDEX('Raw Data'!$A:A,$F798,11)</f>
        <v>#NUM!</v>
      </c>
      <c r="J798" t="e">
        <f t="array" ref="J798">INDEX('Raw Data'!$A:A,F798,12)</f>
        <v>#NUM!</v>
      </c>
      <c r="K798" t="e">
        <f t="array" ref="K798">(--INDEX('Raw Data'!$A$4:B$998,F798,4))</f>
        <v>#NUM!</v>
      </c>
      <c r="L798" t="e">
        <f t="array" ref="L798">(--INDEX('Raw Data'!$A$4:B$998,F798,5))</f>
        <v>#NUM!</v>
      </c>
      <c r="M798" t="e">
        <f t="array" ref="M798">(--INDEX('Raw Data'!$A$4:D$998,$F798,6))</f>
        <v>#NUM!</v>
      </c>
      <c r="N798" t="e">
        <f t="array" ref="N798">(--INDEX('Raw Data'!$A$4:D$998,$F798,7))</f>
        <v>#NUM!</v>
      </c>
      <c r="O798" t="e">
        <f t="array" ref="O798">IF(--INDEX('Raw Data'!$A$4:E$998,$F798,8)= 0, 1, 0)</f>
        <v>#NUM!</v>
      </c>
      <c r="P798" t="e">
        <f t="array" ref="P798">IF(--INDEX('Raw Data'!$A$4:F$998,$F798,8)= 1, 1, 0)</f>
        <v>#NUM!</v>
      </c>
      <c r="Q798" t="e">
        <f t="array" ref="Q798">IF(--INDEX('Raw Data'!$A$4:G$998,$F798,13)= 1, 1, 0)</f>
        <v>#NUM!</v>
      </c>
      <c r="R798" t="e">
        <f t="array" ref="R798">IF(--INDEX('Raw Data'!$A$4:H$998,$F798,14)= 1, 1, 0)</f>
        <v>#NUM!</v>
      </c>
      <c r="S798" t="e">
        <f t="array" ref="S798">IF(--INDEX('Raw Data'!$A$4:I$998,$F798,15)= 1, 1, 0)</f>
        <v>#NUM!</v>
      </c>
      <c r="T798" t="e">
        <f t="array" ref="T798">IF(--INDEX('Raw Data'!$A$4:I$998,$F798,15)= 1, 1, 0)</f>
        <v>#NUM!</v>
      </c>
      <c r="U798" t="e">
        <f t="array" ref="U798">IF(--INDEX('Raw Data'!$A$4:J$998,$F798,16)= 1, 1, 0)</f>
        <v>#NUM!</v>
      </c>
      <c r="V798" t="e">
        <f t="array" ref="V798">IF(--INDEX('Raw Data'!$A$4:K$998,$F798,17)= 1, 1, 0)</f>
        <v>#NUM!</v>
      </c>
      <c r="W798" t="e">
        <f t="array" ref="W798">INDEX('Raw Data'!$A:$O,$F798,19)</f>
        <v>#NUM!</v>
      </c>
      <c r="X798" t="e">
        <f t="array" ref="X798">INDEX('Raw Data'!$A:$O,$F798,20)</f>
        <v>#NUM!</v>
      </c>
      <c r="Y798" t="e">
        <f t="array" ref="Y798">INDEX('Raw Data'!$A:$O,F798,21)</f>
        <v>#NUM!</v>
      </c>
      <c r="Z798" t="e">
        <f t="array" ref="Z798">INDEX('Raw Data'!$A:$O,$F798,3)</f>
        <v>#NUM!</v>
      </c>
      <c r="AA798" t="e">
        <f t="array" ref="AA798">INDEX('Raw Data'!$A:$O,$F798,22)</f>
        <v>#NUM!</v>
      </c>
      <c r="AB798" t="e">
        <f t="array" ref="AB798">INDEX('Raw Data'!$A:$O,$F798,23)</f>
        <v>#NUM!</v>
      </c>
    </row>
    <row r="799" spans="1:44" x14ac:dyDescent="0.25">
      <c r="F799" t="e">
        <f t="array" ref="F799">SMALL(IF('Raw Data'!A:A=C787,ROW('Raw Data'!A:A)),ROW('Raw Data'!$12:$12))</f>
        <v>#NUM!</v>
      </c>
      <c r="G799" t="e">
        <f t="array" ref="G799">INDEX('Raw Data'!A:A,F799,9)</f>
        <v>#NUM!</v>
      </c>
      <c r="H799" t="e">
        <f t="array" ref="H799">INDEX('Raw Data'!A:A,F799,10)</f>
        <v>#NUM!</v>
      </c>
      <c r="I799" t="e">
        <f t="array" ref="I799">INDEX('Raw Data'!$A:A,$F799,11)</f>
        <v>#NUM!</v>
      </c>
      <c r="J799" t="e">
        <f t="array" ref="J799">INDEX('Raw Data'!$A:A,F799,12)</f>
        <v>#NUM!</v>
      </c>
      <c r="K799" t="e">
        <f t="array" ref="K799">(--INDEX('Raw Data'!$A$4:B$998,F799,4))</f>
        <v>#NUM!</v>
      </c>
      <c r="L799" t="e">
        <f t="array" ref="L799">(--INDEX('Raw Data'!$A$4:B$998,F799,5))</f>
        <v>#NUM!</v>
      </c>
      <c r="M799" t="e">
        <f t="array" ref="M799">(--INDEX('Raw Data'!$A$4:D$998,$F799,6))</f>
        <v>#NUM!</v>
      </c>
      <c r="N799" t="e">
        <f t="array" ref="N799">(--INDEX('Raw Data'!$A$4:D$998,$F799,7))</f>
        <v>#NUM!</v>
      </c>
      <c r="O799" t="e">
        <f t="array" ref="O799">IF(--INDEX('Raw Data'!$A$4:E$998,$F799,8)= 0, 1, 0)</f>
        <v>#NUM!</v>
      </c>
      <c r="P799" t="e">
        <f t="array" ref="P799">IF(--INDEX('Raw Data'!$A$4:F$998,$F799,8)= 1, 1, 0)</f>
        <v>#NUM!</v>
      </c>
      <c r="Q799" t="e">
        <f t="array" ref="Q799">IF(--INDEX('Raw Data'!$A$4:G$998,$F799,13)= 1, 1, 0)</f>
        <v>#NUM!</v>
      </c>
      <c r="R799" t="e">
        <f t="array" ref="R799">IF(--INDEX('Raw Data'!$A$4:H$998,$F799,14)= 1, 1, 0)</f>
        <v>#NUM!</v>
      </c>
      <c r="S799" t="e">
        <f t="array" ref="S799">IF(--INDEX('Raw Data'!$A$4:I$998,$F799,15)= 1, 1, 0)</f>
        <v>#NUM!</v>
      </c>
      <c r="T799" t="e">
        <f t="array" ref="T799">IF(--INDEX('Raw Data'!$A$4:I$998,$F799,15)= 1, 1, 0)</f>
        <v>#NUM!</v>
      </c>
      <c r="U799" t="e">
        <f t="array" ref="U799">IF(--INDEX('Raw Data'!$A$4:J$998,$F799,16)= 1, 1, 0)</f>
        <v>#NUM!</v>
      </c>
      <c r="V799" t="e">
        <f t="array" ref="V799">IF(--INDEX('Raw Data'!$A$4:K$998,$F799,17)= 1, 1, 0)</f>
        <v>#NUM!</v>
      </c>
      <c r="W799" t="e">
        <f t="array" ref="W799">INDEX('Raw Data'!$A:$O,$F799,19)</f>
        <v>#NUM!</v>
      </c>
      <c r="X799" t="e">
        <f t="array" ref="X799">INDEX('Raw Data'!$A:$O,$F799,20)</f>
        <v>#NUM!</v>
      </c>
      <c r="Y799" t="e">
        <f t="array" ref="Y799">INDEX('Raw Data'!$A:$O,F799,21)</f>
        <v>#NUM!</v>
      </c>
      <c r="Z799" t="e">
        <f t="array" ref="Z799">INDEX('Raw Data'!$A:$O,$F799,3)</f>
        <v>#NUM!</v>
      </c>
      <c r="AA799" t="e">
        <f t="array" ref="AA799">INDEX('Raw Data'!$A:$O,$F799,22)</f>
        <v>#NUM!</v>
      </c>
      <c r="AB799" t="e">
        <f t="array" ref="AB799">INDEX('Raw Data'!$A:$O,$F799,23)</f>
        <v>#NUM!</v>
      </c>
    </row>
    <row r="800" spans="1:44" x14ac:dyDescent="0.25">
      <c r="F800" t="e">
        <f t="array" ref="F800">SMALL(IF('Raw Data'!A:A=C787,ROW('Raw Data'!A:A)),ROW('Raw Data'!$13:$13))</f>
        <v>#NUM!</v>
      </c>
      <c r="G800" t="e">
        <f t="array" ref="G800">INDEX('Raw Data'!A:A,F800,9)</f>
        <v>#NUM!</v>
      </c>
      <c r="H800" t="e">
        <f t="array" ref="H800">INDEX('Raw Data'!A:A,F800,10)</f>
        <v>#NUM!</v>
      </c>
      <c r="I800" t="e">
        <f t="array" ref="I800">INDEX('Raw Data'!$A:A,$F800,11)</f>
        <v>#NUM!</v>
      </c>
      <c r="J800" t="e">
        <f t="array" ref="J800">INDEX('Raw Data'!$A:A,F800,12)</f>
        <v>#NUM!</v>
      </c>
      <c r="K800" t="e">
        <f t="array" ref="K800">(--INDEX('Raw Data'!$A$4:B$998,F800,4))</f>
        <v>#NUM!</v>
      </c>
      <c r="L800" t="e">
        <f t="array" ref="L800">(--INDEX('Raw Data'!$A$4:B$998,F800,5))</f>
        <v>#NUM!</v>
      </c>
      <c r="M800" t="e">
        <f t="array" ref="M800">(--INDEX('Raw Data'!$A$4:D$998,$F800,6))</f>
        <v>#NUM!</v>
      </c>
      <c r="N800" t="e">
        <f t="array" ref="N800">(--INDEX('Raw Data'!$A$4:D$998,$F800,7))</f>
        <v>#NUM!</v>
      </c>
      <c r="O800" t="e">
        <f t="array" ref="O800">IF(--INDEX('Raw Data'!$A$4:E$998,$F800,8)= 0, 1, 0)</f>
        <v>#NUM!</v>
      </c>
      <c r="P800" t="e">
        <f t="array" ref="P800">IF(--INDEX('Raw Data'!$A$4:F$998,$F800,8)= 1, 1, 0)</f>
        <v>#NUM!</v>
      </c>
      <c r="Q800" t="e">
        <f t="array" ref="Q800">IF(--INDEX('Raw Data'!$A$4:G$998,$F800,13)= 1, 1, 0)</f>
        <v>#NUM!</v>
      </c>
      <c r="R800" t="e">
        <f t="array" ref="R800">IF(--INDEX('Raw Data'!$A$4:H$998,$F800,14)= 1, 1, 0)</f>
        <v>#NUM!</v>
      </c>
      <c r="S800" t="e">
        <f t="array" ref="S800">IF(--INDEX('Raw Data'!$A$4:I$998,$F800,15)= 1, 1, 0)</f>
        <v>#NUM!</v>
      </c>
      <c r="T800" t="e">
        <f t="array" ref="T800">IF(--INDEX('Raw Data'!$A$4:I$998,$F800,15)= 1, 1, 0)</f>
        <v>#NUM!</v>
      </c>
      <c r="U800" t="e">
        <f t="array" ref="U800">IF(--INDEX('Raw Data'!$A$4:J$998,$F800,16)= 1, 1, 0)</f>
        <v>#NUM!</v>
      </c>
      <c r="V800" t="e">
        <f t="array" ref="V800">IF(--INDEX('Raw Data'!$A$4:K$998,$F800,17)= 1, 1, 0)</f>
        <v>#NUM!</v>
      </c>
      <c r="W800" t="e">
        <f t="array" ref="W800">INDEX('Raw Data'!$A:$O,$F800,19)</f>
        <v>#NUM!</v>
      </c>
      <c r="X800" t="e">
        <f t="array" ref="X800">INDEX('Raw Data'!$A:$O,$F800,20)</f>
        <v>#NUM!</v>
      </c>
      <c r="Y800" t="e">
        <f t="array" ref="Y800">INDEX('Raw Data'!$A:$O,F800,21)</f>
        <v>#NUM!</v>
      </c>
      <c r="Z800" t="e">
        <f t="array" ref="Z800">INDEX('Raw Data'!$A:$O,$F800,3)</f>
        <v>#NUM!</v>
      </c>
      <c r="AA800" t="e">
        <f t="array" ref="AA800">INDEX('Raw Data'!$A:$O,$F800,22)</f>
        <v>#NUM!</v>
      </c>
      <c r="AB800" t="e">
        <f t="array" ref="AB800">INDEX('Raw Data'!$A:$O,$F800,23)</f>
        <v>#NUM!</v>
      </c>
    </row>
    <row r="801" spans="1:44" x14ac:dyDescent="0.25">
      <c r="F801" t="e">
        <f t="array" ref="F801">SMALL(IF('Raw Data'!A:A=C787,ROW('Raw Data'!A:A)),ROW('Raw Data'!$14:$14))</f>
        <v>#NUM!</v>
      </c>
      <c r="G801" t="e">
        <f t="array" ref="G801">INDEX('Raw Data'!A:A,F801,9)</f>
        <v>#NUM!</v>
      </c>
      <c r="H801" t="e">
        <f t="array" ref="H801">INDEX('Raw Data'!A:A,F801,10)</f>
        <v>#NUM!</v>
      </c>
      <c r="I801" t="e">
        <f t="array" ref="I801">INDEX('Raw Data'!$A:A,$F801,11)</f>
        <v>#NUM!</v>
      </c>
      <c r="J801" t="e">
        <f t="array" ref="J801">INDEX('Raw Data'!$A:A,F801,12)</f>
        <v>#NUM!</v>
      </c>
      <c r="K801" t="e">
        <f t="array" ref="K801">(--INDEX('Raw Data'!$A$4:B$998,F801,4))</f>
        <v>#NUM!</v>
      </c>
      <c r="L801" t="e">
        <f t="array" ref="L801">(--INDEX('Raw Data'!$A$4:B$998,F801,5))</f>
        <v>#NUM!</v>
      </c>
      <c r="M801" t="e">
        <f t="array" ref="M801">(--INDEX('Raw Data'!$A$4:D$998,$F801,6))</f>
        <v>#NUM!</v>
      </c>
      <c r="N801" t="e">
        <f t="array" ref="N801">(--INDEX('Raw Data'!$A$4:D$998,$F801,7))</f>
        <v>#NUM!</v>
      </c>
      <c r="O801" t="e">
        <f t="array" ref="O801">IF(--INDEX('Raw Data'!$A$4:E$998,$F801,8)= 0, 1, 0)</f>
        <v>#NUM!</v>
      </c>
      <c r="P801" t="e">
        <f t="array" ref="P801">IF(--INDEX('Raw Data'!$A$4:F$998,$F801,8)= 1, 1, 0)</f>
        <v>#NUM!</v>
      </c>
      <c r="Q801" t="e">
        <f t="array" ref="Q801">IF(--INDEX('Raw Data'!$A$4:G$998,$F801,13)= 1, 1, 0)</f>
        <v>#NUM!</v>
      </c>
      <c r="R801" t="e">
        <f t="array" ref="R801">IF(--INDEX('Raw Data'!$A$4:H$998,$F801,14)= 1, 1, 0)</f>
        <v>#NUM!</v>
      </c>
      <c r="S801" t="e">
        <f t="array" ref="S801">IF(--INDEX('Raw Data'!$A$4:I$998,$F801,15)= 1, 1, 0)</f>
        <v>#NUM!</v>
      </c>
      <c r="T801" t="e">
        <f t="array" ref="T801">IF(--INDEX('Raw Data'!$A$4:I$998,$F801,15)= 1, 1, 0)</f>
        <v>#NUM!</v>
      </c>
      <c r="U801" t="e">
        <f t="array" ref="U801">IF(--INDEX('Raw Data'!$A$4:J$998,$F801,16)= 1, 1, 0)</f>
        <v>#NUM!</v>
      </c>
      <c r="V801" t="e">
        <f t="array" ref="V801">IF(--INDEX('Raw Data'!$A$4:K$998,$F801,17)= 1, 1, 0)</f>
        <v>#NUM!</v>
      </c>
      <c r="W801" t="e">
        <f t="array" ref="W801">INDEX('Raw Data'!$A:$O,$F801,19)</f>
        <v>#NUM!</v>
      </c>
      <c r="X801" t="e">
        <f t="array" ref="X801">INDEX('Raw Data'!$A:$O,$F801,20)</f>
        <v>#NUM!</v>
      </c>
      <c r="Y801" t="e">
        <f t="array" ref="Y801">INDEX('Raw Data'!$A:$O,F801,21)</f>
        <v>#NUM!</v>
      </c>
      <c r="Z801" t="e">
        <f t="array" ref="Z801">INDEX('Raw Data'!$A:$O,$F801,3)</f>
        <v>#NUM!</v>
      </c>
      <c r="AA801" t="e">
        <f t="array" ref="AA801">INDEX('Raw Data'!$A:$O,$F801,22)</f>
        <v>#NUM!</v>
      </c>
      <c r="AB801" t="e">
        <f t="array" ref="AB801">INDEX('Raw Data'!$A:$O,$F801,23)</f>
        <v>#NUM!</v>
      </c>
    </row>
    <row r="802" spans="1:44" x14ac:dyDescent="0.25">
      <c r="F802" t="e">
        <f t="array" ref="F802">SMALL(IF('Raw Data'!A:A=C787,ROW('Raw Data'!A:A)),ROW('Raw Data'!$15:$15))</f>
        <v>#NUM!</v>
      </c>
      <c r="G802" t="e">
        <f t="array" ref="G802">INDEX('Raw Data'!A:A,F802,9)</f>
        <v>#NUM!</v>
      </c>
      <c r="H802" t="e">
        <f t="array" ref="H802">INDEX('Raw Data'!A:A,F802,10)</f>
        <v>#NUM!</v>
      </c>
      <c r="I802" t="e">
        <f t="array" ref="I802">INDEX('Raw Data'!$A:A,$F802,11)</f>
        <v>#NUM!</v>
      </c>
      <c r="J802" t="e">
        <f t="array" ref="J802">INDEX('Raw Data'!$A:A,F802,12)</f>
        <v>#NUM!</v>
      </c>
      <c r="K802" t="e">
        <f t="array" ref="K802">(--INDEX('Raw Data'!$A$4:B$998,F802,4))</f>
        <v>#NUM!</v>
      </c>
      <c r="L802" t="e">
        <f t="array" ref="L802">(--INDEX('Raw Data'!$A$4:B$998,F802,5))</f>
        <v>#NUM!</v>
      </c>
      <c r="M802" t="e">
        <f t="array" ref="M802">(--INDEX('Raw Data'!$A$4:D$998,$F802,6))</f>
        <v>#NUM!</v>
      </c>
      <c r="N802" t="e">
        <f t="array" ref="N802">(--INDEX('Raw Data'!$A$4:D$998,$F802,7))</f>
        <v>#NUM!</v>
      </c>
      <c r="O802" t="e">
        <f t="array" ref="O802">IF(--INDEX('Raw Data'!$A$4:E$998,$F802,8)= 0, 1, 0)</f>
        <v>#NUM!</v>
      </c>
      <c r="P802" t="e">
        <f t="array" ref="P802">IF(--INDEX('Raw Data'!$A$4:F$998,$F802,8)= 1, 1, 0)</f>
        <v>#NUM!</v>
      </c>
      <c r="Q802" t="e">
        <f t="array" ref="Q802">IF(--INDEX('Raw Data'!$A$4:G$998,$F802,13)= 1, 1, 0)</f>
        <v>#NUM!</v>
      </c>
      <c r="R802" t="e">
        <f t="array" ref="R802">IF(--INDEX('Raw Data'!$A$4:H$998,$F802,14)= 1, 1, 0)</f>
        <v>#NUM!</v>
      </c>
      <c r="S802" t="e">
        <f t="array" ref="S802">IF(--INDEX('Raw Data'!$A$4:I$998,$F802,15)= 1, 1, 0)</f>
        <v>#NUM!</v>
      </c>
      <c r="T802" t="e">
        <f t="array" ref="T802">IF(--INDEX('Raw Data'!$A$4:I$998,$F802,15)= 1, 1, 0)</f>
        <v>#NUM!</v>
      </c>
      <c r="U802" t="e">
        <f t="array" ref="U802">IF(--INDEX('Raw Data'!$A$4:J$998,$F802,16)= 1, 1, 0)</f>
        <v>#NUM!</v>
      </c>
      <c r="V802" t="e">
        <f t="array" ref="V802">IF(--INDEX('Raw Data'!$A$4:K$998,$F802,17)= 1, 1, 0)</f>
        <v>#NUM!</v>
      </c>
      <c r="W802" t="e">
        <f t="array" ref="W802">INDEX('Raw Data'!$A:$O,$F802,19)</f>
        <v>#NUM!</v>
      </c>
      <c r="X802" t="e">
        <f t="array" ref="X802">INDEX('Raw Data'!$A:$O,$F802,20)</f>
        <v>#NUM!</v>
      </c>
      <c r="Y802" t="e">
        <f t="array" ref="Y802">INDEX('Raw Data'!$A:$O,F802,21)</f>
        <v>#NUM!</v>
      </c>
      <c r="Z802" t="e">
        <f t="array" ref="Z802">INDEX('Raw Data'!$A:$O,$F802,3)</f>
        <v>#NUM!</v>
      </c>
      <c r="AA802" t="e">
        <f t="array" ref="AA802">INDEX('Raw Data'!$A:$O,$F802,22)</f>
        <v>#NUM!</v>
      </c>
      <c r="AB802" t="e">
        <f t="array" ref="AB802">INDEX('Raw Data'!$A:$O,$F802,23)</f>
        <v>#NUM!</v>
      </c>
    </row>
    <row r="803" spans="1:44" x14ac:dyDescent="0.25">
      <c r="A803" t="s">
        <v>55</v>
      </c>
      <c r="C803" s="2" t="e">
        <f>B793/B792</f>
        <v>#DIV/0!</v>
      </c>
      <c r="F803">
        <f t="array" ref="F803">COUNTIF(F788:F802,"&gt;0")</f>
        <v>0</v>
      </c>
      <c r="G803">
        <f t="array" ref="G803">SUMIF(G788:G802,"&gt;0")</f>
        <v>0</v>
      </c>
      <c r="H803">
        <f t="array" ref="H803">SUMIF(H788:H802,"&gt;0")</f>
        <v>0</v>
      </c>
      <c r="I803">
        <f t="array" ref="I803">SUMIF(I788:I802,"&gt;0")</f>
        <v>0</v>
      </c>
      <c r="J803">
        <f t="array" ref="J803">SUMIF(J788:J802,"&gt;0")</f>
        <v>0</v>
      </c>
      <c r="K803">
        <f t="array" ref="K803">SUMIF(K788:K802,"&gt;0")</f>
        <v>0</v>
      </c>
      <c r="L803">
        <f t="array" ref="L803">SUMIF(L788:L802,"&gt;0")</f>
        <v>0</v>
      </c>
      <c r="M803">
        <f t="array" ref="M803">SUMIF(M788:M802,"&gt;0")</f>
        <v>0</v>
      </c>
      <c r="N803">
        <f t="array" ref="N803">SUMIF(N788:N802,"&gt;0")</f>
        <v>0</v>
      </c>
      <c r="O803">
        <f t="array" ref="O803">SUMIF(O788:O802,"&gt;0")</f>
        <v>0</v>
      </c>
      <c r="P803">
        <f t="array" ref="P803">SUMIF(P788:P802,"&gt;0")</f>
        <v>0</v>
      </c>
      <c r="Q803">
        <f t="array" ref="Q803">SUMIF(Q788:Q802,"&gt;0")</f>
        <v>0</v>
      </c>
      <c r="R803">
        <f t="array" ref="R803">SUMIF(R788:R802,"&gt;0")</f>
        <v>0</v>
      </c>
      <c r="S803">
        <f t="array" ref="S803">SUMIF(S788:S802,"&gt;0")</f>
        <v>0</v>
      </c>
      <c r="T803">
        <f t="array" ref="T803">SUMIF(T788:T802,"&gt;0")</f>
        <v>0</v>
      </c>
      <c r="U803">
        <f t="array" ref="U803">SUMIF(U788:U802,"&gt;0")</f>
        <v>0</v>
      </c>
      <c r="V803">
        <f t="array" ref="V803">SUMIF(V788:V802,"&gt;0")</f>
        <v>0</v>
      </c>
      <c r="W803">
        <f t="array" ref="W803">SUMIF(W788:W802,"&gt;0")</f>
        <v>0</v>
      </c>
      <c r="X803">
        <f t="array" ref="X803">SUMIF(X788:X802,"&gt;0")</f>
        <v>0</v>
      </c>
      <c r="Y803">
        <f t="array" ref="Y803">SUMIF(Y788:Y802,"&gt;0")</f>
        <v>0</v>
      </c>
      <c r="Z803">
        <f t="array" ref="Z803">SUMIF(Z788:Z802,"&gt;0")</f>
        <v>0</v>
      </c>
      <c r="AA803">
        <f t="array" ref="AA803">SUMIF(AA788:AA802,"&gt;0")</f>
        <v>0</v>
      </c>
      <c r="AB803">
        <f t="array" ref="AB803">SUMIF(AB788:AB802,"&gt;0")</f>
        <v>0</v>
      </c>
    </row>
    <row r="804" spans="1:44" x14ac:dyDescent="0.25">
      <c r="A804" t="s">
        <v>58</v>
      </c>
      <c r="C804" s="2">
        <f t="array" ref="C804">IF((K803+L803)&lt;&gt;0, (L803/(K803+L803)),0)</f>
        <v>0</v>
      </c>
      <c r="J804" s="6">
        <f t="array" ref="J804">J803*10</f>
        <v>0</v>
      </c>
      <c r="K804" s="6"/>
      <c r="P804" t="s">
        <v>95</v>
      </c>
      <c r="Q804" s="2" t="e">
        <f t="array" ref="Q804">Q803/$F803</f>
        <v>#DIV/0!</v>
      </c>
      <c r="R804" s="2" t="e">
        <f t="array" ref="R804">R803/$F803</f>
        <v>#DIV/0!</v>
      </c>
      <c r="S804" s="2" t="e">
        <f t="array" ref="S804">S803/$F803</f>
        <v>#DIV/0!</v>
      </c>
      <c r="T804" s="2" t="e">
        <f t="array" ref="T804">T803/$F803</f>
        <v>#DIV/0!</v>
      </c>
      <c r="U804" s="2" t="e">
        <f t="array" ref="U804">U803/$F803</f>
        <v>#DIV/0!</v>
      </c>
      <c r="V804" s="2" t="e">
        <f t="array" ref="V804">V803/$F803</f>
        <v>#DIV/0!</v>
      </c>
      <c r="W804" s="2" t="e">
        <f t="array" ref="W804">W803/$F803</f>
        <v>#DIV/0!</v>
      </c>
      <c r="X804" s="2" t="e">
        <f t="array" ref="X804">X803/$F803</f>
        <v>#DIV/0!</v>
      </c>
      <c r="Z804" s="2" t="e">
        <f t="array" ref="Z804">Z803/F803</f>
        <v>#DIV/0!</v>
      </c>
    </row>
    <row r="805" spans="1:44" x14ac:dyDescent="0.25">
      <c r="A805" t="s">
        <v>60</v>
      </c>
      <c r="C805" s="2">
        <f t="array" ref="C805">IF((M803+N803)&lt;&gt;0, (N803/(M803+N803)),0)</f>
        <v>0</v>
      </c>
      <c r="J805" s="6"/>
      <c r="K805" s="6"/>
    </row>
    <row r="806" spans="1:44" ht="28.5" x14ac:dyDescent="0.45">
      <c r="A806" t="s">
        <v>61</v>
      </c>
      <c r="C806" s="2">
        <f t="array" ref="C806">IF(((K803+N803+L803+M803)&lt;&gt;0), ((L803+N803)/(K803+N803+L803+M803)),0)</f>
        <v>0</v>
      </c>
      <c r="F806" s="17" t="s">
        <v>106</v>
      </c>
      <c r="G806" s="17" t="e">
        <f t="array" ref="G806">'Weighting &amp; Ranking Sheet'!$B$3*Math!$C804+'Weighting &amp; Ranking Sheet'!$B$4*Math!$C805+'Weighting &amp; Ranking Sheet'!$B$5*Math!$C806+'Weighting &amp; Ranking Sheet'!$B$6*Math!$C807+'Weighting &amp; Ranking Sheet'!$B$7*Math!$C791+'Weighting &amp; Ranking Sheet'!$B$8*Math!$C803+'Weighting &amp; Ranking Sheet'!$B$9*Math!$C810+'Weighting &amp; Ranking Sheet'!$B$10*Math!$C808+'Weighting &amp; Ranking Sheet'!$B$11*Math!$C809+'Weighting &amp; Ranking Sheet'!$B$12*Math!$C811*0.01+'Weighting &amp; Ranking Sheet'!$B$13*Math!$Q804+'Weighting &amp; Ranking Sheet'!$B$14*Math!$R804+'Weighting &amp; Ranking Sheet'!$B$15*Math!$S804+'Weighting &amp; Ranking Sheet'!$B$16*Math!$T804+'Weighting &amp; Ranking Sheet'!$B$17*Math!$U804+'Weighting &amp; Ranking Sheet'!$B$18*Math!$V804+'Weighting &amp; Ranking Sheet'!$B$2*Math!$Z804</f>
        <v>#DIV/0!</v>
      </c>
      <c r="J806"/>
      <c r="K806"/>
    </row>
    <row r="807" spans="1:44" x14ac:dyDescent="0.25">
      <c r="A807" t="s">
        <v>62</v>
      </c>
      <c r="C807" s="2">
        <f t="array" ref="C807">IF((O803+P803&lt;&gt;0),(P803/(O803+P803)), 0)</f>
        <v>0</v>
      </c>
      <c r="J807"/>
      <c r="K807"/>
      <c r="AR807" s="25"/>
    </row>
    <row r="808" spans="1:44" x14ac:dyDescent="0.25">
      <c r="A808" t="s">
        <v>77</v>
      </c>
      <c r="C808" s="8" t="e">
        <f t="array" ref="C808">W803/F803</f>
        <v>#DIV/0!</v>
      </c>
      <c r="J808"/>
      <c r="K808"/>
      <c r="AR808" s="23"/>
    </row>
    <row r="809" spans="1:44" x14ac:dyDescent="0.25">
      <c r="A809" t="s">
        <v>78</v>
      </c>
      <c r="C809" s="8" t="e">
        <f t="array" ref="C809">X803/F803</f>
        <v>#DIV/0!</v>
      </c>
      <c r="J809"/>
      <c r="K809"/>
    </row>
    <row r="810" spans="1:44" x14ac:dyDescent="0.25">
      <c r="A810" t="s">
        <v>91</v>
      </c>
      <c r="C810" s="2" t="e">
        <f t="array" ref="C810">(C791+C803)/2</f>
        <v>#DIV/0!</v>
      </c>
      <c r="J810"/>
      <c r="K810"/>
    </row>
    <row r="811" spans="1:44" x14ac:dyDescent="0.25">
      <c r="A811" t="s">
        <v>92</v>
      </c>
      <c r="C811" s="8" t="e">
        <f t="array" ref="C811">Y803/F803</f>
        <v>#DIV/0!</v>
      </c>
      <c r="J811"/>
      <c r="K811"/>
    </row>
    <row r="812" spans="1:44" x14ac:dyDescent="0.25">
      <c r="C812" s="8"/>
      <c r="J812" s="6"/>
      <c r="K812" s="6"/>
    </row>
    <row r="813" spans="1:44" x14ac:dyDescent="0.25">
      <c r="C813" s="8"/>
      <c r="J813" s="6"/>
      <c r="K813" s="6"/>
    </row>
    <row r="814" spans="1:44" x14ac:dyDescent="0.25">
      <c r="J814" s="6"/>
      <c r="K814" s="6"/>
    </row>
    <row r="815" spans="1:44" x14ac:dyDescent="0.25">
      <c r="A815" t="s">
        <v>3</v>
      </c>
      <c r="C815" s="5">
        <v>2729</v>
      </c>
      <c r="F815" t="s">
        <v>33</v>
      </c>
    </row>
    <row r="816" spans="1:44" x14ac:dyDescent="0.25">
      <c r="F816" t="e">
        <f t="array" ref="F816">SMALL(IF('Raw Data'!A:A=C815,ROW('Raw Data'!A:A)),ROW('Raw Data'!$1:$1))</f>
        <v>#NUM!</v>
      </c>
      <c r="G816" t="e">
        <f t="array" ref="G816">INDEX('Raw Data'!A:A,F816,9)</f>
        <v>#NUM!</v>
      </c>
      <c r="H816" t="e">
        <f t="array" ref="H816">INDEX('Raw Data'!A:A,F816,10)</f>
        <v>#NUM!</v>
      </c>
      <c r="I816" t="e">
        <f t="array" ref="I816">INDEX('Raw Data'!$A:A,$F816,11)</f>
        <v>#NUM!</v>
      </c>
      <c r="J816" t="e">
        <f t="array" ref="J816">INDEX('Raw Data'!$A:A,F816,12)</f>
        <v>#NUM!</v>
      </c>
      <c r="K816" t="e">
        <f>(--INDEX('Raw Data'!$A$4:B$993,F816,4))</f>
        <v>#NUM!</v>
      </c>
      <c r="L816" t="e">
        <f t="array" ref="L816">(--INDEX('Raw Data'!$A$4:B$993,F816,5))</f>
        <v>#NUM!</v>
      </c>
      <c r="M816" t="e">
        <f t="array" ref="M816">(--INDEX('Raw Data'!$A$4:D$993,$F816,6))</f>
        <v>#NUM!</v>
      </c>
      <c r="N816" t="e">
        <f t="array" ref="N816">(--INDEX('Raw Data'!$A$4:D$993,$F816,7))</f>
        <v>#NUM!</v>
      </c>
      <c r="O816" t="e">
        <f t="array" ref="O816">IF(--INDEX('Raw Data'!$A$4:E$993,$F816,8)= 0, 1, 0)</f>
        <v>#NUM!</v>
      </c>
      <c r="P816" t="e">
        <f t="array" ref="P816">IF(--INDEX('Raw Data'!$A$4:F$993,$F816,8)= 1, 1, 0)</f>
        <v>#NUM!</v>
      </c>
      <c r="Q816" t="e">
        <f t="array" ref="Q816">IF(--INDEX('Raw Data'!$A$4:G$993,$F816,13)= 1, 1, 0)</f>
        <v>#NUM!</v>
      </c>
      <c r="R816" t="e">
        <f t="array" ref="R816">IF(--INDEX('Raw Data'!$A$4:H$993,$F816,14)= 1, 1, 0)</f>
        <v>#NUM!</v>
      </c>
      <c r="S816" t="e">
        <f t="array" ref="S816">IF(--INDEX('Raw Data'!$A$4:I$993,$F816,15)= 1, 1, 0)</f>
        <v>#NUM!</v>
      </c>
      <c r="T816" t="e">
        <f t="array" ref="T816">IF(--INDEX('Raw Data'!$A$4:I$993,$F816,15)= 1, 1, 0)</f>
        <v>#NUM!</v>
      </c>
      <c r="U816" t="e">
        <f t="array" ref="U816">IF(--INDEX('Raw Data'!$A$4:J$993,$F816,16)= 1, 1, 0)</f>
        <v>#NUM!</v>
      </c>
      <c r="V816" t="e">
        <f t="array" ref="V816">IF(--INDEX('Raw Data'!$A$4:K$993,$F816,17)= 1, 1, 0)</f>
        <v>#NUM!</v>
      </c>
      <c r="W816" t="e">
        <f t="array" ref="W816">INDEX('Raw Data'!$A:$O,$F816,19)</f>
        <v>#NUM!</v>
      </c>
      <c r="X816" t="e">
        <f t="array" ref="X816">INDEX('Raw Data'!$A:$O,$F816,20)</f>
        <v>#NUM!</v>
      </c>
      <c r="Y816" t="e">
        <f t="array" ref="Y816">INDEX('Raw Data'!$A:$O,F816,21)</f>
        <v>#NUM!</v>
      </c>
      <c r="Z816" t="e">
        <f t="array" ref="Z816">INDEX('Raw Data'!$A:$O,$F816,3)</f>
        <v>#NUM!</v>
      </c>
      <c r="AA816" t="e">
        <f t="array" ref="AA816">INDEX('Raw Data'!$A:$O,$F816,22)</f>
        <v>#NUM!</v>
      </c>
      <c r="AB816" t="e">
        <f t="array" ref="AB816">INDEX('Raw Data'!$A:$O,$F816,23)</f>
        <v>#NUM!</v>
      </c>
    </row>
    <row r="817" spans="1:44" x14ac:dyDescent="0.25">
      <c r="A817" t="s">
        <v>0</v>
      </c>
      <c r="B817">
        <f>G831</f>
        <v>0</v>
      </c>
      <c r="F817" t="e">
        <f t="array" ref="F817">SMALL(IF('Raw Data'!A:A=C815,ROW('Raw Data'!A:A)),ROW('Raw Data'!$2:$2))</f>
        <v>#NUM!</v>
      </c>
      <c r="G817" t="e">
        <f t="array" ref="G817">INDEX('Raw Data'!A:A,F817,9)</f>
        <v>#NUM!</v>
      </c>
      <c r="H817" t="e">
        <f t="array" ref="H817">INDEX('Raw Data'!A:A,F817,10)</f>
        <v>#NUM!</v>
      </c>
      <c r="I817" t="e">
        <f t="array" ref="I817">INDEX('Raw Data'!$A:A,$F817,11)</f>
        <v>#NUM!</v>
      </c>
      <c r="J817" t="e">
        <f t="array" ref="J817">INDEX('Raw Data'!$A:A,F817,12)</f>
        <v>#NUM!</v>
      </c>
      <c r="K817" t="e">
        <f>(--INDEX('Raw Data'!$A$4:B$993,F817,4))</f>
        <v>#NUM!</v>
      </c>
      <c r="L817" t="e">
        <f t="array" ref="L817">(--INDEX('Raw Data'!$A$4:B$993,F817,5))</f>
        <v>#NUM!</v>
      </c>
      <c r="M817" t="e">
        <f t="array" ref="M817">(--INDEX('Raw Data'!$A$4:D$993,$F817,6))</f>
        <v>#NUM!</v>
      </c>
      <c r="N817" t="e">
        <f t="array" ref="N817">(--INDEX('Raw Data'!$A$4:D$993,$F817,7))</f>
        <v>#NUM!</v>
      </c>
      <c r="O817" t="e">
        <f t="array" ref="O817">IF(--INDEX('Raw Data'!$A$4:E$993,$F817,8)= 0, 1, 0)</f>
        <v>#NUM!</v>
      </c>
      <c r="P817" t="e">
        <f t="array" ref="P817">IF(--INDEX('Raw Data'!$A$4:F$993,$F817,8)= 1, 1, 0)</f>
        <v>#NUM!</v>
      </c>
      <c r="Q817" t="e">
        <f t="array" ref="Q817">IF(--INDEX('Raw Data'!$A$4:G$993,$F817,13)= 1, 1, 0)</f>
        <v>#NUM!</v>
      </c>
      <c r="R817" t="e">
        <f t="array" ref="R817">IF(--INDEX('Raw Data'!$A$4:H$993,$F817,14)= 1, 1, 0)</f>
        <v>#NUM!</v>
      </c>
      <c r="S817" t="e">
        <f t="array" ref="S817">IF(--INDEX('Raw Data'!$A$4:I$993,$F817,15)= 1, 1, 0)</f>
        <v>#NUM!</v>
      </c>
      <c r="T817" t="e">
        <f t="array" ref="T817">IF(--INDEX('Raw Data'!$A$4:I$993,$F817,15)= 1, 1, 0)</f>
        <v>#NUM!</v>
      </c>
      <c r="U817" t="e">
        <f t="array" ref="U817">IF(--INDEX('Raw Data'!$A$4:J$993,$F817,16)= 1, 1, 0)</f>
        <v>#NUM!</v>
      </c>
      <c r="V817" t="e">
        <f t="array" ref="V817">IF(--INDEX('Raw Data'!$A$4:K$993,$F817,17)= 1, 1, 0)</f>
        <v>#NUM!</v>
      </c>
      <c r="W817" t="e">
        <f t="array" ref="W817">INDEX('Raw Data'!$A:$O,$F817,19)</f>
        <v>#NUM!</v>
      </c>
      <c r="X817" t="e">
        <f t="array" ref="X817">INDEX('Raw Data'!$A:$O,$F817,20)</f>
        <v>#NUM!</v>
      </c>
      <c r="Y817" t="e">
        <f t="array" ref="Y817">INDEX('Raw Data'!$A:$O,F817,21)</f>
        <v>#NUM!</v>
      </c>
      <c r="Z817" t="e">
        <f t="array" ref="Z817">INDEX('Raw Data'!$A:$O,$F817,3)</f>
        <v>#NUM!</v>
      </c>
      <c r="AA817" t="e">
        <f t="array" ref="AA817">INDEX('Raw Data'!$A:$O,$F817,22)</f>
        <v>#NUM!</v>
      </c>
      <c r="AB817" t="e">
        <f t="array" ref="AB817">INDEX('Raw Data'!$A:$O,$F817,23)</f>
        <v>#NUM!</v>
      </c>
    </row>
    <row r="818" spans="1:44" x14ac:dyDescent="0.25">
      <c r="A818" t="s">
        <v>1</v>
      </c>
      <c r="B818">
        <f>H831</f>
        <v>0</v>
      </c>
      <c r="F818" t="e">
        <f t="array" ref="F818">SMALL(IF('Raw Data'!A:A=C815,ROW('Raw Data'!A:A)),ROW('Raw Data'!$3:$3))</f>
        <v>#NUM!</v>
      </c>
      <c r="G818" t="e">
        <f t="array" ref="G818">INDEX('Raw Data'!A:A,F818,9)</f>
        <v>#NUM!</v>
      </c>
      <c r="H818" t="e">
        <f t="array" ref="H818">INDEX('Raw Data'!A:A,F818,10)</f>
        <v>#NUM!</v>
      </c>
      <c r="I818" t="e">
        <f t="array" ref="I818">INDEX('Raw Data'!$A:A,$F818,11)</f>
        <v>#NUM!</v>
      </c>
      <c r="J818" t="e">
        <f t="array" ref="J818">INDEX('Raw Data'!$A:A,F818,12)</f>
        <v>#NUM!</v>
      </c>
      <c r="K818" t="e">
        <f>(--INDEX('Raw Data'!$A$4:B$993,F818,4))</f>
        <v>#NUM!</v>
      </c>
      <c r="L818" t="e">
        <f t="array" ref="L818">(--INDEX('Raw Data'!$A$4:B$993,F818,5))</f>
        <v>#NUM!</v>
      </c>
      <c r="M818" t="e">
        <f t="array" ref="M818">(--INDEX('Raw Data'!$A$4:D$993,$F818,6))</f>
        <v>#NUM!</v>
      </c>
      <c r="N818" t="e">
        <f t="array" ref="N818">(--INDEX('Raw Data'!$A$4:D$993,$F818,7))</f>
        <v>#NUM!</v>
      </c>
      <c r="O818" t="e">
        <f t="array" ref="O818">IF(--INDEX('Raw Data'!$A$4:E$993,$F818,8)= 0, 1, 0)</f>
        <v>#NUM!</v>
      </c>
      <c r="P818" t="e">
        <f t="array" ref="P818">IF(--INDEX('Raw Data'!$A$4:F$993,$F818,8)= 1, 1, 0)</f>
        <v>#NUM!</v>
      </c>
      <c r="Q818" t="e">
        <f t="array" ref="Q818">IF(--INDEX('Raw Data'!$A$4:G$993,$F818,13)= 1, 1, 0)</f>
        <v>#NUM!</v>
      </c>
      <c r="R818" t="e">
        <f t="array" ref="R818">IF(--INDEX('Raw Data'!$A$4:H$993,$F818,14)= 1, 1, 0)</f>
        <v>#NUM!</v>
      </c>
      <c r="S818" t="e">
        <f t="array" ref="S818">IF(--INDEX('Raw Data'!$A$4:I$993,$F818,15)= 1, 1, 0)</f>
        <v>#NUM!</v>
      </c>
      <c r="T818" t="e">
        <f t="array" ref="T818">IF(--INDEX('Raw Data'!$A$4:I$993,$F818,15)= 1, 1, 0)</f>
        <v>#NUM!</v>
      </c>
      <c r="U818" t="e">
        <f t="array" ref="U818">IF(--INDEX('Raw Data'!$A$4:J$993,$F818,16)= 1, 1, 0)</f>
        <v>#NUM!</v>
      </c>
      <c r="V818" t="e">
        <f t="array" ref="V818">IF(--INDEX('Raw Data'!$A$4:K$993,$F818,17)= 1, 1, 0)</f>
        <v>#NUM!</v>
      </c>
      <c r="W818" t="e">
        <f t="array" ref="W818">INDEX('Raw Data'!$A:$O,$F818,19)</f>
        <v>#NUM!</v>
      </c>
      <c r="X818" t="e">
        <f t="array" ref="X818">INDEX('Raw Data'!$A:$O,$F818,20)</f>
        <v>#NUM!</v>
      </c>
      <c r="Y818" t="e">
        <f t="array" ref="Y818">INDEX('Raw Data'!$A:$O,F818,21)</f>
        <v>#NUM!</v>
      </c>
      <c r="Z818" t="e">
        <f t="array" ref="Z818">INDEX('Raw Data'!$A:$O,$F818,3)</f>
        <v>#NUM!</v>
      </c>
      <c r="AA818" t="e">
        <f t="array" ref="AA818">INDEX('Raw Data'!$A:$O,$F818,22)</f>
        <v>#NUM!</v>
      </c>
      <c r="AB818" t="e">
        <f t="array" ref="AB818">INDEX('Raw Data'!$A:$O,$F818,23)</f>
        <v>#NUM!</v>
      </c>
    </row>
    <row r="819" spans="1:44" x14ac:dyDescent="0.25">
      <c r="A819" t="s">
        <v>2</v>
      </c>
      <c r="C819" s="3" t="e">
        <f>B818/B817</f>
        <v>#DIV/0!</v>
      </c>
      <c r="F819" t="e">
        <f t="array" ref="F819">SMALL(IF('Raw Data'!A:A=C815,ROW('Raw Data'!A:A)),ROW('Raw Data'!$4:$4))</f>
        <v>#NUM!</v>
      </c>
      <c r="G819" t="e">
        <f t="array" ref="G819">INDEX('Raw Data'!A:A,F819,9)</f>
        <v>#NUM!</v>
      </c>
      <c r="H819" t="e">
        <f t="array" ref="H819">INDEX('Raw Data'!A:A,F819,10)</f>
        <v>#NUM!</v>
      </c>
      <c r="I819" t="e">
        <f t="array" ref="I819">INDEX('Raw Data'!$A:A,$F819,11)</f>
        <v>#NUM!</v>
      </c>
      <c r="J819" t="e">
        <f t="array" ref="J819">INDEX('Raw Data'!$A:A,F819,12)</f>
        <v>#NUM!</v>
      </c>
      <c r="K819" t="e">
        <f>(--INDEX('Raw Data'!$A$4:B$993,F819,4))</f>
        <v>#NUM!</v>
      </c>
      <c r="L819" t="e">
        <f t="array" ref="L819">(--INDEX('Raw Data'!$A$4:B$993,F819,5))</f>
        <v>#NUM!</v>
      </c>
      <c r="M819" t="e">
        <f t="array" ref="M819">(--INDEX('Raw Data'!$A$4:D$993,$F819,6))</f>
        <v>#NUM!</v>
      </c>
      <c r="N819" t="e">
        <f t="array" ref="N819">(--INDEX('Raw Data'!$A$4:D$993,$F819,7))</f>
        <v>#NUM!</v>
      </c>
      <c r="O819" t="e">
        <f t="array" ref="O819">IF(--INDEX('Raw Data'!$A$4:E$993,$F819,8)= 0, 1, 0)</f>
        <v>#NUM!</v>
      </c>
      <c r="P819" t="e">
        <f t="array" ref="P819">IF(--INDEX('Raw Data'!$A$4:F$993,$F819,8)= 1, 1, 0)</f>
        <v>#NUM!</v>
      </c>
      <c r="Q819" t="e">
        <f t="array" ref="Q819">IF(--INDEX('Raw Data'!$A$4:G$993,$F819,13)= 1, 1, 0)</f>
        <v>#NUM!</v>
      </c>
      <c r="R819" t="e">
        <f t="array" ref="R819">IF(--INDEX('Raw Data'!$A$4:H$993,$F819,14)= 1, 1, 0)</f>
        <v>#NUM!</v>
      </c>
      <c r="S819" t="e">
        <f t="array" ref="S819">IF(--INDEX('Raw Data'!$A$4:I$993,$F819,15)= 1, 1, 0)</f>
        <v>#NUM!</v>
      </c>
      <c r="T819" t="e">
        <f t="array" ref="T819">IF(--INDEX('Raw Data'!$A$4:I$993,$F819,15)= 1, 1, 0)</f>
        <v>#NUM!</v>
      </c>
      <c r="U819" t="e">
        <f t="array" ref="U819">IF(--INDEX('Raw Data'!$A$4:J$993,$F819,16)= 1, 1, 0)</f>
        <v>#NUM!</v>
      </c>
      <c r="V819" t="e">
        <f t="array" ref="V819">IF(--INDEX('Raw Data'!$A$4:K$993,$F819,17)= 1, 1, 0)</f>
        <v>#NUM!</v>
      </c>
      <c r="W819" t="e">
        <f t="array" ref="W819">INDEX('Raw Data'!$A:$O,$F819,19)</f>
        <v>#NUM!</v>
      </c>
      <c r="X819" t="e">
        <f t="array" ref="X819">INDEX('Raw Data'!$A:$O,$F819,20)</f>
        <v>#NUM!</v>
      </c>
      <c r="Y819" t="e">
        <f t="array" ref="Y819">INDEX('Raw Data'!$A:$O,F819,21)</f>
        <v>#NUM!</v>
      </c>
      <c r="Z819" t="e">
        <f t="array" ref="Z819">INDEX('Raw Data'!$A:$O,$F819,3)</f>
        <v>#NUM!</v>
      </c>
      <c r="AA819" t="e">
        <f t="array" ref="AA819">INDEX('Raw Data'!$A:$O,$F819,22)</f>
        <v>#NUM!</v>
      </c>
      <c r="AB819" t="e">
        <f t="array" ref="AB819">INDEX('Raw Data'!$A:$O,$F819,23)</f>
        <v>#NUM!</v>
      </c>
    </row>
    <row r="820" spans="1:44" x14ac:dyDescent="0.25">
      <c r="A820" t="s">
        <v>54</v>
      </c>
      <c r="B820">
        <f>I831</f>
        <v>0</v>
      </c>
      <c r="F820" t="e">
        <f t="array" ref="F820">SMALL(IF('Raw Data'!A:A=C815,ROW('Raw Data'!A:A)),ROW('Raw Data'!$5:$5))</f>
        <v>#NUM!</v>
      </c>
      <c r="G820" t="e">
        <f t="array" ref="G820">INDEX('Raw Data'!A:A,F820,9)</f>
        <v>#NUM!</v>
      </c>
      <c r="H820" t="e">
        <f t="array" ref="H820">INDEX('Raw Data'!A:A,F820,10)</f>
        <v>#NUM!</v>
      </c>
      <c r="I820" t="e">
        <f t="array" ref="I820">INDEX('Raw Data'!$A:A,$F820,11)</f>
        <v>#NUM!</v>
      </c>
      <c r="J820" t="e">
        <f t="array" ref="J820">INDEX('Raw Data'!$A:A,F820,12)</f>
        <v>#NUM!</v>
      </c>
      <c r="K820" t="e">
        <f>(--INDEX('Raw Data'!$A$4:B$993,F820,4))</f>
        <v>#NUM!</v>
      </c>
      <c r="L820" t="e">
        <f t="array" ref="L820">(--INDEX('Raw Data'!$A$4:B$993,F820,5))</f>
        <v>#NUM!</v>
      </c>
      <c r="M820" t="e">
        <f t="array" ref="M820">(--INDEX('Raw Data'!$A$4:D$993,$F820,6))</f>
        <v>#NUM!</v>
      </c>
      <c r="N820" t="e">
        <f t="array" ref="N820">(--INDEX('Raw Data'!$A$4:D$993,$F820,7))</f>
        <v>#NUM!</v>
      </c>
      <c r="O820" t="e">
        <f t="array" ref="O820">IF(--INDEX('Raw Data'!$A$4:E$993,$F820,8)= 0, 1, 0)</f>
        <v>#NUM!</v>
      </c>
      <c r="P820" t="e">
        <f t="array" ref="P820">IF(--INDEX('Raw Data'!$A$4:F$993,$F820,8)= 1, 1, 0)</f>
        <v>#NUM!</v>
      </c>
      <c r="Q820" t="e">
        <f t="array" ref="Q820">IF(--INDEX('Raw Data'!$A$4:G$993,$F820,13)= 1, 1, 0)</f>
        <v>#NUM!</v>
      </c>
      <c r="R820" t="e">
        <f t="array" ref="R820">IF(--INDEX('Raw Data'!$A$4:H$993,$F820,14)= 1, 1, 0)</f>
        <v>#NUM!</v>
      </c>
      <c r="S820" t="e">
        <f t="array" ref="S820">IF(--INDEX('Raw Data'!$A$4:I$993,$F820,15)= 1, 1, 0)</f>
        <v>#NUM!</v>
      </c>
      <c r="T820" t="e">
        <f t="array" ref="T820">IF(--INDEX('Raw Data'!$A$4:I$993,$F820,15)= 1, 1, 0)</f>
        <v>#NUM!</v>
      </c>
      <c r="U820" t="e">
        <f t="array" ref="U820">IF(--INDEX('Raw Data'!$A$4:J$993,$F820,16)= 1, 1, 0)</f>
        <v>#NUM!</v>
      </c>
      <c r="V820" t="e">
        <f t="array" ref="V820">IF(--INDEX('Raw Data'!$A$4:K$993,$F820,17)= 1, 1, 0)</f>
        <v>#NUM!</v>
      </c>
      <c r="W820" t="e">
        <f t="array" ref="W820">INDEX('Raw Data'!$A:$O,$F820,19)</f>
        <v>#NUM!</v>
      </c>
      <c r="X820" t="e">
        <f t="array" ref="X820">INDEX('Raw Data'!$A:$O,$F820,20)</f>
        <v>#NUM!</v>
      </c>
      <c r="Y820" t="e">
        <f t="array" ref="Y820">INDEX('Raw Data'!$A:$O,F820,21)</f>
        <v>#NUM!</v>
      </c>
      <c r="Z820" t="e">
        <f t="array" ref="Z820">INDEX('Raw Data'!$A:$O,$F820,3)</f>
        <v>#NUM!</v>
      </c>
      <c r="AA820" t="e">
        <f t="array" ref="AA820">INDEX('Raw Data'!$A:$O,$F820,22)</f>
        <v>#NUM!</v>
      </c>
      <c r="AB820" t="e">
        <f t="array" ref="AB820">INDEX('Raw Data'!$A:$O,$F820,23)</f>
        <v>#NUM!</v>
      </c>
      <c r="AR820" s="25"/>
    </row>
    <row r="821" spans="1:44" x14ac:dyDescent="0.25">
      <c r="A821" t="s">
        <v>35</v>
      </c>
      <c r="B821">
        <f>J831</f>
        <v>0</v>
      </c>
      <c r="F821" t="e">
        <f t="array" ref="F821">SMALL(IF('Raw Data'!A:A=C815,ROW('Raw Data'!A:A)),ROW('Raw Data'!$6:$6))</f>
        <v>#NUM!</v>
      </c>
      <c r="G821" t="e">
        <f t="array" ref="G821">INDEX('Raw Data'!A:A,F821,9)</f>
        <v>#NUM!</v>
      </c>
      <c r="H821" t="e">
        <f t="array" ref="H821">INDEX('Raw Data'!A:A,F821,10)</f>
        <v>#NUM!</v>
      </c>
      <c r="I821" t="e">
        <f t="array" ref="I821">INDEX('Raw Data'!$A:A,$F821,11)</f>
        <v>#NUM!</v>
      </c>
      <c r="J821" t="e">
        <f t="array" ref="J821">INDEX('Raw Data'!$A:A,F821,12)</f>
        <v>#NUM!</v>
      </c>
      <c r="K821" t="e">
        <f>(--INDEX('Raw Data'!$A$4:B$993,F821,4))</f>
        <v>#NUM!</v>
      </c>
      <c r="L821" t="e">
        <f t="array" ref="L821">(--INDEX('Raw Data'!$A$4:B$998,F821,5))</f>
        <v>#NUM!</v>
      </c>
      <c r="M821" t="e">
        <f t="array" ref="M821">(--INDEX('Raw Data'!$A$4:D$998,$F821,6))</f>
        <v>#NUM!</v>
      </c>
      <c r="N821" t="e">
        <f t="array" ref="N821">(--INDEX('Raw Data'!$A$4:D$993,$F821,7))</f>
        <v>#NUM!</v>
      </c>
      <c r="O821" t="e">
        <f t="array" ref="O821">IF(--INDEX('Raw Data'!$A$4:E$993,$F821,8)= 0, 1, 0)</f>
        <v>#NUM!</v>
      </c>
      <c r="P821" t="e">
        <f t="array" ref="P821">IF(--INDEX('Raw Data'!$A$4:F$998,$F821,8)= 1, 1, 0)</f>
        <v>#NUM!</v>
      </c>
      <c r="Q821" t="e">
        <f t="array" ref="Q821">IF(--INDEX('Raw Data'!$A$4:G$998,$F821,13)= 1, 1, 0)</f>
        <v>#NUM!</v>
      </c>
      <c r="R821" t="e">
        <f t="array" ref="R821">IF(--INDEX('Raw Data'!$A$4:H$998,$F821,14)= 1, 1, 0)</f>
        <v>#NUM!</v>
      </c>
      <c r="S821" t="e">
        <f t="array" ref="S821">IF(--INDEX('Raw Data'!$A$4:I$993,$F821,15)= 1, 1, 0)</f>
        <v>#NUM!</v>
      </c>
      <c r="T821" t="e">
        <f t="array" ref="T821">IF(--INDEX('Raw Data'!$A$4:I$998,$F821,15)= 1, 1, 0)</f>
        <v>#NUM!</v>
      </c>
      <c r="U821" t="e">
        <f t="array" ref="U821">IF(--INDEX('Raw Data'!$A$4:J$998,$F821,16)= 1, 1, 0)</f>
        <v>#NUM!</v>
      </c>
      <c r="V821" t="e">
        <f t="array" ref="V821">IF(--INDEX('Raw Data'!$A$4:K$993,$F821,17)= 1, 1, 0)</f>
        <v>#NUM!</v>
      </c>
      <c r="W821" t="e">
        <f t="array" ref="W821">INDEX('Raw Data'!$A:$O,$F821,19)</f>
        <v>#NUM!</v>
      </c>
      <c r="X821" t="e">
        <f t="array" ref="X821">INDEX('Raw Data'!$A:$O,$F821,20)</f>
        <v>#NUM!</v>
      </c>
      <c r="Y821" t="e">
        <f t="array" ref="Y821">INDEX('Raw Data'!$A:$O,F821,21)</f>
        <v>#NUM!</v>
      </c>
      <c r="Z821" t="e">
        <f t="array" ref="Z821">INDEX('Raw Data'!$A:$O,$F821,3)</f>
        <v>#NUM!</v>
      </c>
      <c r="AA821" t="e">
        <f t="array" ref="AA821">INDEX('Raw Data'!$A:$O,$F821,22)</f>
        <v>#NUM!</v>
      </c>
      <c r="AB821" t="e">
        <f t="array" ref="AB821">INDEX('Raw Data'!$A:$O,$F821,23)</f>
        <v>#NUM!</v>
      </c>
      <c r="AR821" s="25"/>
    </row>
    <row r="822" spans="1:44" ht="28.5" x14ac:dyDescent="0.45">
      <c r="F822" t="e">
        <f t="array" ref="F822">SMALL(IF('Raw Data'!A:A=C815,ROW('Raw Data'!A:A)),ROW('Raw Data'!$7:$7))</f>
        <v>#NUM!</v>
      </c>
      <c r="G822" t="e">
        <f t="array" ref="G822">INDEX('Raw Data'!A:A,F822,9)</f>
        <v>#NUM!</v>
      </c>
      <c r="H822" t="e">
        <f t="array" ref="H822">INDEX('Raw Data'!A:A,F822,10)</f>
        <v>#NUM!</v>
      </c>
      <c r="I822" t="e">
        <f t="array" ref="I822">INDEX('Raw Data'!$A:A,$F822,11)</f>
        <v>#NUM!</v>
      </c>
      <c r="J822" t="e">
        <f t="array" ref="J822">INDEX('Raw Data'!$A:A,F822,12)</f>
        <v>#NUM!</v>
      </c>
      <c r="K822" t="e">
        <f t="array" ref="K822">(--INDEX('Raw Data'!$A$4:B$998,F822,4))</f>
        <v>#NUM!</v>
      </c>
      <c r="L822" t="e">
        <f t="array" ref="L822">(--INDEX('Raw Data'!$A$4:B$998,F822,5))</f>
        <v>#NUM!</v>
      </c>
      <c r="M822" t="e">
        <f t="array" ref="M822">(--INDEX('Raw Data'!$A$4:D$998,$F822,6))</f>
        <v>#NUM!</v>
      </c>
      <c r="N822" t="e">
        <f t="array" ref="N822">(--INDEX('Raw Data'!$A$4:D$998,$F822,7))</f>
        <v>#NUM!</v>
      </c>
      <c r="O822" t="e">
        <f t="array" ref="O822">IF(--INDEX('Raw Data'!$A$4:E$998,$F822,8)= 0, 1, 0)</f>
        <v>#NUM!</v>
      </c>
      <c r="P822" t="e">
        <f t="array" ref="P822">IF(--INDEX('Raw Data'!$A$4:F$998,$F822,8)= 1, 1, 0)</f>
        <v>#NUM!</v>
      </c>
      <c r="Q822" t="e">
        <f t="array" ref="Q822">IF(--INDEX('Raw Data'!$A$4:G$998,$F822,13)= 1, 1, 0)</f>
        <v>#NUM!</v>
      </c>
      <c r="R822" t="e">
        <f t="array" ref="R822">IF(--INDEX('Raw Data'!$A$4:H$998,$F822,14)= 1, 1, 0)</f>
        <v>#NUM!</v>
      </c>
      <c r="S822" t="e">
        <f t="array" ref="S822">IF(--INDEX('Raw Data'!$A$4:I$998,$F822,15)= 1, 1, 0)</f>
        <v>#NUM!</v>
      </c>
      <c r="T822" t="e">
        <f t="array" ref="T822">IF(--INDEX('Raw Data'!$A$4:I$998,$F822,15)= 1, 1, 0)</f>
        <v>#NUM!</v>
      </c>
      <c r="U822" t="e">
        <f t="array" ref="U822">IF(--INDEX('Raw Data'!$A$4:J$998,$F822,16)= 1, 1, 0)</f>
        <v>#NUM!</v>
      </c>
      <c r="V822" t="e">
        <f t="array" ref="V822">IF(--INDEX('Raw Data'!$A$4:K$998,$F822,17)= 1, 1, 0)</f>
        <v>#NUM!</v>
      </c>
      <c r="W822" t="e">
        <f t="array" ref="W822">INDEX('Raw Data'!$A:$O,$F822,19)</f>
        <v>#NUM!</v>
      </c>
      <c r="X822" t="e">
        <f t="array" ref="X822">INDEX('Raw Data'!$A:$O,$F822,20)</f>
        <v>#NUM!</v>
      </c>
      <c r="Y822" t="e">
        <f t="array" ref="Y822">INDEX('Raw Data'!$A:$O,F822,21)</f>
        <v>#NUM!</v>
      </c>
      <c r="Z822" t="e">
        <f t="array" ref="Z822">INDEX('Raw Data'!$A:$O,$F822,3)</f>
        <v>#NUM!</v>
      </c>
      <c r="AA822" t="e">
        <f t="array" ref="AA822">INDEX('Raw Data'!$A:$O,$F822,22)</f>
        <v>#NUM!</v>
      </c>
      <c r="AB822" t="e">
        <f t="array" ref="AB822">INDEX('Raw Data'!$A:$O,$F822,23)</f>
        <v>#NUM!</v>
      </c>
      <c r="AM822" s="21"/>
    </row>
    <row r="823" spans="1:44" x14ac:dyDescent="0.25">
      <c r="F823" t="e">
        <f t="array" ref="F823">SMALL(IF('Raw Data'!A:A=C815,ROW('Raw Data'!A:A)),ROW('Raw Data'!$8:$8))</f>
        <v>#NUM!</v>
      </c>
      <c r="G823" t="e">
        <f t="array" ref="G823">INDEX('Raw Data'!A:A,F823,9)</f>
        <v>#NUM!</v>
      </c>
      <c r="H823" t="e">
        <f t="array" ref="H823">INDEX('Raw Data'!A:A,F823,10)</f>
        <v>#NUM!</v>
      </c>
      <c r="I823" t="e">
        <f t="array" ref="I823">INDEX('Raw Data'!$A:A,$F823,11)</f>
        <v>#NUM!</v>
      </c>
      <c r="J823" t="e">
        <f t="array" ref="J823">INDEX('Raw Data'!$A:A,F823,12)</f>
        <v>#NUM!</v>
      </c>
      <c r="K823" t="e">
        <f t="array" ref="K823">(--INDEX('Raw Data'!$A$4:B$998,F823,4))</f>
        <v>#NUM!</v>
      </c>
      <c r="L823" t="e">
        <f t="array" ref="L823">(--INDEX('Raw Data'!$A$4:B$998,F823,5))</f>
        <v>#NUM!</v>
      </c>
      <c r="M823" t="e">
        <f t="array" ref="M823">(--INDEX('Raw Data'!$A$4:D$998,$F823,6))</f>
        <v>#NUM!</v>
      </c>
      <c r="N823" t="e">
        <f t="array" ref="N823">(--INDEX('Raw Data'!$A$4:D$998,$F823,7))</f>
        <v>#NUM!</v>
      </c>
      <c r="O823" t="e">
        <f t="array" ref="O823">IF(--INDEX('Raw Data'!$A$4:E$998,$F823,8)= 0, 1, 0)</f>
        <v>#NUM!</v>
      </c>
      <c r="P823" t="e">
        <f t="array" ref="P823">IF(--INDEX('Raw Data'!$A$4:F$998,$F823,8)= 1, 1, 0)</f>
        <v>#NUM!</v>
      </c>
      <c r="Q823" t="e">
        <f t="array" ref="Q823">IF(--INDEX('Raw Data'!$A$4:G$998,$F823,13)= 1, 1, 0)</f>
        <v>#NUM!</v>
      </c>
      <c r="R823" t="e">
        <f t="array" ref="R823">IF(--INDEX('Raw Data'!$A$4:H$998,$F823,14)= 1, 1, 0)</f>
        <v>#NUM!</v>
      </c>
      <c r="S823" t="e">
        <f t="array" ref="S823">IF(--INDEX('Raw Data'!$A$4:I$998,$F823,15)= 1, 1, 0)</f>
        <v>#NUM!</v>
      </c>
      <c r="T823" t="e">
        <f t="array" ref="T823">IF(--INDEX('Raw Data'!$A$4:I$998,$F823,15)= 1, 1, 0)</f>
        <v>#NUM!</v>
      </c>
      <c r="U823" t="e">
        <f t="array" ref="U823">IF(--INDEX('Raw Data'!$A$4:J$998,$F823,16)= 1, 1, 0)</f>
        <v>#NUM!</v>
      </c>
      <c r="V823" t="e">
        <f t="array" ref="V823">IF(--INDEX('Raw Data'!$A$4:K$998,$F823,17)= 1, 1, 0)</f>
        <v>#NUM!</v>
      </c>
      <c r="W823" t="e">
        <f t="array" ref="W823">INDEX('Raw Data'!$A:$O,$F823,19)</f>
        <v>#NUM!</v>
      </c>
      <c r="X823" t="e">
        <f t="array" ref="X823">INDEX('Raw Data'!$A:$O,$F823,20)</f>
        <v>#NUM!</v>
      </c>
      <c r="Y823" t="e">
        <f t="array" ref="Y823">INDEX('Raw Data'!$A:$O,F823,21)</f>
        <v>#NUM!</v>
      </c>
      <c r="Z823" t="e">
        <f t="array" ref="Z823">INDEX('Raw Data'!$A:$O,$F823,3)</f>
        <v>#NUM!</v>
      </c>
      <c r="AA823" t="e">
        <f t="array" ref="AA823">INDEX('Raw Data'!$A:$O,$F823,22)</f>
        <v>#NUM!</v>
      </c>
      <c r="AB823" t="e">
        <f t="array" ref="AB823">INDEX('Raw Data'!$A:$O,$F823,23)</f>
        <v>#NUM!</v>
      </c>
    </row>
    <row r="824" spans="1:44" x14ac:dyDescent="0.25">
      <c r="F824" t="e">
        <f t="array" ref="F824">SMALL(IF('Raw Data'!A:A=C815,ROW('Raw Data'!A:A)),ROW('Raw Data'!$9:$9))</f>
        <v>#NUM!</v>
      </c>
      <c r="G824" t="e">
        <f t="array" ref="G824">INDEX('Raw Data'!A:A,F824,9)</f>
        <v>#NUM!</v>
      </c>
      <c r="H824" t="e">
        <f t="array" ref="H824">INDEX('Raw Data'!A:A,F824,10)</f>
        <v>#NUM!</v>
      </c>
      <c r="I824" t="e">
        <f t="array" ref="I824">INDEX('Raw Data'!$A:A,$F824,11)</f>
        <v>#NUM!</v>
      </c>
      <c r="J824" t="e">
        <f t="array" ref="J824">INDEX('Raw Data'!$A:A,F824,12)</f>
        <v>#NUM!</v>
      </c>
      <c r="K824" t="e">
        <f t="array" ref="K824">(--INDEX('Raw Data'!$A$4:B$998,F824,4))</f>
        <v>#NUM!</v>
      </c>
      <c r="L824" t="e">
        <f t="array" ref="L824">(--INDEX('Raw Data'!$A$4:B$998,F824,5))</f>
        <v>#NUM!</v>
      </c>
      <c r="M824" t="e">
        <f t="array" ref="M824">(--INDEX('Raw Data'!$A$4:D$998,$F824,6))</f>
        <v>#NUM!</v>
      </c>
      <c r="N824" t="e">
        <f t="array" ref="N824">(--INDEX('Raw Data'!$A$4:D$998,$F824,7))</f>
        <v>#NUM!</v>
      </c>
      <c r="O824" t="e">
        <f t="array" ref="O824">IF(--INDEX('Raw Data'!$A$4:E$998,$F824,8)= 0, 1, 0)</f>
        <v>#NUM!</v>
      </c>
      <c r="P824" t="e">
        <f t="array" ref="P824">IF(--INDEX('Raw Data'!$A$4:F$998,$F824,8)= 1, 1, 0)</f>
        <v>#NUM!</v>
      </c>
      <c r="Q824" t="e">
        <f t="array" ref="Q824">IF(--INDEX('Raw Data'!$A$4:G$998,$F824,13)= 1, 1, 0)</f>
        <v>#NUM!</v>
      </c>
      <c r="R824" t="e">
        <f t="array" ref="R824">IF(--INDEX('Raw Data'!$A$4:H$998,$F824,14)= 1, 1, 0)</f>
        <v>#NUM!</v>
      </c>
      <c r="S824" t="e">
        <f t="array" ref="S824">IF(--INDEX('Raw Data'!$A$4:I$998,$F824,15)= 1, 1, 0)</f>
        <v>#NUM!</v>
      </c>
      <c r="T824" t="e">
        <f t="array" ref="T824">IF(--INDEX('Raw Data'!$A$4:I$998,$F824,15)= 1, 1, 0)</f>
        <v>#NUM!</v>
      </c>
      <c r="U824" t="e">
        <f t="array" ref="U824">IF(--INDEX('Raw Data'!$A$4:J$998,$F824,16)= 1, 1, 0)</f>
        <v>#NUM!</v>
      </c>
      <c r="V824" t="e">
        <f t="array" ref="V824">IF(--INDEX('Raw Data'!$A$4:K$998,$F824,17)= 1, 1, 0)</f>
        <v>#NUM!</v>
      </c>
      <c r="W824" t="e">
        <f t="array" ref="W824">INDEX('Raw Data'!$A:$O,$F824,19)</f>
        <v>#NUM!</v>
      </c>
      <c r="X824" t="e">
        <f t="array" ref="X824">INDEX('Raw Data'!$A:$O,$F824,20)</f>
        <v>#NUM!</v>
      </c>
      <c r="Y824" t="e">
        <f t="array" ref="Y824">INDEX('Raw Data'!$A:$O,F824,21)</f>
        <v>#NUM!</v>
      </c>
      <c r="Z824" t="e">
        <f t="array" ref="Z824">INDEX('Raw Data'!$A:$O,$F824,3)</f>
        <v>#NUM!</v>
      </c>
      <c r="AA824" t="e">
        <f t="array" ref="AA824">INDEX('Raw Data'!$A:$O,$F824,22)</f>
        <v>#NUM!</v>
      </c>
      <c r="AB824" t="e">
        <f t="array" ref="AB824">INDEX('Raw Data'!$A:$O,$F824,23)</f>
        <v>#NUM!</v>
      </c>
    </row>
    <row r="825" spans="1:44" x14ac:dyDescent="0.25">
      <c r="F825" t="e">
        <f t="array" ref="F825">SMALL(IF('Raw Data'!A:A=C815,ROW('Raw Data'!A:A)),ROW('Raw Data'!$10:$10))</f>
        <v>#NUM!</v>
      </c>
      <c r="G825" t="e">
        <f t="array" ref="G825">INDEX('Raw Data'!A:A,F825,9)</f>
        <v>#NUM!</v>
      </c>
      <c r="H825" t="e">
        <f t="array" ref="H825">INDEX('Raw Data'!A:A,F825,10)</f>
        <v>#NUM!</v>
      </c>
      <c r="I825" t="e">
        <f t="array" ref="I825">INDEX('Raw Data'!$A:A,$F825,11)</f>
        <v>#NUM!</v>
      </c>
      <c r="J825" t="e">
        <f t="array" ref="J825">INDEX('Raw Data'!$A:A,F825,12)</f>
        <v>#NUM!</v>
      </c>
      <c r="K825" t="e">
        <f t="array" ref="K825">(--INDEX('Raw Data'!$A$4:B$998,F825,4))</f>
        <v>#NUM!</v>
      </c>
      <c r="L825" t="e">
        <f t="array" ref="L825">(--INDEX('Raw Data'!$A$4:B$998,F825,5))</f>
        <v>#NUM!</v>
      </c>
      <c r="M825" t="e">
        <f t="array" ref="M825">(--INDEX('Raw Data'!$A$4:D$998,$F825,6))</f>
        <v>#NUM!</v>
      </c>
      <c r="N825" t="e">
        <f t="array" ref="N825">(--INDEX('Raw Data'!$A$4:D$998,$F825,7))</f>
        <v>#NUM!</v>
      </c>
      <c r="O825" t="e">
        <f t="array" ref="O825">IF(--INDEX('Raw Data'!$A$4:E$998,$F825,8)= 0, 1, 0)</f>
        <v>#NUM!</v>
      </c>
      <c r="P825" t="e">
        <f t="array" ref="P825">IF(--INDEX('Raw Data'!$A$4:F$998,$F825,8)= 1, 1, 0)</f>
        <v>#NUM!</v>
      </c>
      <c r="Q825" t="e">
        <f t="array" ref="Q825">IF(--INDEX('Raw Data'!$A$4:G$998,$F825,13)= 1, 1, 0)</f>
        <v>#NUM!</v>
      </c>
      <c r="R825" t="e">
        <f t="array" ref="R825">IF(--INDEX('Raw Data'!$A$4:H$998,$F825,14)= 1, 1, 0)</f>
        <v>#NUM!</v>
      </c>
      <c r="S825" t="e">
        <f t="array" ref="S825">IF(--INDEX('Raw Data'!$A$4:I$998,$F825,15)= 1, 1, 0)</f>
        <v>#NUM!</v>
      </c>
      <c r="T825" t="e">
        <f t="array" ref="T825">IF(--INDEX('Raw Data'!$A$4:I$998,$F825,15)= 1, 1, 0)</f>
        <v>#NUM!</v>
      </c>
      <c r="U825" t="e">
        <f t="array" ref="U825">IF(--INDEX('Raw Data'!$A$4:J$998,$F825,16)= 1, 1, 0)</f>
        <v>#NUM!</v>
      </c>
      <c r="V825" t="e">
        <f t="array" ref="V825">IF(--INDEX('Raw Data'!$A$4:K$998,$F825,17)= 1, 1, 0)</f>
        <v>#NUM!</v>
      </c>
      <c r="W825" t="e">
        <f t="array" ref="W825">INDEX('Raw Data'!$A:$O,$F825,19)</f>
        <v>#NUM!</v>
      </c>
      <c r="X825" t="e">
        <f t="array" ref="X825">INDEX('Raw Data'!$A:$O,$F825,20)</f>
        <v>#NUM!</v>
      </c>
      <c r="Y825" t="e">
        <f t="array" ref="Y825">INDEX('Raw Data'!$A:$O,F825,21)</f>
        <v>#NUM!</v>
      </c>
      <c r="Z825" t="e">
        <f t="array" ref="Z825">INDEX('Raw Data'!$A:$O,$F825,3)</f>
        <v>#NUM!</v>
      </c>
      <c r="AA825" t="e">
        <f t="array" ref="AA825">INDEX('Raw Data'!$A:$O,$F825,22)</f>
        <v>#NUM!</v>
      </c>
      <c r="AB825" t="e">
        <f t="array" ref="AB825">INDEX('Raw Data'!$A:$O,$F825,23)</f>
        <v>#NUM!</v>
      </c>
    </row>
    <row r="826" spans="1:44" x14ac:dyDescent="0.25">
      <c r="F826" t="e">
        <f t="array" ref="F826">SMALL(IF('Raw Data'!A:A=C815,ROW('Raw Data'!A:A)),ROW('Raw Data'!$11:$11))</f>
        <v>#NUM!</v>
      </c>
      <c r="G826" t="e">
        <f t="array" ref="G826">INDEX('Raw Data'!A:A,F826,9)</f>
        <v>#NUM!</v>
      </c>
      <c r="H826" t="e">
        <f t="array" ref="H826">INDEX('Raw Data'!A:A,F826,10)</f>
        <v>#NUM!</v>
      </c>
      <c r="I826" t="e">
        <f t="array" ref="I826">INDEX('Raw Data'!$A:A,$F826,11)</f>
        <v>#NUM!</v>
      </c>
      <c r="J826" t="e">
        <f t="array" ref="J826">INDEX('Raw Data'!$A:A,F826,12)</f>
        <v>#NUM!</v>
      </c>
      <c r="K826" t="e">
        <f t="array" ref="K826">(--INDEX('Raw Data'!$A$4:B$998,F826,4))</f>
        <v>#NUM!</v>
      </c>
      <c r="L826" t="e">
        <f t="array" ref="L826">(--INDEX('Raw Data'!$A$4:B$998,F826,5))</f>
        <v>#NUM!</v>
      </c>
      <c r="M826" t="e">
        <f t="array" ref="M826">(--INDEX('Raw Data'!$A$4:D$998,$F826,6))</f>
        <v>#NUM!</v>
      </c>
      <c r="N826" t="e">
        <f t="array" ref="N826">(--INDEX('Raw Data'!$A$4:D$998,$F826,7))</f>
        <v>#NUM!</v>
      </c>
      <c r="O826" t="e">
        <f t="array" ref="O826">IF(--INDEX('Raw Data'!$A$4:E$998,$F826,8)= 0, 1, 0)</f>
        <v>#NUM!</v>
      </c>
      <c r="P826" t="e">
        <f t="array" ref="P826">IF(--INDEX('Raw Data'!$A$4:F$998,$F826,8)= 1, 1, 0)</f>
        <v>#NUM!</v>
      </c>
      <c r="Q826" t="e">
        <f t="array" ref="Q826">IF(--INDEX('Raw Data'!$A$4:G$998,$F826,13)= 1, 1, 0)</f>
        <v>#NUM!</v>
      </c>
      <c r="R826" t="e">
        <f t="array" ref="R826">IF(--INDEX('Raw Data'!$A$4:H$998,$F826,14)= 1, 1, 0)</f>
        <v>#NUM!</v>
      </c>
      <c r="S826" t="e">
        <f t="array" ref="S826">IF(--INDEX('Raw Data'!$A$4:I$998,$F826,15)= 1, 1, 0)</f>
        <v>#NUM!</v>
      </c>
      <c r="T826" t="e">
        <f t="array" ref="T826">IF(--INDEX('Raw Data'!$A$4:I$998,$F826,15)= 1, 1, 0)</f>
        <v>#NUM!</v>
      </c>
      <c r="U826" t="e">
        <f t="array" ref="U826">IF(--INDEX('Raw Data'!$A$4:J$998,$F826,16)= 1, 1, 0)</f>
        <v>#NUM!</v>
      </c>
      <c r="V826" t="e">
        <f t="array" ref="V826">IF(--INDEX('Raw Data'!$A$4:K$998,$F826,17)= 1, 1, 0)</f>
        <v>#NUM!</v>
      </c>
      <c r="W826" t="e">
        <f t="array" ref="W826">INDEX('Raw Data'!$A:$O,$F826,19)</f>
        <v>#NUM!</v>
      </c>
      <c r="X826" t="e">
        <f t="array" ref="X826">INDEX('Raw Data'!$A:$O,$F826,20)</f>
        <v>#NUM!</v>
      </c>
      <c r="Y826" t="e">
        <f t="array" ref="Y826">INDEX('Raw Data'!$A:$O,F826,21)</f>
        <v>#NUM!</v>
      </c>
      <c r="Z826" t="e">
        <f t="array" ref="Z826">INDEX('Raw Data'!$A:$O,$F826,3)</f>
        <v>#NUM!</v>
      </c>
      <c r="AA826" t="e">
        <f t="array" ref="AA826">INDEX('Raw Data'!$A:$O,$F826,22)</f>
        <v>#NUM!</v>
      </c>
      <c r="AB826" t="e">
        <f t="array" ref="AB826">INDEX('Raw Data'!$A:$O,$F826,23)</f>
        <v>#NUM!</v>
      </c>
    </row>
    <row r="827" spans="1:44" x14ac:dyDescent="0.25">
      <c r="F827" t="e">
        <f t="array" ref="F827">SMALL(IF('Raw Data'!A:A=C815,ROW('Raw Data'!A:A)),ROW('Raw Data'!$12:$12))</f>
        <v>#NUM!</v>
      </c>
      <c r="G827" t="e">
        <f t="array" ref="G827">INDEX('Raw Data'!A:A,F827,9)</f>
        <v>#NUM!</v>
      </c>
      <c r="H827" t="e">
        <f t="array" ref="H827">INDEX('Raw Data'!A:A,F827,10)</f>
        <v>#NUM!</v>
      </c>
      <c r="I827" t="e">
        <f t="array" ref="I827">INDEX('Raw Data'!$A:A,$F827,11)</f>
        <v>#NUM!</v>
      </c>
      <c r="J827" t="e">
        <f t="array" ref="J827">INDEX('Raw Data'!$A:A,F827,12)</f>
        <v>#NUM!</v>
      </c>
      <c r="K827" t="e">
        <f t="array" ref="K827">(--INDEX('Raw Data'!$A$4:B$998,F827,4))</f>
        <v>#NUM!</v>
      </c>
      <c r="L827" t="e">
        <f t="array" ref="L827">(--INDEX('Raw Data'!$A$4:B$998,F827,5))</f>
        <v>#NUM!</v>
      </c>
      <c r="M827" t="e">
        <f t="array" ref="M827">(--INDEX('Raw Data'!$A$4:D$998,$F827,6))</f>
        <v>#NUM!</v>
      </c>
      <c r="N827" t="e">
        <f t="array" ref="N827">(--INDEX('Raw Data'!$A$4:D$998,$F827,7))</f>
        <v>#NUM!</v>
      </c>
      <c r="O827" t="e">
        <f t="array" ref="O827">IF(--INDEX('Raw Data'!$A$4:E$998,$F827,8)= 0, 1, 0)</f>
        <v>#NUM!</v>
      </c>
      <c r="P827" t="e">
        <f t="array" ref="P827">IF(--INDEX('Raw Data'!$A$4:F$998,$F827,8)= 1, 1, 0)</f>
        <v>#NUM!</v>
      </c>
      <c r="Q827" t="e">
        <f t="array" ref="Q827">IF(--INDEX('Raw Data'!$A$4:G$998,$F827,13)= 1, 1, 0)</f>
        <v>#NUM!</v>
      </c>
      <c r="R827" t="e">
        <f t="array" ref="R827">IF(--INDEX('Raw Data'!$A$4:H$998,$F827,14)= 1, 1, 0)</f>
        <v>#NUM!</v>
      </c>
      <c r="S827" t="e">
        <f t="array" ref="S827">IF(--INDEX('Raw Data'!$A$4:I$998,$F827,15)= 1, 1, 0)</f>
        <v>#NUM!</v>
      </c>
      <c r="T827" t="e">
        <f t="array" ref="T827">IF(--INDEX('Raw Data'!$A$4:I$998,$F827,15)= 1, 1, 0)</f>
        <v>#NUM!</v>
      </c>
      <c r="U827" t="e">
        <f t="array" ref="U827">IF(--INDEX('Raw Data'!$A$4:J$998,$F827,16)= 1, 1, 0)</f>
        <v>#NUM!</v>
      </c>
      <c r="V827" t="e">
        <f t="array" ref="V827">IF(--INDEX('Raw Data'!$A$4:K$998,$F827,17)= 1, 1, 0)</f>
        <v>#NUM!</v>
      </c>
      <c r="W827" t="e">
        <f t="array" ref="W827">INDEX('Raw Data'!$A:$O,$F827,19)</f>
        <v>#NUM!</v>
      </c>
      <c r="X827" t="e">
        <f t="array" ref="X827">INDEX('Raw Data'!$A:$O,$F827,20)</f>
        <v>#NUM!</v>
      </c>
      <c r="Y827" t="e">
        <f t="array" ref="Y827">INDEX('Raw Data'!$A:$O,F827,21)</f>
        <v>#NUM!</v>
      </c>
      <c r="Z827" t="e">
        <f t="array" ref="Z827">INDEX('Raw Data'!$A:$O,$F827,3)</f>
        <v>#NUM!</v>
      </c>
      <c r="AA827" t="e">
        <f t="array" ref="AA827">INDEX('Raw Data'!$A:$O,$F827,22)</f>
        <v>#NUM!</v>
      </c>
      <c r="AB827" t="e">
        <f t="array" ref="AB827">INDEX('Raw Data'!$A:$O,$F827,23)</f>
        <v>#NUM!</v>
      </c>
    </row>
    <row r="828" spans="1:44" x14ac:dyDescent="0.25">
      <c r="F828" t="e">
        <f t="array" ref="F828">SMALL(IF('Raw Data'!A:A=C815,ROW('Raw Data'!A:A)),ROW('Raw Data'!$13:$13))</f>
        <v>#NUM!</v>
      </c>
      <c r="G828" t="e">
        <f t="array" ref="G828">INDEX('Raw Data'!A:A,F828,9)</f>
        <v>#NUM!</v>
      </c>
      <c r="H828" t="e">
        <f t="array" ref="H828">INDEX('Raw Data'!A:A,F828,10)</f>
        <v>#NUM!</v>
      </c>
      <c r="I828" t="e">
        <f t="array" ref="I828">INDEX('Raw Data'!$A:A,$F828,11)</f>
        <v>#NUM!</v>
      </c>
      <c r="J828" t="e">
        <f t="array" ref="J828">INDEX('Raw Data'!$A:A,F828,12)</f>
        <v>#NUM!</v>
      </c>
      <c r="K828" t="e">
        <f t="array" ref="K828">(--INDEX('Raw Data'!$A$4:B$998,F828,4))</f>
        <v>#NUM!</v>
      </c>
      <c r="L828" t="e">
        <f t="array" ref="L828">(--INDEX('Raw Data'!$A$4:B$998,F828,5))</f>
        <v>#NUM!</v>
      </c>
      <c r="M828" t="e">
        <f t="array" ref="M828">(--INDEX('Raw Data'!$A$4:D$998,$F828,6))</f>
        <v>#NUM!</v>
      </c>
      <c r="N828" t="e">
        <f t="array" ref="N828">(--INDEX('Raw Data'!$A$4:D$998,$F828,7))</f>
        <v>#NUM!</v>
      </c>
      <c r="O828" t="e">
        <f t="array" ref="O828">IF(--INDEX('Raw Data'!$A$4:E$998,$F828,8)= 0, 1, 0)</f>
        <v>#NUM!</v>
      </c>
      <c r="P828" t="e">
        <f t="array" ref="P828">IF(--INDEX('Raw Data'!$A$4:F$998,$F828,8)= 1, 1, 0)</f>
        <v>#NUM!</v>
      </c>
      <c r="Q828" t="e">
        <f t="array" ref="Q828">IF(--INDEX('Raw Data'!$A$4:G$998,$F828,13)= 1, 1, 0)</f>
        <v>#NUM!</v>
      </c>
      <c r="R828" t="e">
        <f t="array" ref="R828">IF(--INDEX('Raw Data'!$A$4:H$998,$F828,14)= 1, 1, 0)</f>
        <v>#NUM!</v>
      </c>
      <c r="S828" t="e">
        <f t="array" ref="S828">IF(--INDEX('Raw Data'!$A$4:I$998,$F828,15)= 1, 1, 0)</f>
        <v>#NUM!</v>
      </c>
      <c r="T828" t="e">
        <f t="array" ref="T828">IF(--INDEX('Raw Data'!$A$4:I$998,$F828,15)= 1, 1, 0)</f>
        <v>#NUM!</v>
      </c>
      <c r="U828" t="e">
        <f t="array" ref="U828">IF(--INDEX('Raw Data'!$A$4:J$998,$F828,16)= 1, 1, 0)</f>
        <v>#NUM!</v>
      </c>
      <c r="V828" t="e">
        <f t="array" ref="V828">IF(--INDEX('Raw Data'!$A$4:K$998,$F828,17)= 1, 1, 0)</f>
        <v>#NUM!</v>
      </c>
      <c r="W828" t="e">
        <f t="array" ref="W828">INDEX('Raw Data'!$A:$O,$F828,19)</f>
        <v>#NUM!</v>
      </c>
      <c r="X828" t="e">
        <f t="array" ref="X828">INDEX('Raw Data'!$A:$O,$F828,20)</f>
        <v>#NUM!</v>
      </c>
      <c r="Y828" t="e">
        <f t="array" ref="Y828">INDEX('Raw Data'!$A:$O,F828,21)</f>
        <v>#NUM!</v>
      </c>
      <c r="Z828" t="e">
        <f t="array" ref="Z828">INDEX('Raw Data'!$A:$O,$F828,3)</f>
        <v>#NUM!</v>
      </c>
      <c r="AA828" t="e">
        <f t="array" ref="AA828">INDEX('Raw Data'!$A:$O,$F828,22)</f>
        <v>#NUM!</v>
      </c>
      <c r="AB828" t="e">
        <f t="array" ref="AB828">INDEX('Raw Data'!$A:$O,$F828,23)</f>
        <v>#NUM!</v>
      </c>
    </row>
    <row r="829" spans="1:44" x14ac:dyDescent="0.25">
      <c r="F829" t="e">
        <f t="array" ref="F829">SMALL(IF('Raw Data'!A:A=C815,ROW('Raw Data'!A:A)),ROW('Raw Data'!$14:$14))</f>
        <v>#NUM!</v>
      </c>
      <c r="G829" t="e">
        <f t="array" ref="G829">INDEX('Raw Data'!A:A,F829,9)</f>
        <v>#NUM!</v>
      </c>
      <c r="H829" t="e">
        <f t="array" ref="H829">INDEX('Raw Data'!A:A,F829,10)</f>
        <v>#NUM!</v>
      </c>
      <c r="I829" t="e">
        <f t="array" ref="I829">INDEX('Raw Data'!$A:A,$F829,11)</f>
        <v>#NUM!</v>
      </c>
      <c r="J829" t="e">
        <f t="array" ref="J829">INDEX('Raw Data'!$A:A,F829,12)</f>
        <v>#NUM!</v>
      </c>
      <c r="K829" t="e">
        <f t="array" ref="K829">(--INDEX('Raw Data'!$A$4:B$998,F829,4))</f>
        <v>#NUM!</v>
      </c>
      <c r="L829" t="e">
        <f t="array" ref="L829">(--INDEX('Raw Data'!$A$4:B$998,F829,5))</f>
        <v>#NUM!</v>
      </c>
      <c r="M829" t="e">
        <f t="array" ref="M829">(--INDEX('Raw Data'!$A$4:D$998,$F829,6))</f>
        <v>#NUM!</v>
      </c>
      <c r="N829" t="e">
        <f t="array" ref="N829">(--INDEX('Raw Data'!$A$4:D$998,$F829,7))</f>
        <v>#NUM!</v>
      </c>
      <c r="O829" t="e">
        <f t="array" ref="O829">IF(--INDEX('Raw Data'!$A$4:E$998,$F829,8)= 0, 1, 0)</f>
        <v>#NUM!</v>
      </c>
      <c r="P829" t="e">
        <f t="array" ref="P829">IF(--INDEX('Raw Data'!$A$4:F$998,$F829,8)= 1, 1, 0)</f>
        <v>#NUM!</v>
      </c>
      <c r="Q829" t="e">
        <f t="array" ref="Q829">IF(--INDEX('Raw Data'!$A$4:G$998,$F829,13)= 1, 1, 0)</f>
        <v>#NUM!</v>
      </c>
      <c r="R829" t="e">
        <f t="array" ref="R829">IF(--INDEX('Raw Data'!$A$4:H$998,$F829,14)= 1, 1, 0)</f>
        <v>#NUM!</v>
      </c>
      <c r="S829" t="e">
        <f t="array" ref="S829">IF(--INDEX('Raw Data'!$A$4:I$998,$F829,15)= 1, 1, 0)</f>
        <v>#NUM!</v>
      </c>
      <c r="T829" t="e">
        <f t="array" ref="T829">IF(--INDEX('Raw Data'!$A$4:I$998,$F829,15)= 1, 1, 0)</f>
        <v>#NUM!</v>
      </c>
      <c r="U829" t="e">
        <f t="array" ref="U829">IF(--INDEX('Raw Data'!$A$4:J$998,$F829,16)= 1, 1, 0)</f>
        <v>#NUM!</v>
      </c>
      <c r="V829" t="e">
        <f t="array" ref="V829">IF(--INDEX('Raw Data'!$A$4:K$998,$F829,17)= 1, 1, 0)</f>
        <v>#NUM!</v>
      </c>
      <c r="W829" t="e">
        <f t="array" ref="W829">INDEX('Raw Data'!$A:$O,$F829,19)</f>
        <v>#NUM!</v>
      </c>
      <c r="X829" t="e">
        <f t="array" ref="X829">INDEX('Raw Data'!$A:$O,$F829,20)</f>
        <v>#NUM!</v>
      </c>
      <c r="Y829" t="e">
        <f t="array" ref="Y829">INDEX('Raw Data'!$A:$O,F829,21)</f>
        <v>#NUM!</v>
      </c>
      <c r="Z829" t="e">
        <f t="array" ref="Z829">INDEX('Raw Data'!$A:$O,$F829,3)</f>
        <v>#NUM!</v>
      </c>
      <c r="AA829" t="e">
        <f t="array" ref="AA829">INDEX('Raw Data'!$A:$O,$F829,22)</f>
        <v>#NUM!</v>
      </c>
      <c r="AB829" t="e">
        <f t="array" ref="AB829">INDEX('Raw Data'!$A:$O,$F829,23)</f>
        <v>#NUM!</v>
      </c>
    </row>
    <row r="830" spans="1:44" x14ac:dyDescent="0.25">
      <c r="F830" t="e">
        <f t="array" ref="F830">SMALL(IF('Raw Data'!A:A=C815,ROW('Raw Data'!A:A)),ROW('Raw Data'!$15:$15))</f>
        <v>#NUM!</v>
      </c>
      <c r="G830" t="e">
        <f t="array" ref="G830">INDEX('Raw Data'!A:A,F830,9)</f>
        <v>#NUM!</v>
      </c>
      <c r="H830" t="e">
        <f t="array" ref="H830">INDEX('Raw Data'!A:A,F830,10)</f>
        <v>#NUM!</v>
      </c>
      <c r="I830" t="e">
        <f t="array" ref="I830">INDEX('Raw Data'!$A:A,$F830,11)</f>
        <v>#NUM!</v>
      </c>
      <c r="J830" t="e">
        <f t="array" ref="J830">INDEX('Raw Data'!$A:A,F830,12)</f>
        <v>#NUM!</v>
      </c>
      <c r="K830" t="e">
        <f t="array" ref="K830">(--INDEX('Raw Data'!$A$4:B$998,F830,4))</f>
        <v>#NUM!</v>
      </c>
      <c r="L830" t="e">
        <f t="array" ref="L830">(--INDEX('Raw Data'!$A$4:B$998,F830,5))</f>
        <v>#NUM!</v>
      </c>
      <c r="M830" t="e">
        <f t="array" ref="M830">(--INDEX('Raw Data'!$A$4:D$998,$F830,6))</f>
        <v>#NUM!</v>
      </c>
      <c r="N830" t="e">
        <f t="array" ref="N830">(--INDEX('Raw Data'!$A$4:D$998,$F830,7))</f>
        <v>#NUM!</v>
      </c>
      <c r="O830" t="e">
        <f t="array" ref="O830">IF(--INDEX('Raw Data'!$A$4:E$998,$F830,8)= 0, 1, 0)</f>
        <v>#NUM!</v>
      </c>
      <c r="P830" t="e">
        <f t="array" ref="P830">IF(--INDEX('Raw Data'!$A$4:F$998,$F830,8)= 1, 1, 0)</f>
        <v>#NUM!</v>
      </c>
      <c r="Q830" t="e">
        <f t="array" ref="Q830">IF(--INDEX('Raw Data'!$A$4:G$998,$F830,13)= 1, 1, 0)</f>
        <v>#NUM!</v>
      </c>
      <c r="R830" t="e">
        <f t="array" ref="R830">IF(--INDEX('Raw Data'!$A$4:H$998,$F830,14)= 1, 1, 0)</f>
        <v>#NUM!</v>
      </c>
      <c r="S830" t="e">
        <f t="array" ref="S830">IF(--INDEX('Raw Data'!$A$4:I$998,$F830,15)= 1, 1, 0)</f>
        <v>#NUM!</v>
      </c>
      <c r="T830" t="e">
        <f t="array" ref="T830">IF(--INDEX('Raw Data'!$A$4:I$998,$F830,15)= 1, 1, 0)</f>
        <v>#NUM!</v>
      </c>
      <c r="U830" t="e">
        <f t="array" ref="U830">IF(--INDEX('Raw Data'!$A$4:J$998,$F830,16)= 1, 1, 0)</f>
        <v>#NUM!</v>
      </c>
      <c r="V830" t="e">
        <f t="array" ref="V830">IF(--INDEX('Raw Data'!$A$4:K$998,$F830,17)= 1, 1, 0)</f>
        <v>#NUM!</v>
      </c>
      <c r="W830" t="e">
        <f t="array" ref="W830">INDEX('Raw Data'!$A:$O,$F830,19)</f>
        <v>#NUM!</v>
      </c>
      <c r="X830" t="e">
        <f t="array" ref="X830">INDEX('Raw Data'!$A:$O,$F830,20)</f>
        <v>#NUM!</v>
      </c>
      <c r="Y830" t="e">
        <f t="array" ref="Y830">INDEX('Raw Data'!$A:$O,F830,21)</f>
        <v>#NUM!</v>
      </c>
      <c r="Z830" t="e">
        <f t="array" ref="Z830">INDEX('Raw Data'!$A:$O,$F830,3)</f>
        <v>#NUM!</v>
      </c>
      <c r="AA830" t="e">
        <f t="array" ref="AA830">INDEX('Raw Data'!$A:$O,$F830,22)</f>
        <v>#NUM!</v>
      </c>
      <c r="AB830" t="e">
        <f t="array" ref="AB830">INDEX('Raw Data'!$A:$O,$F830,23)</f>
        <v>#NUM!</v>
      </c>
    </row>
    <row r="831" spans="1:44" x14ac:dyDescent="0.25">
      <c r="A831" t="s">
        <v>55</v>
      </c>
      <c r="C831" s="2" t="e">
        <f>B821/B820</f>
        <v>#DIV/0!</v>
      </c>
      <c r="F831">
        <f t="array" ref="F831">COUNTIF(F816:F830,"&gt;0")</f>
        <v>0</v>
      </c>
      <c r="G831">
        <f t="array" ref="G831">SUMIF(G816:G830,"&gt;0")</f>
        <v>0</v>
      </c>
      <c r="H831">
        <f t="array" ref="H831">SUMIF(H816:H830,"&gt;0")</f>
        <v>0</v>
      </c>
      <c r="I831">
        <f t="array" ref="I831">SUMIF(I816:I830,"&gt;0")</f>
        <v>0</v>
      </c>
      <c r="J831">
        <f t="array" ref="J831">SUMIF(J816:J830,"&gt;0")</f>
        <v>0</v>
      </c>
      <c r="K831">
        <f t="array" ref="K831">SUMIF(K816:K830,"&gt;0")</f>
        <v>0</v>
      </c>
      <c r="L831">
        <f t="array" ref="L831">SUMIF(L816:L830,"&gt;0")</f>
        <v>0</v>
      </c>
      <c r="M831">
        <f t="array" ref="M831">SUMIF(M816:M830,"&gt;0")</f>
        <v>0</v>
      </c>
      <c r="N831">
        <f t="array" ref="N831">SUMIF(N816:N830,"&gt;0")</f>
        <v>0</v>
      </c>
      <c r="O831">
        <f t="array" ref="O831">SUMIF(O816:O830,"&gt;0")</f>
        <v>0</v>
      </c>
      <c r="P831">
        <f t="array" ref="P831">SUMIF(P816:P830,"&gt;0")</f>
        <v>0</v>
      </c>
      <c r="Q831">
        <f t="array" ref="Q831">SUMIF(Q816:Q830,"&gt;0")</f>
        <v>0</v>
      </c>
      <c r="R831">
        <f t="array" ref="R831">SUMIF(R816:R830,"&gt;0")</f>
        <v>0</v>
      </c>
      <c r="S831">
        <f t="array" ref="S831">SUMIF(S816:S830,"&gt;0")</f>
        <v>0</v>
      </c>
      <c r="T831">
        <f t="array" ref="T831">SUMIF(T816:T830,"&gt;0")</f>
        <v>0</v>
      </c>
      <c r="U831">
        <f t="array" ref="U831">SUMIF(U816:U830,"&gt;0")</f>
        <v>0</v>
      </c>
      <c r="V831">
        <f t="array" ref="V831">SUMIF(V816:V830,"&gt;0")</f>
        <v>0</v>
      </c>
      <c r="W831">
        <f t="array" ref="W831">SUMIF(W816:W830,"&gt;0")</f>
        <v>0</v>
      </c>
      <c r="X831">
        <f t="array" ref="X831">SUMIF(X816:X830,"&gt;0")</f>
        <v>0</v>
      </c>
      <c r="Y831">
        <f t="array" ref="Y831">SUMIF(Y816:Y830,"&gt;0")</f>
        <v>0</v>
      </c>
      <c r="Z831">
        <f t="array" ref="Z831">SUMIF(Z816:Z830,"&gt;0")</f>
        <v>0</v>
      </c>
      <c r="AA831">
        <f t="array" ref="AA831">SUMIF(AA816:AA830,"&gt;0")</f>
        <v>0</v>
      </c>
      <c r="AB831">
        <f t="array" ref="AB831">SUMIF(AB816:AB830,"&gt;0")</f>
        <v>0</v>
      </c>
    </row>
    <row r="832" spans="1:44" x14ac:dyDescent="0.25">
      <c r="A832" t="s">
        <v>58</v>
      </c>
      <c r="C832" s="2">
        <f t="array" ref="C832">IF((K831+L831)&lt;&gt;0, (L831/(K831+L831)),0)</f>
        <v>0</v>
      </c>
      <c r="J832" s="6">
        <f t="array" ref="J832">J831*10</f>
        <v>0</v>
      </c>
      <c r="K832" s="6"/>
      <c r="P832" t="s">
        <v>95</v>
      </c>
      <c r="Q832" s="2" t="e">
        <f t="array" ref="Q832">Q831/$F831</f>
        <v>#DIV/0!</v>
      </c>
      <c r="R832" s="2" t="e">
        <f t="array" ref="R832">R831/$F831</f>
        <v>#DIV/0!</v>
      </c>
      <c r="S832" s="2" t="e">
        <f t="array" ref="S832">S831/$F831</f>
        <v>#DIV/0!</v>
      </c>
      <c r="T832" s="2" t="e">
        <f t="array" ref="T832">T831/$F831</f>
        <v>#DIV/0!</v>
      </c>
      <c r="U832" s="2" t="e">
        <f t="array" ref="U832">U831/$F831</f>
        <v>#DIV/0!</v>
      </c>
      <c r="V832" s="2" t="e">
        <f t="array" ref="V832">V831/$F831</f>
        <v>#DIV/0!</v>
      </c>
      <c r="W832" s="2" t="e">
        <f t="array" ref="W832">W831/$F831</f>
        <v>#DIV/0!</v>
      </c>
      <c r="X832" s="2" t="e">
        <f t="array" ref="X832">X831/$F831</f>
        <v>#DIV/0!</v>
      </c>
      <c r="Z832" s="2" t="e">
        <f t="array" ref="Z832">Z831/F831</f>
        <v>#DIV/0!</v>
      </c>
    </row>
    <row r="833" spans="1:44" x14ac:dyDescent="0.25">
      <c r="A833" t="s">
        <v>60</v>
      </c>
      <c r="C833" s="2">
        <f t="array" ref="C833">IF((M831+N831)&lt;&gt;0, (N831/(M831+N831)),0)</f>
        <v>0</v>
      </c>
      <c r="J833" s="6"/>
      <c r="K833" s="6"/>
      <c r="AR833" s="25"/>
    </row>
    <row r="834" spans="1:44" ht="28.5" x14ac:dyDescent="0.45">
      <c r="A834" t="s">
        <v>61</v>
      </c>
      <c r="C834" s="2">
        <f t="array" ref="C834">IF(((K831+N831+L831+M831)&lt;&gt;0), ((L831+N831)/(K831+N831+L831+M831)),0)</f>
        <v>0</v>
      </c>
      <c r="F834" s="17" t="s">
        <v>106</v>
      </c>
      <c r="G834" s="17" t="e">
        <f t="array" ref="G834">'Weighting &amp; Ranking Sheet'!$B$3*Math!$C832+'Weighting &amp; Ranking Sheet'!$B$4*Math!$C833+'Weighting &amp; Ranking Sheet'!$B$5*Math!$C834+'Weighting &amp; Ranking Sheet'!$B$6*Math!$C835+'Weighting &amp; Ranking Sheet'!$B$7*Math!$C819+'Weighting &amp; Ranking Sheet'!$B$8*Math!$C831+'Weighting &amp; Ranking Sheet'!$B$9*Math!$C838+'Weighting &amp; Ranking Sheet'!$B$10*Math!$C836+'Weighting &amp; Ranking Sheet'!$B$11*Math!$C837+'Weighting &amp; Ranking Sheet'!$B$12*Math!$C839*0.01+'Weighting &amp; Ranking Sheet'!$B$13*Math!$Q832+'Weighting &amp; Ranking Sheet'!$B$14*Math!$R832+'Weighting &amp; Ranking Sheet'!$B$15*Math!$S832+'Weighting &amp; Ranking Sheet'!$B$16*Math!$T832+'Weighting &amp; Ranking Sheet'!$B$17*Math!$U832+'Weighting &amp; Ranking Sheet'!$B$18*Math!$V832+'Weighting &amp; Ranking Sheet'!$B$2*Math!$Z832</f>
        <v>#DIV/0!</v>
      </c>
      <c r="J834"/>
      <c r="K834"/>
      <c r="AR834" s="25"/>
    </row>
    <row r="835" spans="1:44" x14ac:dyDescent="0.25">
      <c r="A835" t="s">
        <v>62</v>
      </c>
      <c r="C835" s="2">
        <f t="array" ref="C835">IF((O831+P831&lt;&gt;0),(P831/(O831+P831)), 0)</f>
        <v>0</v>
      </c>
      <c r="J835"/>
      <c r="K835"/>
      <c r="AR835" s="25"/>
    </row>
    <row r="836" spans="1:44" x14ac:dyDescent="0.25">
      <c r="A836" t="s">
        <v>77</v>
      </c>
      <c r="C836" s="8" t="e">
        <f t="array" ref="C836">W831/F831</f>
        <v>#DIV/0!</v>
      </c>
      <c r="J836"/>
      <c r="K836"/>
      <c r="AR836" s="23"/>
    </row>
    <row r="837" spans="1:44" x14ac:dyDescent="0.25">
      <c r="A837" t="s">
        <v>78</v>
      </c>
      <c r="C837" s="8" t="e">
        <f t="array" ref="C837">X831/F831</f>
        <v>#DIV/0!</v>
      </c>
      <c r="J837"/>
      <c r="K837"/>
    </row>
    <row r="838" spans="1:44" x14ac:dyDescent="0.25">
      <c r="A838" t="s">
        <v>91</v>
      </c>
      <c r="C838" s="2" t="e">
        <f t="array" ref="C838">(C819+C831)/2</f>
        <v>#DIV/0!</v>
      </c>
      <c r="J838"/>
      <c r="K838"/>
    </row>
    <row r="839" spans="1:44" x14ac:dyDescent="0.25">
      <c r="A839" t="s">
        <v>92</v>
      </c>
      <c r="C839" s="8" t="e">
        <f t="array" ref="C839">Y831/F831</f>
        <v>#DIV/0!</v>
      </c>
      <c r="J839" s="6"/>
      <c r="K839" s="6"/>
    </row>
    <row r="840" spans="1:44" x14ac:dyDescent="0.25">
      <c r="C840" s="8"/>
      <c r="J840" s="6"/>
      <c r="K840" s="6"/>
    </row>
    <row r="841" spans="1:44" x14ac:dyDescent="0.25">
      <c r="C841" s="8"/>
      <c r="J841" s="6"/>
      <c r="K841" s="6"/>
    </row>
    <row r="842" spans="1:44" x14ac:dyDescent="0.25">
      <c r="J842" s="6"/>
      <c r="K842" s="6"/>
    </row>
    <row r="843" spans="1:44" x14ac:dyDescent="0.25">
      <c r="A843" t="s">
        <v>3</v>
      </c>
      <c r="C843" s="5">
        <v>3151</v>
      </c>
      <c r="F843" t="s">
        <v>33</v>
      </c>
    </row>
    <row r="844" spans="1:44" x14ac:dyDescent="0.25">
      <c r="F844" t="e">
        <f t="array" ref="F844">SMALL(IF('Raw Data'!A:A=C843,ROW('Raw Data'!A:A)),ROW('Raw Data'!$1:$1))</f>
        <v>#NUM!</v>
      </c>
      <c r="G844" t="e">
        <f t="array" ref="G844">INDEX('Raw Data'!A:A,F844,9)</f>
        <v>#NUM!</v>
      </c>
      <c r="H844" t="e">
        <f t="array" ref="H844">INDEX('Raw Data'!A:A,F844,10)</f>
        <v>#NUM!</v>
      </c>
      <c r="I844" t="e">
        <f t="array" ref="I844">INDEX('Raw Data'!$A:A,$F844,11)</f>
        <v>#NUM!</v>
      </c>
      <c r="J844" t="e">
        <f t="array" ref="J844">INDEX('Raw Data'!$A:A,F844,12)</f>
        <v>#NUM!</v>
      </c>
      <c r="K844" t="e">
        <f>(--INDEX('Raw Data'!$A$4:B$993,F844,4))</f>
        <v>#NUM!</v>
      </c>
      <c r="L844" t="e">
        <f t="array" ref="L844">(--INDEX('Raw Data'!$A$4:B$993,F844,5))</f>
        <v>#NUM!</v>
      </c>
      <c r="M844" t="e">
        <f t="array" ref="M844">(--INDEX('Raw Data'!$A$4:D$993,$F844,6))</f>
        <v>#NUM!</v>
      </c>
      <c r="N844" t="e">
        <f t="array" ref="N844">(--INDEX('Raw Data'!$A$4:D$993,$F844,7))</f>
        <v>#NUM!</v>
      </c>
      <c r="O844" t="e">
        <f t="array" ref="O844">IF(--INDEX('Raw Data'!$A$4:E$993,$F844,8)= 0, 1, 0)</f>
        <v>#NUM!</v>
      </c>
      <c r="P844" t="e">
        <f t="array" ref="P844">IF(--INDEX('Raw Data'!$A$4:F$993,$F844,8)= 1, 1, 0)</f>
        <v>#NUM!</v>
      </c>
      <c r="Q844" t="e">
        <f t="array" ref="Q844">IF(--INDEX('Raw Data'!$A$4:G$993,$F844,13)= 1, 1, 0)</f>
        <v>#NUM!</v>
      </c>
      <c r="R844" t="e">
        <f t="array" ref="R844">IF(--INDEX('Raw Data'!$A$4:H$993,$F844,14)= 1, 1, 0)</f>
        <v>#NUM!</v>
      </c>
      <c r="S844" t="e">
        <f t="array" ref="S844">IF(--INDEX('Raw Data'!$A$4:I$993,$F844,15)= 1, 1, 0)</f>
        <v>#NUM!</v>
      </c>
      <c r="T844" t="e">
        <f t="array" ref="T844">IF(--INDEX('Raw Data'!$A$4:I$993,$F844,15)= 1, 1, 0)</f>
        <v>#NUM!</v>
      </c>
      <c r="U844" t="e">
        <f t="array" ref="U844">IF(--INDEX('Raw Data'!$A$4:J$993,$F844,16)= 1, 1, 0)</f>
        <v>#NUM!</v>
      </c>
      <c r="V844" t="e">
        <f t="array" ref="V844">IF(--INDEX('Raw Data'!$A$4:K$993,$F844,17)= 1, 1, 0)</f>
        <v>#NUM!</v>
      </c>
      <c r="W844" t="e">
        <f t="array" ref="W844">INDEX('Raw Data'!$A:$O,$F844,19)</f>
        <v>#NUM!</v>
      </c>
      <c r="X844" t="e">
        <f t="array" ref="X844">INDEX('Raw Data'!$A:$O,$F844,20)</f>
        <v>#NUM!</v>
      </c>
      <c r="Y844" t="e">
        <f t="array" ref="Y844">INDEX('Raw Data'!$A:$O,F844,21)</f>
        <v>#NUM!</v>
      </c>
      <c r="Z844" t="e">
        <f t="array" ref="Z844">INDEX('Raw Data'!$A:$O,$F844,3)</f>
        <v>#NUM!</v>
      </c>
      <c r="AA844" t="e">
        <f t="array" ref="AA844">INDEX('Raw Data'!$A:$O,$F844,22)</f>
        <v>#NUM!</v>
      </c>
      <c r="AB844" t="e">
        <f t="array" ref="AB844">INDEX('Raw Data'!$A:$O,$F844,23)</f>
        <v>#NUM!</v>
      </c>
    </row>
    <row r="845" spans="1:44" x14ac:dyDescent="0.25">
      <c r="A845" t="s">
        <v>0</v>
      </c>
      <c r="B845">
        <f>G859</f>
        <v>0</v>
      </c>
      <c r="F845" t="e">
        <f t="array" ref="F845">SMALL(IF('Raw Data'!A:A=C843,ROW('Raw Data'!A:A)),ROW('Raw Data'!$2:$2))</f>
        <v>#NUM!</v>
      </c>
      <c r="G845" t="e">
        <f t="array" ref="G845">INDEX('Raw Data'!A:A,F845,9)</f>
        <v>#NUM!</v>
      </c>
      <c r="H845" t="e">
        <f t="array" ref="H845">INDEX('Raw Data'!A:A,F845,10)</f>
        <v>#NUM!</v>
      </c>
      <c r="I845" t="e">
        <f t="array" ref="I845">INDEX('Raw Data'!$A:A,$F845,11)</f>
        <v>#NUM!</v>
      </c>
      <c r="J845" t="e">
        <f t="array" ref="J845">INDEX('Raw Data'!$A:A,F845,12)</f>
        <v>#NUM!</v>
      </c>
      <c r="K845" t="e">
        <f>(--INDEX('Raw Data'!$A$4:B$993,F845,4))</f>
        <v>#NUM!</v>
      </c>
      <c r="L845" t="e">
        <f t="array" ref="L845">(--INDEX('Raw Data'!$A$4:B$993,F845,5))</f>
        <v>#NUM!</v>
      </c>
      <c r="M845" t="e">
        <f t="array" ref="M845">(--INDEX('Raw Data'!$A$4:D$993,$F845,6))</f>
        <v>#NUM!</v>
      </c>
      <c r="N845" t="e">
        <f t="array" ref="N845">(--INDEX('Raw Data'!$A$4:D$993,$F845,7))</f>
        <v>#NUM!</v>
      </c>
      <c r="O845" t="e">
        <f t="array" ref="O845">IF(--INDEX('Raw Data'!$A$4:E$993,$F845,8)= 0, 1, 0)</f>
        <v>#NUM!</v>
      </c>
      <c r="P845" t="e">
        <f t="array" ref="P845">IF(--INDEX('Raw Data'!$A$4:F$993,$F845,8)= 1, 1, 0)</f>
        <v>#NUM!</v>
      </c>
      <c r="Q845" t="e">
        <f t="array" ref="Q845">IF(--INDEX('Raw Data'!$A$4:G$993,$F845,13)= 1, 1, 0)</f>
        <v>#NUM!</v>
      </c>
      <c r="R845" t="e">
        <f t="array" ref="R845">IF(--INDEX('Raw Data'!$A$4:H$993,$F845,14)= 1, 1, 0)</f>
        <v>#NUM!</v>
      </c>
      <c r="S845" t="e">
        <f t="array" ref="S845">IF(--INDEX('Raw Data'!$A$4:I$993,$F845,15)= 1, 1, 0)</f>
        <v>#NUM!</v>
      </c>
      <c r="T845" t="e">
        <f t="array" ref="T845">IF(--INDEX('Raw Data'!$A$4:I$993,$F845,15)= 1, 1, 0)</f>
        <v>#NUM!</v>
      </c>
      <c r="U845" t="e">
        <f t="array" ref="U845">IF(--INDEX('Raw Data'!$A$4:J$993,$F845,16)= 1, 1, 0)</f>
        <v>#NUM!</v>
      </c>
      <c r="V845" t="e">
        <f t="array" ref="V845">IF(--INDEX('Raw Data'!$A$4:K$993,$F845,17)= 1, 1, 0)</f>
        <v>#NUM!</v>
      </c>
      <c r="W845" t="e">
        <f t="array" ref="W845">INDEX('Raw Data'!$A:$O,$F845,19)</f>
        <v>#NUM!</v>
      </c>
      <c r="X845" t="e">
        <f t="array" ref="X845">INDEX('Raw Data'!$A:$O,$F845,20)</f>
        <v>#NUM!</v>
      </c>
      <c r="Y845" t="e">
        <f t="array" ref="Y845">INDEX('Raw Data'!$A:$O,F845,21)</f>
        <v>#NUM!</v>
      </c>
      <c r="Z845" t="e">
        <f t="array" ref="Z845">INDEX('Raw Data'!$A:$O,$F845,3)</f>
        <v>#NUM!</v>
      </c>
      <c r="AA845" t="e">
        <f t="array" ref="AA845">INDEX('Raw Data'!$A:$O,$F845,22)</f>
        <v>#NUM!</v>
      </c>
      <c r="AB845" t="e">
        <f t="array" ref="AB845">INDEX('Raw Data'!$A:$O,$F845,23)</f>
        <v>#NUM!</v>
      </c>
    </row>
    <row r="846" spans="1:44" x14ac:dyDescent="0.25">
      <c r="A846" t="s">
        <v>1</v>
      </c>
      <c r="B846">
        <f>H859</f>
        <v>0</v>
      </c>
      <c r="F846" t="e">
        <f t="array" ref="F846">SMALL(IF('Raw Data'!A:A=C843,ROW('Raw Data'!A:A)),ROW('Raw Data'!$3:$3))</f>
        <v>#NUM!</v>
      </c>
      <c r="G846" t="e">
        <f t="array" ref="G846">INDEX('Raw Data'!A:A,F846,9)</f>
        <v>#NUM!</v>
      </c>
      <c r="H846" t="e">
        <f t="array" ref="H846">INDEX('Raw Data'!A:A,F846,10)</f>
        <v>#NUM!</v>
      </c>
      <c r="I846" t="e">
        <f t="array" ref="I846">INDEX('Raw Data'!$A:A,$F846,11)</f>
        <v>#NUM!</v>
      </c>
      <c r="J846" t="e">
        <f t="array" ref="J846">INDEX('Raw Data'!$A:A,F846,12)</f>
        <v>#NUM!</v>
      </c>
      <c r="K846" t="e">
        <f>(--INDEX('Raw Data'!$A$4:B$993,F846,4))</f>
        <v>#NUM!</v>
      </c>
      <c r="L846" t="e">
        <f t="array" ref="L846">(--INDEX('Raw Data'!$A$4:B$993,F846,5))</f>
        <v>#NUM!</v>
      </c>
      <c r="M846" t="e">
        <f t="array" ref="M846">(--INDEX('Raw Data'!$A$4:D$993,$F846,6))</f>
        <v>#NUM!</v>
      </c>
      <c r="N846" t="e">
        <f t="array" ref="N846">(--INDEX('Raw Data'!$A$4:D$993,$F846,7))</f>
        <v>#NUM!</v>
      </c>
      <c r="O846" t="e">
        <f t="array" ref="O846">IF(--INDEX('Raw Data'!$A$4:E$993,$F846,8)= 0, 1, 0)</f>
        <v>#NUM!</v>
      </c>
      <c r="P846" t="e">
        <f t="array" ref="P846">IF(--INDEX('Raw Data'!$A$4:F$993,$F846,8)= 1, 1, 0)</f>
        <v>#NUM!</v>
      </c>
      <c r="Q846" t="e">
        <f t="array" ref="Q846">IF(--INDEX('Raw Data'!$A$4:G$993,$F846,13)= 1, 1, 0)</f>
        <v>#NUM!</v>
      </c>
      <c r="R846" t="e">
        <f t="array" ref="R846">IF(--INDEX('Raw Data'!$A$4:H$993,$F846,14)= 1, 1, 0)</f>
        <v>#NUM!</v>
      </c>
      <c r="S846" t="e">
        <f t="array" ref="S846">IF(--INDEX('Raw Data'!$A$4:I$993,$F846,15)= 1, 1, 0)</f>
        <v>#NUM!</v>
      </c>
      <c r="T846" t="e">
        <f t="array" ref="T846">IF(--INDEX('Raw Data'!$A$4:I$993,$F846,15)= 1, 1, 0)</f>
        <v>#NUM!</v>
      </c>
      <c r="U846" t="e">
        <f t="array" ref="U846">IF(--INDEX('Raw Data'!$A$4:J$993,$F846,16)= 1, 1, 0)</f>
        <v>#NUM!</v>
      </c>
      <c r="V846" t="e">
        <f t="array" ref="V846">IF(--INDEX('Raw Data'!$A$4:K$993,$F846,17)= 1, 1, 0)</f>
        <v>#NUM!</v>
      </c>
      <c r="W846" t="e">
        <f t="array" ref="W846">INDEX('Raw Data'!$A:$O,$F846,19)</f>
        <v>#NUM!</v>
      </c>
      <c r="X846" t="e">
        <f t="array" ref="X846">INDEX('Raw Data'!$A:$O,$F846,20)</f>
        <v>#NUM!</v>
      </c>
      <c r="Y846" t="e">
        <f t="array" ref="Y846">INDEX('Raw Data'!$A:$O,F846,21)</f>
        <v>#NUM!</v>
      </c>
      <c r="Z846" t="e">
        <f t="array" ref="Z846">INDEX('Raw Data'!$A:$O,$F846,3)</f>
        <v>#NUM!</v>
      </c>
      <c r="AA846" t="e">
        <f t="array" ref="AA846">INDEX('Raw Data'!$A:$O,$F846,22)</f>
        <v>#NUM!</v>
      </c>
      <c r="AB846" t="e">
        <f t="array" ref="AB846">INDEX('Raw Data'!$A:$O,$F846,23)</f>
        <v>#NUM!</v>
      </c>
    </row>
    <row r="847" spans="1:44" x14ac:dyDescent="0.25">
      <c r="A847" t="s">
        <v>2</v>
      </c>
      <c r="C847" s="3" t="e">
        <f>B846/B845</f>
        <v>#DIV/0!</v>
      </c>
      <c r="F847" t="e">
        <f t="array" ref="F847">SMALL(IF('Raw Data'!A:A=C843,ROW('Raw Data'!A:A)),ROW('Raw Data'!$4:$4))</f>
        <v>#NUM!</v>
      </c>
      <c r="G847" t="e">
        <f t="array" ref="G847">INDEX('Raw Data'!A:A,F847,9)</f>
        <v>#NUM!</v>
      </c>
      <c r="H847" t="e">
        <f t="array" ref="H847">INDEX('Raw Data'!A:A,F847,10)</f>
        <v>#NUM!</v>
      </c>
      <c r="I847" t="e">
        <f t="array" ref="I847">INDEX('Raw Data'!$A:A,$F847,11)</f>
        <v>#NUM!</v>
      </c>
      <c r="J847" t="e">
        <f t="array" ref="J847">INDEX('Raw Data'!$A:A,F847,12)</f>
        <v>#NUM!</v>
      </c>
      <c r="K847" t="e">
        <f>(--INDEX('Raw Data'!$A$4:B$993,F847,4))</f>
        <v>#NUM!</v>
      </c>
      <c r="L847" t="e">
        <f t="array" ref="L847">(--INDEX('Raw Data'!$A$4:B$993,F847,5))</f>
        <v>#NUM!</v>
      </c>
      <c r="M847" t="e">
        <f t="array" ref="M847">(--INDEX('Raw Data'!$A$4:D$993,$F847,6))</f>
        <v>#NUM!</v>
      </c>
      <c r="N847" t="e">
        <f t="array" ref="N847">(--INDEX('Raw Data'!$A$4:D$993,$F847,7))</f>
        <v>#NUM!</v>
      </c>
      <c r="O847" t="e">
        <f t="array" ref="O847">IF(--INDEX('Raw Data'!$A$4:E$993,$F847,8)= 0, 1, 0)</f>
        <v>#NUM!</v>
      </c>
      <c r="P847" t="e">
        <f t="array" ref="P847">IF(--INDEX('Raw Data'!$A$4:F$993,$F847,8)= 1, 1, 0)</f>
        <v>#NUM!</v>
      </c>
      <c r="Q847" t="e">
        <f t="array" ref="Q847">IF(--INDEX('Raw Data'!$A$4:G$993,$F847,13)= 1, 1, 0)</f>
        <v>#NUM!</v>
      </c>
      <c r="R847" t="e">
        <f t="array" ref="R847">IF(--INDEX('Raw Data'!$A$4:H$993,$F847,14)= 1, 1, 0)</f>
        <v>#NUM!</v>
      </c>
      <c r="S847" t="e">
        <f t="array" ref="S847">IF(--INDEX('Raw Data'!$A$4:I$993,$F847,15)= 1, 1, 0)</f>
        <v>#NUM!</v>
      </c>
      <c r="T847" t="e">
        <f t="array" ref="T847">IF(--INDEX('Raw Data'!$A$4:I$993,$F847,15)= 1, 1, 0)</f>
        <v>#NUM!</v>
      </c>
      <c r="U847" t="e">
        <f t="array" ref="U847">IF(--INDEX('Raw Data'!$A$4:J$993,$F847,16)= 1, 1, 0)</f>
        <v>#NUM!</v>
      </c>
      <c r="V847" t="e">
        <f t="array" ref="V847">IF(--INDEX('Raw Data'!$A$4:K$993,$F847,17)= 1, 1, 0)</f>
        <v>#NUM!</v>
      </c>
      <c r="W847" t="e">
        <f t="array" ref="W847">INDEX('Raw Data'!$A:$O,$F847,19)</f>
        <v>#NUM!</v>
      </c>
      <c r="X847" t="e">
        <f t="array" ref="X847">INDEX('Raw Data'!$A:$O,$F847,20)</f>
        <v>#NUM!</v>
      </c>
      <c r="Y847" t="e">
        <f t="array" ref="Y847">INDEX('Raw Data'!$A:$O,F847,21)</f>
        <v>#NUM!</v>
      </c>
      <c r="Z847" t="e">
        <f t="array" ref="Z847">INDEX('Raw Data'!$A:$O,$F847,3)</f>
        <v>#NUM!</v>
      </c>
      <c r="AA847" t="e">
        <f t="array" ref="AA847">INDEX('Raw Data'!$A:$O,$F847,22)</f>
        <v>#NUM!</v>
      </c>
      <c r="AB847" t="e">
        <f t="array" ref="AB847">INDEX('Raw Data'!$A:$O,$F847,23)</f>
        <v>#NUM!</v>
      </c>
    </row>
    <row r="848" spans="1:44" x14ac:dyDescent="0.25">
      <c r="A848" t="s">
        <v>54</v>
      </c>
      <c r="B848">
        <f>I859</f>
        <v>0</v>
      </c>
      <c r="F848" t="e">
        <f t="array" ref="F848">SMALL(IF('Raw Data'!A:A=C843,ROW('Raw Data'!A:A)),ROW('Raw Data'!$5:$5))</f>
        <v>#NUM!</v>
      </c>
      <c r="G848" t="e">
        <f t="array" ref="G848">INDEX('Raw Data'!A:A,F848,9)</f>
        <v>#NUM!</v>
      </c>
      <c r="H848" t="e">
        <f t="array" ref="H848">INDEX('Raw Data'!A:A,F848,10)</f>
        <v>#NUM!</v>
      </c>
      <c r="I848" t="e">
        <f t="array" ref="I848">INDEX('Raw Data'!$A:A,$F848,11)</f>
        <v>#NUM!</v>
      </c>
      <c r="J848" t="e">
        <f t="array" ref="J848">INDEX('Raw Data'!$A:A,F848,12)</f>
        <v>#NUM!</v>
      </c>
      <c r="K848" t="e">
        <f>(--INDEX('Raw Data'!$A$4:B$993,F848,4))</f>
        <v>#NUM!</v>
      </c>
      <c r="L848" t="e">
        <f t="array" ref="L848">(--INDEX('Raw Data'!$A$4:B$993,F848,5))</f>
        <v>#NUM!</v>
      </c>
      <c r="M848" t="e">
        <f t="array" ref="M848">(--INDEX('Raw Data'!$A$4:D$993,$F848,6))</f>
        <v>#NUM!</v>
      </c>
      <c r="N848" t="e">
        <f t="array" ref="N848">(--INDEX('Raw Data'!$A$4:D$993,$F848,7))</f>
        <v>#NUM!</v>
      </c>
      <c r="O848" t="e">
        <f t="array" ref="O848">IF(--INDEX('Raw Data'!$A$4:E$993,$F848,8)= 0, 1, 0)</f>
        <v>#NUM!</v>
      </c>
      <c r="P848" t="e">
        <f t="array" ref="P848">IF(--INDEX('Raw Data'!$A$4:F$993,$F848,8)= 1, 1, 0)</f>
        <v>#NUM!</v>
      </c>
      <c r="Q848" t="e">
        <f t="array" ref="Q848">IF(--INDEX('Raw Data'!$A$4:G$993,$F848,13)= 1, 1, 0)</f>
        <v>#NUM!</v>
      </c>
      <c r="R848" t="e">
        <f t="array" ref="R848">IF(--INDEX('Raw Data'!$A$4:H$993,$F848,14)= 1, 1, 0)</f>
        <v>#NUM!</v>
      </c>
      <c r="S848" t="e">
        <f t="array" ref="S848">IF(--INDEX('Raw Data'!$A$4:I$993,$F848,15)= 1, 1, 0)</f>
        <v>#NUM!</v>
      </c>
      <c r="T848" t="e">
        <f t="array" ref="T848">IF(--INDEX('Raw Data'!$A$4:I$993,$F848,15)= 1, 1, 0)</f>
        <v>#NUM!</v>
      </c>
      <c r="U848" t="e">
        <f t="array" ref="U848">IF(--INDEX('Raw Data'!$A$4:J$993,$F848,16)= 1, 1, 0)</f>
        <v>#NUM!</v>
      </c>
      <c r="V848" t="e">
        <f t="array" ref="V848">IF(--INDEX('Raw Data'!$A$4:K$993,$F848,17)= 1, 1, 0)</f>
        <v>#NUM!</v>
      </c>
      <c r="W848" t="e">
        <f t="array" ref="W848">INDEX('Raw Data'!$A:$O,$F848,19)</f>
        <v>#NUM!</v>
      </c>
      <c r="X848" t="e">
        <f t="array" ref="X848">INDEX('Raw Data'!$A:$O,$F848,20)</f>
        <v>#NUM!</v>
      </c>
      <c r="Y848" t="e">
        <f t="array" ref="Y848">INDEX('Raw Data'!$A:$O,F848,21)</f>
        <v>#NUM!</v>
      </c>
      <c r="Z848" t="e">
        <f t="array" ref="Z848">INDEX('Raw Data'!$A:$O,$F848,3)</f>
        <v>#NUM!</v>
      </c>
      <c r="AA848" t="e">
        <f t="array" ref="AA848">INDEX('Raw Data'!$A:$O,$F848,22)</f>
        <v>#NUM!</v>
      </c>
      <c r="AB848" t="e">
        <f t="array" ref="AB848">INDEX('Raw Data'!$A:$O,$F848,23)</f>
        <v>#NUM!</v>
      </c>
      <c r="AR848" s="25"/>
    </row>
    <row r="849" spans="1:44" x14ac:dyDescent="0.25">
      <c r="A849" t="s">
        <v>35</v>
      </c>
      <c r="B849">
        <f>J859</f>
        <v>0</v>
      </c>
      <c r="F849" t="e">
        <f t="array" ref="F849">SMALL(IF('Raw Data'!A:A=C843,ROW('Raw Data'!A:A)),ROW('Raw Data'!$6:$6))</f>
        <v>#NUM!</v>
      </c>
      <c r="G849" t="e">
        <f t="array" ref="G849">INDEX('Raw Data'!A:A,F849,9)</f>
        <v>#NUM!</v>
      </c>
      <c r="H849" t="e">
        <f t="array" ref="H849">INDEX('Raw Data'!A:A,F849,10)</f>
        <v>#NUM!</v>
      </c>
      <c r="I849" t="e">
        <f t="array" ref="I849">INDEX('Raw Data'!$A:A,$F849,11)</f>
        <v>#NUM!</v>
      </c>
      <c r="J849" t="e">
        <f t="array" ref="J849">INDEX('Raw Data'!$A:A,F849,12)</f>
        <v>#NUM!</v>
      </c>
      <c r="K849" t="e">
        <f>(--INDEX('Raw Data'!$A$4:B$993,F849,4))</f>
        <v>#NUM!</v>
      </c>
      <c r="L849" t="e">
        <f t="array" ref="L849">(--INDEX('Raw Data'!$A$4:B$998,F849,5))</f>
        <v>#NUM!</v>
      </c>
      <c r="M849" t="e">
        <f t="array" ref="M849">(--INDEX('Raw Data'!$A$4:D$998,$F849,6))</f>
        <v>#NUM!</v>
      </c>
      <c r="N849" t="e">
        <f t="array" ref="N849">(--INDEX('Raw Data'!$A$4:D$993,$F849,7))</f>
        <v>#NUM!</v>
      </c>
      <c r="O849" t="e">
        <f t="array" ref="O849">IF(--INDEX('Raw Data'!$A$4:E$993,$F849,8)= 0, 1, 0)</f>
        <v>#NUM!</v>
      </c>
      <c r="P849" t="e">
        <f t="array" ref="P849">IF(--INDEX('Raw Data'!$A$4:F$998,$F849,8)= 1, 1, 0)</f>
        <v>#NUM!</v>
      </c>
      <c r="Q849" t="e">
        <f t="array" ref="Q849">IF(--INDEX('Raw Data'!$A$4:G$998,$F849,13)= 1, 1, 0)</f>
        <v>#NUM!</v>
      </c>
      <c r="R849" t="e">
        <f t="array" ref="R849">IF(--INDEX('Raw Data'!$A$4:H$998,$F849,14)= 1, 1, 0)</f>
        <v>#NUM!</v>
      </c>
      <c r="S849" t="e">
        <f t="array" ref="S849">IF(--INDEX('Raw Data'!$A$4:I$993,$F849,15)= 1, 1, 0)</f>
        <v>#NUM!</v>
      </c>
      <c r="T849" t="e">
        <f t="array" ref="T849">IF(--INDEX('Raw Data'!$A$4:I$998,$F849,15)= 1, 1, 0)</f>
        <v>#NUM!</v>
      </c>
      <c r="U849" t="e">
        <f t="array" ref="U849">IF(--INDEX('Raw Data'!$A$4:J$998,$F849,16)= 1, 1, 0)</f>
        <v>#NUM!</v>
      </c>
      <c r="V849" t="e">
        <f t="array" ref="V849">IF(--INDEX('Raw Data'!$A$4:K$993,$F849,17)= 1, 1, 0)</f>
        <v>#NUM!</v>
      </c>
      <c r="W849" t="e">
        <f t="array" ref="W849">INDEX('Raw Data'!$A:$O,$F849,19)</f>
        <v>#NUM!</v>
      </c>
      <c r="X849" t="e">
        <f t="array" ref="X849">INDEX('Raw Data'!$A:$O,$F849,20)</f>
        <v>#NUM!</v>
      </c>
      <c r="Y849" t="e">
        <f t="array" ref="Y849">INDEX('Raw Data'!$A:$O,F849,21)</f>
        <v>#NUM!</v>
      </c>
      <c r="Z849" t="e">
        <f t="array" ref="Z849">INDEX('Raw Data'!$A:$O,$F849,3)</f>
        <v>#NUM!</v>
      </c>
      <c r="AA849" t="e">
        <f t="array" ref="AA849">INDEX('Raw Data'!$A:$O,$F849,22)</f>
        <v>#NUM!</v>
      </c>
      <c r="AB849" t="e">
        <f t="array" ref="AB849">INDEX('Raw Data'!$A:$O,$F849,23)</f>
        <v>#NUM!</v>
      </c>
      <c r="AR849" s="25"/>
    </row>
    <row r="850" spans="1:44" ht="28.5" x14ac:dyDescent="0.45">
      <c r="F850" t="e">
        <f t="array" ref="F850">SMALL(IF('Raw Data'!A:A=C843,ROW('Raw Data'!A:A)),ROW('Raw Data'!$7:$7))</f>
        <v>#NUM!</v>
      </c>
      <c r="G850" t="e">
        <f t="array" ref="G850">INDEX('Raw Data'!A:A,F850,9)</f>
        <v>#NUM!</v>
      </c>
      <c r="H850" t="e">
        <f t="array" ref="H850">INDEX('Raw Data'!A:A,F850,10)</f>
        <v>#NUM!</v>
      </c>
      <c r="I850" t="e">
        <f t="array" ref="I850">INDEX('Raw Data'!$A:A,$F850,11)</f>
        <v>#NUM!</v>
      </c>
      <c r="J850" t="e">
        <f t="array" ref="J850">INDEX('Raw Data'!$A:A,F850,12)</f>
        <v>#NUM!</v>
      </c>
      <c r="K850" t="e">
        <f t="array" ref="K850">(--INDEX('Raw Data'!$A$4:B$998,F850,4))</f>
        <v>#NUM!</v>
      </c>
      <c r="L850" t="e">
        <f t="array" ref="L850">(--INDEX('Raw Data'!$A$4:B$998,F850,5))</f>
        <v>#NUM!</v>
      </c>
      <c r="M850" t="e">
        <f t="array" ref="M850">(--INDEX('Raw Data'!$A$4:D$998,$F850,6))</f>
        <v>#NUM!</v>
      </c>
      <c r="N850" t="e">
        <f t="array" ref="N850">(--INDEX('Raw Data'!$A$4:D$998,$F850,7))</f>
        <v>#NUM!</v>
      </c>
      <c r="O850" t="e">
        <f t="array" ref="O850">IF(--INDEX('Raw Data'!$A$4:E$998,$F850,8)= 0, 1, 0)</f>
        <v>#NUM!</v>
      </c>
      <c r="P850" t="e">
        <f t="array" ref="P850">IF(--INDEX('Raw Data'!$A$4:F$998,$F850,8)= 1, 1, 0)</f>
        <v>#NUM!</v>
      </c>
      <c r="Q850" t="e">
        <f t="array" ref="Q850">IF(--INDEX('Raw Data'!$A$4:G$998,$F850,13)= 1, 1, 0)</f>
        <v>#NUM!</v>
      </c>
      <c r="R850" t="e">
        <f t="array" ref="R850">IF(--INDEX('Raw Data'!$A$4:H$998,$F850,14)= 1, 1, 0)</f>
        <v>#NUM!</v>
      </c>
      <c r="S850" t="e">
        <f t="array" ref="S850">IF(--INDEX('Raw Data'!$A$4:I$998,$F850,15)= 1, 1, 0)</f>
        <v>#NUM!</v>
      </c>
      <c r="T850" t="e">
        <f t="array" ref="T850">IF(--INDEX('Raw Data'!$A$4:I$998,$F850,15)= 1, 1, 0)</f>
        <v>#NUM!</v>
      </c>
      <c r="U850" t="e">
        <f t="array" ref="U850">IF(--INDEX('Raw Data'!$A$4:J$998,$F850,16)= 1, 1, 0)</f>
        <v>#NUM!</v>
      </c>
      <c r="V850" t="e">
        <f t="array" ref="V850">IF(--INDEX('Raw Data'!$A$4:K$998,$F850,17)= 1, 1, 0)</f>
        <v>#NUM!</v>
      </c>
      <c r="W850" t="e">
        <f t="array" ref="W850">INDEX('Raw Data'!$A:$O,$F850,19)</f>
        <v>#NUM!</v>
      </c>
      <c r="X850" t="e">
        <f t="array" ref="X850">INDEX('Raw Data'!$A:$O,$F850,20)</f>
        <v>#NUM!</v>
      </c>
      <c r="Y850" t="e">
        <f t="array" ref="Y850">INDEX('Raw Data'!$A:$O,F850,21)</f>
        <v>#NUM!</v>
      </c>
      <c r="Z850" t="e">
        <f t="array" ref="Z850">INDEX('Raw Data'!$A:$O,$F850,3)</f>
        <v>#NUM!</v>
      </c>
      <c r="AA850" t="e">
        <f t="array" ref="AA850">INDEX('Raw Data'!$A:$O,$F850,22)</f>
        <v>#NUM!</v>
      </c>
      <c r="AB850" t="e">
        <f t="array" ref="AB850">INDEX('Raw Data'!$A:$O,$F850,23)</f>
        <v>#NUM!</v>
      </c>
      <c r="AM850" s="21"/>
    </row>
    <row r="851" spans="1:44" x14ac:dyDescent="0.25">
      <c r="F851" t="e">
        <f t="array" ref="F851">SMALL(IF('Raw Data'!A:A=C843,ROW('Raw Data'!A:A)),ROW('Raw Data'!$8:$8))</f>
        <v>#NUM!</v>
      </c>
      <c r="G851" t="e">
        <f t="array" ref="G851">INDEX('Raw Data'!A:A,F851,9)</f>
        <v>#NUM!</v>
      </c>
      <c r="H851" t="e">
        <f t="array" ref="H851">INDEX('Raw Data'!A:A,F851,10)</f>
        <v>#NUM!</v>
      </c>
      <c r="I851" t="e">
        <f t="array" ref="I851">INDEX('Raw Data'!$A:A,$F851,11)</f>
        <v>#NUM!</v>
      </c>
      <c r="J851" t="e">
        <f t="array" ref="J851">INDEX('Raw Data'!$A:A,F851,12)</f>
        <v>#NUM!</v>
      </c>
      <c r="K851" t="e">
        <f t="array" ref="K851">(--INDEX('Raw Data'!$A$4:B$998,F851,4))</f>
        <v>#NUM!</v>
      </c>
      <c r="L851" t="e">
        <f t="array" ref="L851">(--INDEX('Raw Data'!$A$4:B$998,F851,5))</f>
        <v>#NUM!</v>
      </c>
      <c r="M851" t="e">
        <f t="array" ref="M851">(--INDEX('Raw Data'!$A$4:D$998,$F851,6))</f>
        <v>#NUM!</v>
      </c>
      <c r="N851" t="e">
        <f t="array" ref="N851">(--INDEX('Raw Data'!$A$4:D$998,$F851,7))</f>
        <v>#NUM!</v>
      </c>
      <c r="O851" t="e">
        <f t="array" ref="O851">IF(--INDEX('Raw Data'!$A$4:E$998,$F851,8)= 0, 1, 0)</f>
        <v>#NUM!</v>
      </c>
      <c r="P851" t="e">
        <f t="array" ref="P851">IF(--INDEX('Raw Data'!$A$4:F$998,$F851,8)= 1, 1, 0)</f>
        <v>#NUM!</v>
      </c>
      <c r="Q851" t="e">
        <f t="array" ref="Q851">IF(--INDEX('Raw Data'!$A$4:G$998,$F851,13)= 1, 1, 0)</f>
        <v>#NUM!</v>
      </c>
      <c r="R851" t="e">
        <f t="array" ref="R851">IF(--INDEX('Raw Data'!$A$4:H$998,$F851,14)= 1, 1, 0)</f>
        <v>#NUM!</v>
      </c>
      <c r="S851" t="e">
        <f t="array" ref="S851">IF(--INDEX('Raw Data'!$A$4:I$998,$F851,15)= 1, 1, 0)</f>
        <v>#NUM!</v>
      </c>
      <c r="T851" t="e">
        <f t="array" ref="T851">IF(--INDEX('Raw Data'!$A$4:I$998,$F851,15)= 1, 1, 0)</f>
        <v>#NUM!</v>
      </c>
      <c r="U851" t="e">
        <f t="array" ref="U851">IF(--INDEX('Raw Data'!$A$4:J$998,$F851,16)= 1, 1, 0)</f>
        <v>#NUM!</v>
      </c>
      <c r="V851" t="e">
        <f t="array" ref="V851">IF(--INDEX('Raw Data'!$A$4:K$998,$F851,17)= 1, 1, 0)</f>
        <v>#NUM!</v>
      </c>
      <c r="W851" t="e">
        <f t="array" ref="W851">INDEX('Raw Data'!$A:$O,$F851,19)</f>
        <v>#NUM!</v>
      </c>
      <c r="X851" t="e">
        <f t="array" ref="X851">INDEX('Raw Data'!$A:$O,$F851,20)</f>
        <v>#NUM!</v>
      </c>
      <c r="Y851" t="e">
        <f t="array" ref="Y851">INDEX('Raw Data'!$A:$O,F851,21)</f>
        <v>#NUM!</v>
      </c>
      <c r="Z851" t="e">
        <f t="array" ref="Z851">INDEX('Raw Data'!$A:$O,$F851,3)</f>
        <v>#NUM!</v>
      </c>
      <c r="AA851" t="e">
        <f t="array" ref="AA851">INDEX('Raw Data'!$A:$O,$F851,22)</f>
        <v>#NUM!</v>
      </c>
      <c r="AB851" t="e">
        <f t="array" ref="AB851">INDEX('Raw Data'!$A:$O,$F851,23)</f>
        <v>#NUM!</v>
      </c>
    </row>
    <row r="852" spans="1:44" x14ac:dyDescent="0.25">
      <c r="F852" t="e">
        <f t="array" ref="F852">SMALL(IF('Raw Data'!A:A=C843,ROW('Raw Data'!A:A)),ROW('Raw Data'!$9:$9))</f>
        <v>#NUM!</v>
      </c>
      <c r="G852" t="e">
        <f t="array" ref="G852">INDEX('Raw Data'!A:A,F852,9)</f>
        <v>#NUM!</v>
      </c>
      <c r="H852" t="e">
        <f t="array" ref="H852">INDEX('Raw Data'!A:A,F852,10)</f>
        <v>#NUM!</v>
      </c>
      <c r="I852" t="e">
        <f t="array" ref="I852">INDEX('Raw Data'!$A:A,$F852,11)</f>
        <v>#NUM!</v>
      </c>
      <c r="J852" t="e">
        <f t="array" ref="J852">INDEX('Raw Data'!$A:A,F852,12)</f>
        <v>#NUM!</v>
      </c>
      <c r="K852" t="e">
        <f t="array" ref="K852">(--INDEX('Raw Data'!$A$4:B$998,F852,4))</f>
        <v>#NUM!</v>
      </c>
      <c r="L852" t="e">
        <f t="array" ref="L852">(--INDEX('Raw Data'!$A$4:B$998,F852,5))</f>
        <v>#NUM!</v>
      </c>
      <c r="M852" t="e">
        <f t="array" ref="M852">(--INDEX('Raw Data'!$A$4:D$998,$F852,6))</f>
        <v>#NUM!</v>
      </c>
      <c r="N852" t="e">
        <f t="array" ref="N852">(--INDEX('Raw Data'!$A$4:D$998,$F852,7))</f>
        <v>#NUM!</v>
      </c>
      <c r="O852" t="e">
        <f t="array" ref="O852">IF(--INDEX('Raw Data'!$A$4:E$998,$F852,8)= 0, 1, 0)</f>
        <v>#NUM!</v>
      </c>
      <c r="P852" t="e">
        <f t="array" ref="P852">IF(--INDEX('Raw Data'!$A$4:F$998,$F852,8)= 1, 1, 0)</f>
        <v>#NUM!</v>
      </c>
      <c r="Q852" t="e">
        <f t="array" ref="Q852">IF(--INDEX('Raw Data'!$A$4:G$998,$F852,13)= 1, 1, 0)</f>
        <v>#NUM!</v>
      </c>
      <c r="R852" t="e">
        <f t="array" ref="R852">IF(--INDEX('Raw Data'!$A$4:H$998,$F852,14)= 1, 1, 0)</f>
        <v>#NUM!</v>
      </c>
      <c r="S852" t="e">
        <f t="array" ref="S852">IF(--INDEX('Raw Data'!$A$4:I$998,$F852,15)= 1, 1, 0)</f>
        <v>#NUM!</v>
      </c>
      <c r="T852" t="e">
        <f t="array" ref="T852">IF(--INDEX('Raw Data'!$A$4:I$998,$F852,15)= 1, 1, 0)</f>
        <v>#NUM!</v>
      </c>
      <c r="U852" t="e">
        <f t="array" ref="U852">IF(--INDEX('Raw Data'!$A$4:J$998,$F852,16)= 1, 1, 0)</f>
        <v>#NUM!</v>
      </c>
      <c r="V852" t="e">
        <f t="array" ref="V852">IF(--INDEX('Raw Data'!$A$4:K$998,$F852,17)= 1, 1, 0)</f>
        <v>#NUM!</v>
      </c>
      <c r="W852" t="e">
        <f t="array" ref="W852">INDEX('Raw Data'!$A:$O,$F852,19)</f>
        <v>#NUM!</v>
      </c>
      <c r="X852" t="e">
        <f t="array" ref="X852">INDEX('Raw Data'!$A:$O,$F852,20)</f>
        <v>#NUM!</v>
      </c>
      <c r="Y852" t="e">
        <f t="array" ref="Y852">INDEX('Raw Data'!$A:$O,F852,21)</f>
        <v>#NUM!</v>
      </c>
      <c r="Z852" t="e">
        <f t="array" ref="Z852">INDEX('Raw Data'!$A:$O,$F852,3)</f>
        <v>#NUM!</v>
      </c>
      <c r="AA852" t="e">
        <f t="array" ref="AA852">INDEX('Raw Data'!$A:$O,$F852,22)</f>
        <v>#NUM!</v>
      </c>
      <c r="AB852" t="e">
        <f t="array" ref="AB852">INDEX('Raw Data'!$A:$O,$F852,23)</f>
        <v>#NUM!</v>
      </c>
    </row>
    <row r="853" spans="1:44" x14ac:dyDescent="0.25">
      <c r="F853" t="e">
        <f t="array" ref="F853">SMALL(IF('Raw Data'!A:A=C843,ROW('Raw Data'!A:A)),ROW('Raw Data'!$10:$10))</f>
        <v>#NUM!</v>
      </c>
      <c r="G853" t="e">
        <f t="array" ref="G853">INDEX('Raw Data'!A:A,F853,9)</f>
        <v>#NUM!</v>
      </c>
      <c r="H853" t="e">
        <f t="array" ref="H853">INDEX('Raw Data'!A:A,F853,10)</f>
        <v>#NUM!</v>
      </c>
      <c r="I853" t="e">
        <f t="array" ref="I853">INDEX('Raw Data'!$A:A,$F853,11)</f>
        <v>#NUM!</v>
      </c>
      <c r="J853" t="e">
        <f t="array" ref="J853">INDEX('Raw Data'!$A:A,F853,12)</f>
        <v>#NUM!</v>
      </c>
      <c r="K853" t="e">
        <f t="array" ref="K853">(--INDEX('Raw Data'!$A$4:B$998,F853,4))</f>
        <v>#NUM!</v>
      </c>
      <c r="L853" t="e">
        <f t="array" ref="L853">(--INDEX('Raw Data'!$A$4:B$998,F853,5))</f>
        <v>#NUM!</v>
      </c>
      <c r="M853" t="e">
        <f t="array" ref="M853">(--INDEX('Raw Data'!$A$4:D$998,$F853,6))</f>
        <v>#NUM!</v>
      </c>
      <c r="N853" t="e">
        <f t="array" ref="N853">(--INDEX('Raw Data'!$A$4:D$998,$F853,7))</f>
        <v>#NUM!</v>
      </c>
      <c r="O853" t="e">
        <f t="array" ref="O853">IF(--INDEX('Raw Data'!$A$4:E$998,$F853,8)= 0, 1, 0)</f>
        <v>#NUM!</v>
      </c>
      <c r="P853" t="e">
        <f t="array" ref="P853">IF(--INDEX('Raw Data'!$A$4:F$998,$F853,8)= 1, 1, 0)</f>
        <v>#NUM!</v>
      </c>
      <c r="Q853" t="e">
        <f t="array" ref="Q853">IF(--INDEX('Raw Data'!$A$4:G$998,$F853,13)= 1, 1, 0)</f>
        <v>#NUM!</v>
      </c>
      <c r="R853" t="e">
        <f t="array" ref="R853">IF(--INDEX('Raw Data'!$A$4:H$998,$F853,14)= 1, 1, 0)</f>
        <v>#NUM!</v>
      </c>
      <c r="S853" t="e">
        <f t="array" ref="S853">IF(--INDEX('Raw Data'!$A$4:I$998,$F853,15)= 1, 1, 0)</f>
        <v>#NUM!</v>
      </c>
      <c r="T853" t="e">
        <f t="array" ref="T853">IF(--INDEX('Raw Data'!$A$4:I$998,$F853,15)= 1, 1, 0)</f>
        <v>#NUM!</v>
      </c>
      <c r="U853" t="e">
        <f t="array" ref="U853">IF(--INDEX('Raw Data'!$A$4:J$998,$F853,16)= 1, 1, 0)</f>
        <v>#NUM!</v>
      </c>
      <c r="V853" t="e">
        <f t="array" ref="V853">IF(--INDEX('Raw Data'!$A$4:K$998,$F853,17)= 1, 1, 0)</f>
        <v>#NUM!</v>
      </c>
      <c r="W853" t="e">
        <f t="array" ref="W853">INDEX('Raw Data'!$A:$O,$F853,19)</f>
        <v>#NUM!</v>
      </c>
      <c r="X853" t="e">
        <f t="array" ref="X853">INDEX('Raw Data'!$A:$O,$F853,20)</f>
        <v>#NUM!</v>
      </c>
      <c r="Y853" t="e">
        <f t="array" ref="Y853">INDEX('Raw Data'!$A:$O,F853,21)</f>
        <v>#NUM!</v>
      </c>
      <c r="Z853" t="e">
        <f t="array" ref="Z853">INDEX('Raw Data'!$A:$O,$F853,3)</f>
        <v>#NUM!</v>
      </c>
      <c r="AA853" t="e">
        <f t="array" ref="AA853">INDEX('Raw Data'!$A:$O,$F853,22)</f>
        <v>#NUM!</v>
      </c>
      <c r="AB853" t="e">
        <f t="array" ref="AB853">INDEX('Raw Data'!$A:$O,$F853,23)</f>
        <v>#NUM!</v>
      </c>
    </row>
    <row r="854" spans="1:44" x14ac:dyDescent="0.25">
      <c r="F854" t="e">
        <f t="array" ref="F854">SMALL(IF('Raw Data'!A:A=C843,ROW('Raw Data'!A:A)),ROW('Raw Data'!$11:$11))</f>
        <v>#NUM!</v>
      </c>
      <c r="G854" t="e">
        <f t="array" ref="G854">INDEX('Raw Data'!A:A,F854,9)</f>
        <v>#NUM!</v>
      </c>
      <c r="H854" t="e">
        <f t="array" ref="H854">INDEX('Raw Data'!A:A,F854,10)</f>
        <v>#NUM!</v>
      </c>
      <c r="I854" t="e">
        <f t="array" ref="I854">INDEX('Raw Data'!$A:A,$F854,11)</f>
        <v>#NUM!</v>
      </c>
      <c r="J854" t="e">
        <f t="array" ref="J854">INDEX('Raw Data'!$A:A,F854,12)</f>
        <v>#NUM!</v>
      </c>
      <c r="K854" t="e">
        <f t="array" ref="K854">(--INDEX('Raw Data'!$A$4:B$998,F854,4))</f>
        <v>#NUM!</v>
      </c>
      <c r="L854" t="e">
        <f t="array" ref="L854">(--INDEX('Raw Data'!$A$4:B$998,F854,5))</f>
        <v>#NUM!</v>
      </c>
      <c r="M854" t="e">
        <f t="array" ref="M854">(--INDEX('Raw Data'!$A$4:D$998,$F854,6))</f>
        <v>#NUM!</v>
      </c>
      <c r="N854" t="e">
        <f t="array" ref="N854">(--INDEX('Raw Data'!$A$4:D$998,$F854,7))</f>
        <v>#NUM!</v>
      </c>
      <c r="O854" t="e">
        <f t="array" ref="O854">IF(--INDEX('Raw Data'!$A$4:E$998,$F854,8)= 0, 1, 0)</f>
        <v>#NUM!</v>
      </c>
      <c r="P854" t="e">
        <f t="array" ref="P854">IF(--INDEX('Raw Data'!$A$4:F$998,$F854,8)= 1, 1, 0)</f>
        <v>#NUM!</v>
      </c>
      <c r="Q854" t="e">
        <f t="array" ref="Q854">IF(--INDEX('Raw Data'!$A$4:G$998,$F854,13)= 1, 1, 0)</f>
        <v>#NUM!</v>
      </c>
      <c r="R854" t="e">
        <f t="array" ref="R854">IF(--INDEX('Raw Data'!$A$4:H$998,$F854,14)= 1, 1, 0)</f>
        <v>#NUM!</v>
      </c>
      <c r="S854" t="e">
        <f t="array" ref="S854">IF(--INDEX('Raw Data'!$A$4:I$998,$F854,15)= 1, 1, 0)</f>
        <v>#NUM!</v>
      </c>
      <c r="T854" t="e">
        <f t="array" ref="T854">IF(--INDEX('Raw Data'!$A$4:I$998,$F854,15)= 1, 1, 0)</f>
        <v>#NUM!</v>
      </c>
      <c r="U854" t="e">
        <f t="array" ref="U854">IF(--INDEX('Raw Data'!$A$4:J$998,$F854,16)= 1, 1, 0)</f>
        <v>#NUM!</v>
      </c>
      <c r="V854" t="e">
        <f t="array" ref="V854">IF(--INDEX('Raw Data'!$A$4:K$998,$F854,17)= 1, 1, 0)</f>
        <v>#NUM!</v>
      </c>
      <c r="W854" t="e">
        <f t="array" ref="W854">INDEX('Raw Data'!$A:$O,$F854,19)</f>
        <v>#NUM!</v>
      </c>
      <c r="X854" t="e">
        <f t="array" ref="X854">INDEX('Raw Data'!$A:$O,$F854,20)</f>
        <v>#NUM!</v>
      </c>
      <c r="Y854" t="e">
        <f t="array" ref="Y854">INDEX('Raw Data'!$A:$O,F854,21)</f>
        <v>#NUM!</v>
      </c>
      <c r="Z854" t="e">
        <f t="array" ref="Z854">INDEX('Raw Data'!$A:$O,$F854,3)</f>
        <v>#NUM!</v>
      </c>
      <c r="AA854" t="e">
        <f t="array" ref="AA854">INDEX('Raw Data'!$A:$O,$F854,22)</f>
        <v>#NUM!</v>
      </c>
      <c r="AB854" t="e">
        <f t="array" ref="AB854">INDEX('Raw Data'!$A:$O,$F854,23)</f>
        <v>#NUM!</v>
      </c>
    </row>
    <row r="855" spans="1:44" x14ac:dyDescent="0.25">
      <c r="F855" t="e">
        <f t="array" ref="F855">SMALL(IF('Raw Data'!A:A=C843,ROW('Raw Data'!A:A)),ROW('Raw Data'!$12:$12))</f>
        <v>#NUM!</v>
      </c>
      <c r="G855" t="e">
        <f t="array" ref="G855">INDEX('Raw Data'!A:A,F855,9)</f>
        <v>#NUM!</v>
      </c>
      <c r="H855" t="e">
        <f t="array" ref="H855">INDEX('Raw Data'!A:A,F855,10)</f>
        <v>#NUM!</v>
      </c>
      <c r="I855" t="e">
        <f t="array" ref="I855">INDEX('Raw Data'!$A:A,$F855,11)</f>
        <v>#NUM!</v>
      </c>
      <c r="J855" t="e">
        <f t="array" ref="J855">INDEX('Raw Data'!$A:A,F855,12)</f>
        <v>#NUM!</v>
      </c>
      <c r="K855" t="e">
        <f t="array" ref="K855">(--INDEX('Raw Data'!$A$4:B$998,F855,4))</f>
        <v>#NUM!</v>
      </c>
      <c r="L855" t="e">
        <f t="array" ref="L855">(--INDEX('Raw Data'!$A$4:B$998,F855,5))</f>
        <v>#NUM!</v>
      </c>
      <c r="M855" t="e">
        <f t="array" ref="M855">(--INDEX('Raw Data'!$A$4:D$998,$F855,6))</f>
        <v>#NUM!</v>
      </c>
      <c r="N855" t="e">
        <f t="array" ref="N855">(--INDEX('Raw Data'!$A$4:D$998,$F855,7))</f>
        <v>#NUM!</v>
      </c>
      <c r="O855" t="e">
        <f t="array" ref="O855">IF(--INDEX('Raw Data'!$A$4:E$998,$F855,8)= 0, 1, 0)</f>
        <v>#NUM!</v>
      </c>
      <c r="P855" t="e">
        <f t="array" ref="P855">IF(--INDEX('Raw Data'!$A$4:F$998,$F855,8)= 1, 1, 0)</f>
        <v>#NUM!</v>
      </c>
      <c r="Q855" t="e">
        <f t="array" ref="Q855">IF(--INDEX('Raw Data'!$A$4:G$998,$F855,13)= 1, 1, 0)</f>
        <v>#NUM!</v>
      </c>
      <c r="R855" t="e">
        <f t="array" ref="R855">IF(--INDEX('Raw Data'!$A$4:H$998,$F855,14)= 1, 1, 0)</f>
        <v>#NUM!</v>
      </c>
      <c r="S855" t="e">
        <f t="array" ref="S855">IF(--INDEX('Raw Data'!$A$4:I$998,$F855,15)= 1, 1, 0)</f>
        <v>#NUM!</v>
      </c>
      <c r="T855" t="e">
        <f t="array" ref="T855">IF(--INDEX('Raw Data'!$A$4:I$998,$F855,15)= 1, 1, 0)</f>
        <v>#NUM!</v>
      </c>
      <c r="U855" t="e">
        <f t="array" ref="U855">IF(--INDEX('Raw Data'!$A$4:J$998,$F855,16)= 1, 1, 0)</f>
        <v>#NUM!</v>
      </c>
      <c r="V855" t="e">
        <f t="array" ref="V855">IF(--INDEX('Raw Data'!$A$4:K$998,$F855,17)= 1, 1, 0)</f>
        <v>#NUM!</v>
      </c>
      <c r="W855" t="e">
        <f t="array" ref="W855">INDEX('Raw Data'!$A:$O,$F855,19)</f>
        <v>#NUM!</v>
      </c>
      <c r="X855" t="e">
        <f t="array" ref="X855">INDEX('Raw Data'!$A:$O,$F855,20)</f>
        <v>#NUM!</v>
      </c>
      <c r="Y855" t="e">
        <f t="array" ref="Y855">INDEX('Raw Data'!$A:$O,F855,21)</f>
        <v>#NUM!</v>
      </c>
      <c r="Z855" t="e">
        <f t="array" ref="Z855">INDEX('Raw Data'!$A:$O,$F855,3)</f>
        <v>#NUM!</v>
      </c>
      <c r="AA855" t="e">
        <f t="array" ref="AA855">INDEX('Raw Data'!$A:$O,$F855,22)</f>
        <v>#NUM!</v>
      </c>
      <c r="AB855" t="e">
        <f t="array" ref="AB855">INDEX('Raw Data'!$A:$O,$F855,23)</f>
        <v>#NUM!</v>
      </c>
    </row>
    <row r="856" spans="1:44" x14ac:dyDescent="0.25">
      <c r="F856" t="e">
        <f t="array" ref="F856">SMALL(IF('Raw Data'!A:A=C843,ROW('Raw Data'!A:A)),ROW('Raw Data'!$13:$13))</f>
        <v>#NUM!</v>
      </c>
      <c r="G856" t="e">
        <f t="array" ref="G856">INDEX('Raw Data'!A:A,F856,9)</f>
        <v>#NUM!</v>
      </c>
      <c r="H856" t="e">
        <f t="array" ref="H856">INDEX('Raw Data'!A:A,F856,10)</f>
        <v>#NUM!</v>
      </c>
      <c r="I856" t="e">
        <f t="array" ref="I856">INDEX('Raw Data'!$A:A,$F856,11)</f>
        <v>#NUM!</v>
      </c>
      <c r="J856" t="e">
        <f t="array" ref="J856">INDEX('Raw Data'!$A:A,F856,12)</f>
        <v>#NUM!</v>
      </c>
      <c r="K856" t="e">
        <f t="array" ref="K856">(--INDEX('Raw Data'!$A$4:B$998,F856,4))</f>
        <v>#NUM!</v>
      </c>
      <c r="L856" t="e">
        <f t="array" ref="L856">(--INDEX('Raw Data'!$A$4:B$998,F856,5))</f>
        <v>#NUM!</v>
      </c>
      <c r="M856" t="e">
        <f t="array" ref="M856">(--INDEX('Raw Data'!$A$4:D$998,$F856,6))</f>
        <v>#NUM!</v>
      </c>
      <c r="N856" t="e">
        <f t="array" ref="N856">(--INDEX('Raw Data'!$A$4:D$998,$F856,7))</f>
        <v>#NUM!</v>
      </c>
      <c r="O856" t="e">
        <f t="array" ref="O856">IF(--INDEX('Raw Data'!$A$4:E$998,$F856,8)= 0, 1, 0)</f>
        <v>#NUM!</v>
      </c>
      <c r="P856" t="e">
        <f t="array" ref="P856">IF(--INDEX('Raw Data'!$A$4:F$998,$F856,8)= 1, 1, 0)</f>
        <v>#NUM!</v>
      </c>
      <c r="Q856" t="e">
        <f t="array" ref="Q856">IF(--INDEX('Raw Data'!$A$4:G$998,$F856,13)= 1, 1, 0)</f>
        <v>#NUM!</v>
      </c>
      <c r="R856" t="e">
        <f t="array" ref="R856">IF(--INDEX('Raw Data'!$A$4:H$998,$F856,14)= 1, 1, 0)</f>
        <v>#NUM!</v>
      </c>
      <c r="S856" t="e">
        <f t="array" ref="S856">IF(--INDEX('Raw Data'!$A$4:I$998,$F856,15)= 1, 1, 0)</f>
        <v>#NUM!</v>
      </c>
      <c r="T856" t="e">
        <f t="array" ref="T856">IF(--INDEX('Raw Data'!$A$4:I$998,$F856,15)= 1, 1, 0)</f>
        <v>#NUM!</v>
      </c>
      <c r="U856" t="e">
        <f t="array" ref="U856">IF(--INDEX('Raw Data'!$A$4:J$998,$F856,16)= 1, 1, 0)</f>
        <v>#NUM!</v>
      </c>
      <c r="V856" t="e">
        <f t="array" ref="V856">IF(--INDEX('Raw Data'!$A$4:K$998,$F856,17)= 1, 1, 0)</f>
        <v>#NUM!</v>
      </c>
      <c r="W856" t="e">
        <f t="array" ref="W856">INDEX('Raw Data'!$A:$O,$F856,19)</f>
        <v>#NUM!</v>
      </c>
      <c r="X856" t="e">
        <f t="array" ref="X856">INDEX('Raw Data'!$A:$O,$F856,20)</f>
        <v>#NUM!</v>
      </c>
      <c r="Y856" t="e">
        <f t="array" ref="Y856">INDEX('Raw Data'!$A:$O,F856,21)</f>
        <v>#NUM!</v>
      </c>
      <c r="Z856" t="e">
        <f t="array" ref="Z856">INDEX('Raw Data'!$A:$O,$F856,3)</f>
        <v>#NUM!</v>
      </c>
      <c r="AA856" t="e">
        <f t="array" ref="AA856">INDEX('Raw Data'!$A:$O,$F856,22)</f>
        <v>#NUM!</v>
      </c>
      <c r="AB856" t="e">
        <f t="array" ref="AB856">INDEX('Raw Data'!$A:$O,$F856,23)</f>
        <v>#NUM!</v>
      </c>
    </row>
    <row r="857" spans="1:44" x14ac:dyDescent="0.25">
      <c r="F857" t="e">
        <f t="array" ref="F857">SMALL(IF('Raw Data'!A:A=C843,ROW('Raw Data'!A:A)),ROW('Raw Data'!$14:$14))</f>
        <v>#NUM!</v>
      </c>
      <c r="G857" t="e">
        <f t="array" ref="G857">INDEX('Raw Data'!A:A,F857,9)</f>
        <v>#NUM!</v>
      </c>
      <c r="H857" t="e">
        <f t="array" ref="H857">INDEX('Raw Data'!A:A,F857,10)</f>
        <v>#NUM!</v>
      </c>
      <c r="I857" t="e">
        <f t="array" ref="I857">INDEX('Raw Data'!$A:A,$F857,11)</f>
        <v>#NUM!</v>
      </c>
      <c r="J857" t="e">
        <f t="array" ref="J857">INDEX('Raw Data'!$A:A,F857,12)</f>
        <v>#NUM!</v>
      </c>
      <c r="K857" t="e">
        <f t="array" ref="K857">(--INDEX('Raw Data'!$A$4:B$998,F857,4))</f>
        <v>#NUM!</v>
      </c>
      <c r="L857" t="e">
        <f t="array" ref="L857">(--INDEX('Raw Data'!$A$4:B$998,F857,5))</f>
        <v>#NUM!</v>
      </c>
      <c r="M857" t="e">
        <f t="array" ref="M857">(--INDEX('Raw Data'!$A$4:D$998,$F857,6))</f>
        <v>#NUM!</v>
      </c>
      <c r="N857" t="e">
        <f t="array" ref="N857">(--INDEX('Raw Data'!$A$4:D$998,$F857,7))</f>
        <v>#NUM!</v>
      </c>
      <c r="O857" t="e">
        <f t="array" ref="O857">IF(--INDEX('Raw Data'!$A$4:E$998,$F857,8)= 0, 1, 0)</f>
        <v>#NUM!</v>
      </c>
      <c r="P857" t="e">
        <f t="array" ref="P857">IF(--INDEX('Raw Data'!$A$4:F$998,$F857,8)= 1, 1, 0)</f>
        <v>#NUM!</v>
      </c>
      <c r="Q857" t="e">
        <f t="array" ref="Q857">IF(--INDEX('Raw Data'!$A$4:G$998,$F857,13)= 1, 1, 0)</f>
        <v>#NUM!</v>
      </c>
      <c r="R857" t="e">
        <f t="array" ref="R857">IF(--INDEX('Raw Data'!$A$4:H$998,$F857,14)= 1, 1, 0)</f>
        <v>#NUM!</v>
      </c>
      <c r="S857" t="e">
        <f t="array" ref="S857">IF(--INDEX('Raw Data'!$A$4:I$998,$F857,15)= 1, 1, 0)</f>
        <v>#NUM!</v>
      </c>
      <c r="T857" t="e">
        <f t="array" ref="T857">IF(--INDEX('Raw Data'!$A$4:I$998,$F857,15)= 1, 1, 0)</f>
        <v>#NUM!</v>
      </c>
      <c r="U857" t="e">
        <f t="array" ref="U857">IF(--INDEX('Raw Data'!$A$4:J$998,$F857,16)= 1, 1, 0)</f>
        <v>#NUM!</v>
      </c>
      <c r="V857" t="e">
        <f t="array" ref="V857">IF(--INDEX('Raw Data'!$A$4:K$998,$F857,17)= 1, 1, 0)</f>
        <v>#NUM!</v>
      </c>
      <c r="W857" t="e">
        <f t="array" ref="W857">INDEX('Raw Data'!$A:$O,$F857,19)</f>
        <v>#NUM!</v>
      </c>
      <c r="X857" t="e">
        <f t="array" ref="X857">INDEX('Raw Data'!$A:$O,$F857,20)</f>
        <v>#NUM!</v>
      </c>
      <c r="Y857" t="e">
        <f t="array" ref="Y857">INDEX('Raw Data'!$A:$O,F857,21)</f>
        <v>#NUM!</v>
      </c>
      <c r="Z857" t="e">
        <f t="array" ref="Z857">INDEX('Raw Data'!$A:$O,$F857,3)</f>
        <v>#NUM!</v>
      </c>
      <c r="AA857" t="e">
        <f t="array" ref="AA857">INDEX('Raw Data'!$A:$O,$F857,22)</f>
        <v>#NUM!</v>
      </c>
      <c r="AB857" t="e">
        <f t="array" ref="AB857">INDEX('Raw Data'!$A:$O,$F857,23)</f>
        <v>#NUM!</v>
      </c>
    </row>
    <row r="858" spans="1:44" x14ac:dyDescent="0.25">
      <c r="F858" t="e">
        <f t="array" ref="F858">SMALL(IF('Raw Data'!A:A=C843,ROW('Raw Data'!A:A)),ROW('Raw Data'!$15:$15))</f>
        <v>#NUM!</v>
      </c>
      <c r="G858" t="e">
        <f t="array" ref="G858">INDEX('Raw Data'!A:A,F858,9)</f>
        <v>#NUM!</v>
      </c>
      <c r="H858" t="e">
        <f t="array" ref="H858">INDEX('Raw Data'!A:A,F858,10)</f>
        <v>#NUM!</v>
      </c>
      <c r="I858" t="e">
        <f t="array" ref="I858">INDEX('Raw Data'!$A:A,$F858,11)</f>
        <v>#NUM!</v>
      </c>
      <c r="J858" t="e">
        <f t="array" ref="J858">INDEX('Raw Data'!$A:A,F858,12)</f>
        <v>#NUM!</v>
      </c>
      <c r="K858" t="e">
        <f t="array" ref="K858">(--INDEX('Raw Data'!$A$4:B$998,F858,4))</f>
        <v>#NUM!</v>
      </c>
      <c r="L858" t="e">
        <f t="array" ref="L858">(--INDEX('Raw Data'!$A$4:B$998,F858,5))</f>
        <v>#NUM!</v>
      </c>
      <c r="M858" t="e">
        <f t="array" ref="M858">(--INDEX('Raw Data'!$A$4:D$998,$F858,6))</f>
        <v>#NUM!</v>
      </c>
      <c r="N858" t="e">
        <f t="array" ref="N858">(--INDEX('Raw Data'!$A$4:D$998,$F858,7))</f>
        <v>#NUM!</v>
      </c>
      <c r="O858" t="e">
        <f t="array" ref="O858">IF(--INDEX('Raw Data'!$A$4:E$998,$F858,8)= 0, 1, 0)</f>
        <v>#NUM!</v>
      </c>
      <c r="P858" t="e">
        <f t="array" ref="P858">IF(--INDEX('Raw Data'!$A$4:F$998,$F858,8)= 1, 1, 0)</f>
        <v>#NUM!</v>
      </c>
      <c r="Q858" t="e">
        <f t="array" ref="Q858">IF(--INDEX('Raw Data'!$A$4:G$998,$F858,13)= 1, 1, 0)</f>
        <v>#NUM!</v>
      </c>
      <c r="R858" t="e">
        <f t="array" ref="R858">IF(--INDEX('Raw Data'!$A$4:H$998,$F858,14)= 1, 1, 0)</f>
        <v>#NUM!</v>
      </c>
      <c r="S858" t="e">
        <f t="array" ref="S858">IF(--INDEX('Raw Data'!$A$4:I$998,$F858,15)= 1, 1, 0)</f>
        <v>#NUM!</v>
      </c>
      <c r="T858" t="e">
        <f t="array" ref="T858">IF(--INDEX('Raw Data'!$A$4:I$998,$F858,15)= 1, 1, 0)</f>
        <v>#NUM!</v>
      </c>
      <c r="U858" t="e">
        <f t="array" ref="U858">IF(--INDEX('Raw Data'!$A$4:J$998,$F858,16)= 1, 1, 0)</f>
        <v>#NUM!</v>
      </c>
      <c r="V858" t="e">
        <f t="array" ref="V858">IF(--INDEX('Raw Data'!$A$4:K$998,$F858,17)= 1, 1, 0)</f>
        <v>#NUM!</v>
      </c>
      <c r="W858" t="e">
        <f t="array" ref="W858">INDEX('Raw Data'!$A:$O,$F858,19)</f>
        <v>#NUM!</v>
      </c>
      <c r="X858" t="e">
        <f t="array" ref="X858">INDEX('Raw Data'!$A:$O,$F858,20)</f>
        <v>#NUM!</v>
      </c>
      <c r="Y858" t="e">
        <f t="array" ref="Y858">INDEX('Raw Data'!$A:$O,F858,21)</f>
        <v>#NUM!</v>
      </c>
      <c r="Z858" t="e">
        <f t="array" ref="Z858">INDEX('Raw Data'!$A:$O,$F858,3)</f>
        <v>#NUM!</v>
      </c>
      <c r="AA858" t="e">
        <f t="array" ref="AA858">INDEX('Raw Data'!$A:$O,$F858,22)</f>
        <v>#NUM!</v>
      </c>
      <c r="AB858" t="e">
        <f t="array" ref="AB858">INDEX('Raw Data'!$A:$O,$F858,23)</f>
        <v>#NUM!</v>
      </c>
    </row>
    <row r="859" spans="1:44" x14ac:dyDescent="0.25">
      <c r="A859" t="s">
        <v>55</v>
      </c>
      <c r="C859" s="2" t="e">
        <f>B849/B848</f>
        <v>#DIV/0!</v>
      </c>
      <c r="F859">
        <f t="array" ref="F859">COUNTIF(F844:F858,"&gt;0")</f>
        <v>0</v>
      </c>
      <c r="G859">
        <f t="array" ref="G859">SUMIF(G844:G858,"&gt;0")</f>
        <v>0</v>
      </c>
      <c r="H859">
        <f t="array" ref="H859">SUMIF(H844:H858,"&gt;0")</f>
        <v>0</v>
      </c>
      <c r="I859">
        <f t="array" ref="I859">SUMIF(I844:I858,"&gt;0")</f>
        <v>0</v>
      </c>
      <c r="J859">
        <f t="array" ref="J859">SUMIF(J844:J858,"&gt;0")</f>
        <v>0</v>
      </c>
      <c r="K859">
        <f t="array" ref="K859">SUMIF(K844:K858,"&gt;0")</f>
        <v>0</v>
      </c>
      <c r="L859">
        <f t="array" ref="L859">SUMIF(L844:L858,"&gt;0")</f>
        <v>0</v>
      </c>
      <c r="M859">
        <f t="array" ref="M859">SUMIF(M844:M858,"&gt;0")</f>
        <v>0</v>
      </c>
      <c r="N859">
        <f t="array" ref="N859">SUMIF(N844:N858,"&gt;0")</f>
        <v>0</v>
      </c>
      <c r="O859">
        <f t="array" ref="O859">SUMIF(O844:O858,"&gt;0")</f>
        <v>0</v>
      </c>
      <c r="P859">
        <f t="array" ref="P859">SUMIF(P844:P858,"&gt;0")</f>
        <v>0</v>
      </c>
      <c r="Q859">
        <f t="array" ref="Q859">SUMIF(Q844:Q858,"&gt;0")</f>
        <v>0</v>
      </c>
      <c r="R859">
        <f t="array" ref="R859">SUMIF(R844:R858,"&gt;0")</f>
        <v>0</v>
      </c>
      <c r="S859">
        <f t="array" ref="S859">SUMIF(S844:S858,"&gt;0")</f>
        <v>0</v>
      </c>
      <c r="T859">
        <f t="array" ref="T859">SUMIF(T844:T858,"&gt;0")</f>
        <v>0</v>
      </c>
      <c r="U859">
        <f t="array" ref="U859">SUMIF(U844:U858,"&gt;0")</f>
        <v>0</v>
      </c>
      <c r="V859">
        <f t="array" ref="V859">SUMIF(V844:V858,"&gt;0")</f>
        <v>0</v>
      </c>
      <c r="W859">
        <f t="array" ref="W859">SUMIF(W844:W858,"&gt;0")</f>
        <v>0</v>
      </c>
      <c r="X859">
        <f t="array" ref="X859">SUMIF(X844:X858,"&gt;0")</f>
        <v>0</v>
      </c>
      <c r="Y859">
        <f t="array" ref="Y859">SUMIF(Y844:Y858,"&gt;0")</f>
        <v>0</v>
      </c>
      <c r="Z859">
        <f t="array" ref="Z859">SUMIF(Z844:Z858,"&gt;0")</f>
        <v>0</v>
      </c>
      <c r="AA859">
        <f t="array" ref="AA859">SUMIF(AA844:AA858,"&gt;0")</f>
        <v>0</v>
      </c>
      <c r="AB859">
        <f t="array" ref="AB859">SUMIF(AB844:AB858,"&gt;0")</f>
        <v>0</v>
      </c>
    </row>
    <row r="860" spans="1:44" x14ac:dyDescent="0.25">
      <c r="A860" t="s">
        <v>58</v>
      </c>
      <c r="C860" s="2">
        <f t="array" ref="C860">IF((K859+L859)&lt;&gt;0, (L859/(K859+L859)),0)</f>
        <v>0</v>
      </c>
      <c r="J860" s="6">
        <f t="array" ref="J860">J859*10</f>
        <v>0</v>
      </c>
      <c r="K860" s="6"/>
      <c r="P860" t="s">
        <v>95</v>
      </c>
      <c r="Q860" s="2" t="e">
        <f t="array" ref="Q860">Q859/$F859</f>
        <v>#DIV/0!</v>
      </c>
      <c r="R860" s="2" t="e">
        <f t="array" ref="R860">R859/$F859</f>
        <v>#DIV/0!</v>
      </c>
      <c r="S860" s="2" t="e">
        <f t="array" ref="S860">S859/$F859</f>
        <v>#DIV/0!</v>
      </c>
      <c r="T860" s="2" t="e">
        <f t="array" ref="T860">T859/$F859</f>
        <v>#DIV/0!</v>
      </c>
      <c r="U860" s="2" t="e">
        <f t="array" ref="U860">U859/$F859</f>
        <v>#DIV/0!</v>
      </c>
      <c r="V860" s="2" t="e">
        <f t="array" ref="V860">V859/$F859</f>
        <v>#DIV/0!</v>
      </c>
      <c r="W860" s="2" t="e">
        <f t="array" ref="W860">W859/$F859</f>
        <v>#DIV/0!</v>
      </c>
      <c r="X860" s="2" t="e">
        <f t="array" ref="X860">X859/$F859</f>
        <v>#DIV/0!</v>
      </c>
      <c r="Z860" s="2" t="e">
        <f t="array" ref="Z860">Z859/F859</f>
        <v>#DIV/0!</v>
      </c>
      <c r="AR860" s="25"/>
    </row>
    <row r="861" spans="1:44" x14ac:dyDescent="0.25">
      <c r="A861" t="s">
        <v>60</v>
      </c>
      <c r="C861" s="2">
        <f t="array" ref="C861">IF((M859+N859)&lt;&gt;0, (N859/(M859+N859)),0)</f>
        <v>0</v>
      </c>
      <c r="J861" s="6"/>
      <c r="K861" s="6"/>
      <c r="AR861" s="25"/>
    </row>
    <row r="862" spans="1:44" ht="28.5" x14ac:dyDescent="0.45">
      <c r="A862" t="s">
        <v>61</v>
      </c>
      <c r="C862" s="2">
        <f t="array" ref="C862">IF(((K859+N859+L859+M859)&lt;&gt;0), ((L859+N859)/(K859+N859+L859+M859)),0)</f>
        <v>0</v>
      </c>
      <c r="F862" s="17" t="s">
        <v>106</v>
      </c>
      <c r="G862" s="17" t="e">
        <f t="array" ref="G862">'Weighting &amp; Ranking Sheet'!$B$3*Math!$C860+'Weighting &amp; Ranking Sheet'!$B$4*Math!$C861+'Weighting &amp; Ranking Sheet'!$B$5*Math!$C862+'Weighting &amp; Ranking Sheet'!$B$6*Math!$C863+'Weighting &amp; Ranking Sheet'!$B$7*Math!$C847+'Weighting &amp; Ranking Sheet'!$B$8*Math!$C859+'Weighting &amp; Ranking Sheet'!$B$9*Math!$C866+'Weighting &amp; Ranking Sheet'!$B$10*Math!$C864+'Weighting &amp; Ranking Sheet'!$B$11*Math!$C865+'Weighting &amp; Ranking Sheet'!$B$12*Math!$C867*0.01+'Weighting &amp; Ranking Sheet'!$B$13*Math!$Q860+'Weighting &amp; Ranking Sheet'!$B$14*Math!$R860+'Weighting &amp; Ranking Sheet'!$B$15*Math!$S860+'Weighting &amp; Ranking Sheet'!$B$16*Math!$T860+'Weighting &amp; Ranking Sheet'!$B$17*Math!$U860+'Weighting &amp; Ranking Sheet'!$B$18*Math!$V860+'Weighting &amp; Ranking Sheet'!$B$2*Math!$Z860</f>
        <v>#DIV/0!</v>
      </c>
      <c r="J862"/>
      <c r="K862" s="6"/>
      <c r="AR862" s="25"/>
    </row>
    <row r="863" spans="1:44" x14ac:dyDescent="0.25">
      <c r="A863" t="s">
        <v>62</v>
      </c>
      <c r="C863" s="2">
        <f t="array" ref="C863">IF((O859+P859&lt;&gt;0),(P859/(O859+P859)), 0)</f>
        <v>0</v>
      </c>
      <c r="J863"/>
      <c r="K863" s="6"/>
      <c r="AR863" s="25"/>
    </row>
    <row r="864" spans="1:44" x14ac:dyDescent="0.25">
      <c r="A864" t="s">
        <v>77</v>
      </c>
      <c r="C864" s="8" t="e">
        <f t="array" ref="C864">W859/F859</f>
        <v>#DIV/0!</v>
      </c>
      <c r="J864"/>
      <c r="K864" s="6"/>
      <c r="AR864" s="23"/>
    </row>
    <row r="865" spans="1:44" x14ac:dyDescent="0.25">
      <c r="A865" t="s">
        <v>78</v>
      </c>
      <c r="C865" s="8" t="e">
        <f t="array" ref="C865">X859/F859</f>
        <v>#DIV/0!</v>
      </c>
      <c r="J865"/>
      <c r="K865" s="6"/>
    </row>
    <row r="866" spans="1:44" x14ac:dyDescent="0.25">
      <c r="A866" t="s">
        <v>91</v>
      </c>
      <c r="C866" s="2" t="e">
        <f t="array" ref="C866">(C847+C859)/2</f>
        <v>#DIV/0!</v>
      </c>
      <c r="J866"/>
      <c r="K866" s="6"/>
    </row>
    <row r="867" spans="1:44" x14ac:dyDescent="0.25">
      <c r="A867" t="s">
        <v>92</v>
      </c>
      <c r="C867" s="8" t="e">
        <f t="array" ref="C867">Y859/F859</f>
        <v>#DIV/0!</v>
      </c>
      <c r="J867" s="6"/>
      <c r="K867" s="6"/>
    </row>
    <row r="868" spans="1:44" x14ac:dyDescent="0.25">
      <c r="C868" s="8"/>
      <c r="J868" s="6"/>
      <c r="K868" s="6"/>
    </row>
    <row r="869" spans="1:44" x14ac:dyDescent="0.25">
      <c r="C869" s="8"/>
      <c r="J869" s="6"/>
      <c r="K869" s="6"/>
    </row>
    <row r="870" spans="1:44" x14ac:dyDescent="0.25">
      <c r="J870" s="6"/>
      <c r="K870" s="6"/>
    </row>
    <row r="871" spans="1:44" x14ac:dyDescent="0.25">
      <c r="A871" t="s">
        <v>3</v>
      </c>
      <c r="C871" s="5">
        <v>3167</v>
      </c>
      <c r="F871" t="s">
        <v>33</v>
      </c>
    </row>
    <row r="872" spans="1:44" x14ac:dyDescent="0.25">
      <c r="F872" t="e">
        <f t="array" ref="F872">SMALL(IF('Raw Data'!A:A=C871,ROW('Raw Data'!A:A)),ROW('Raw Data'!$1:$1))</f>
        <v>#NUM!</v>
      </c>
      <c r="G872" t="e">
        <f t="array" ref="G872">INDEX('Raw Data'!A:A,F872,9)</f>
        <v>#NUM!</v>
      </c>
      <c r="H872" t="e">
        <f t="array" ref="H872">INDEX('Raw Data'!A:A,F872,10)</f>
        <v>#NUM!</v>
      </c>
      <c r="I872" t="e">
        <f t="array" ref="I872">INDEX('Raw Data'!$A:A,$F872,11)</f>
        <v>#NUM!</v>
      </c>
      <c r="J872" t="e">
        <f t="array" ref="J872">INDEX('Raw Data'!$A:A,F872,12)</f>
        <v>#NUM!</v>
      </c>
      <c r="K872" t="e">
        <f>(--INDEX('Raw Data'!$A$4:B$993,F872,4))</f>
        <v>#NUM!</v>
      </c>
      <c r="L872" t="e">
        <f t="array" ref="L872">(--INDEX('Raw Data'!$A$4:B$993,F872,5))</f>
        <v>#NUM!</v>
      </c>
      <c r="M872" t="e">
        <f t="array" ref="M872">(--INDEX('Raw Data'!$A$4:D$993,$F872,6))</f>
        <v>#NUM!</v>
      </c>
      <c r="N872" t="e">
        <f t="array" ref="N872">(--INDEX('Raw Data'!$A$4:D$993,$F872,7))</f>
        <v>#NUM!</v>
      </c>
      <c r="O872" t="e">
        <f t="array" ref="O872">IF(--INDEX('Raw Data'!$A$4:E$993,$F872,8)= 0, 1, 0)</f>
        <v>#NUM!</v>
      </c>
      <c r="P872" t="e">
        <f t="array" ref="P872">IF(--INDEX('Raw Data'!$A$4:F$993,$F872,8)= 1, 1, 0)</f>
        <v>#NUM!</v>
      </c>
      <c r="Q872" t="e">
        <f t="array" ref="Q872">IF(--INDEX('Raw Data'!$A$4:G$993,$F872,13)= 1, 1, 0)</f>
        <v>#NUM!</v>
      </c>
      <c r="R872" t="e">
        <f t="array" ref="R872">IF(--INDEX('Raw Data'!$A$4:H$993,$F872,14)= 1, 1, 0)</f>
        <v>#NUM!</v>
      </c>
      <c r="S872" t="e">
        <f t="array" ref="S872">IF(--INDEX('Raw Data'!$A$4:I$993,$F872,15)= 1, 1, 0)</f>
        <v>#NUM!</v>
      </c>
      <c r="T872" t="e">
        <f t="array" ref="T872">IF(--INDEX('Raw Data'!$A$4:I$993,$F872,15)= 1, 1, 0)</f>
        <v>#NUM!</v>
      </c>
      <c r="U872" t="e">
        <f t="array" ref="U872">IF(--INDEX('Raw Data'!$A$4:J$993,$F872,16)= 1, 1, 0)</f>
        <v>#NUM!</v>
      </c>
      <c r="V872" t="e">
        <f t="array" ref="V872">IF(--INDEX('Raw Data'!$A$4:K$993,$F872,17)= 1, 1, 0)</f>
        <v>#NUM!</v>
      </c>
      <c r="W872" t="e">
        <f t="array" ref="W872">INDEX('Raw Data'!$A:$O,$F872,19)</f>
        <v>#NUM!</v>
      </c>
      <c r="X872" t="e">
        <f t="array" ref="X872">INDEX('Raw Data'!$A:$O,$F872,20)</f>
        <v>#NUM!</v>
      </c>
      <c r="Y872" t="e">
        <f t="array" ref="Y872">INDEX('Raw Data'!$A:$O,F872,21)</f>
        <v>#NUM!</v>
      </c>
      <c r="Z872" t="e">
        <f t="array" ref="Z872">INDEX('Raw Data'!$A:$O,$F872,3)</f>
        <v>#NUM!</v>
      </c>
      <c r="AA872" t="e">
        <f t="array" ref="AA872">INDEX('Raw Data'!$A:$O,$F872,22)</f>
        <v>#NUM!</v>
      </c>
      <c r="AB872" t="e">
        <f t="array" ref="AB872">INDEX('Raw Data'!$A:$O,$F872,23)</f>
        <v>#NUM!</v>
      </c>
    </row>
    <row r="873" spans="1:44" x14ac:dyDescent="0.25">
      <c r="A873" t="s">
        <v>0</v>
      </c>
      <c r="B873">
        <f>G887</f>
        <v>0</v>
      </c>
      <c r="F873" t="e">
        <f t="array" ref="F873">SMALL(IF('Raw Data'!A:A=C871,ROW('Raw Data'!A:A)),ROW('Raw Data'!$2:$2))</f>
        <v>#NUM!</v>
      </c>
      <c r="G873" t="e">
        <f t="array" ref="G873">INDEX('Raw Data'!A:A,F873,9)</f>
        <v>#NUM!</v>
      </c>
      <c r="H873" t="e">
        <f t="array" ref="H873">INDEX('Raw Data'!A:A,F873,10)</f>
        <v>#NUM!</v>
      </c>
      <c r="I873" t="e">
        <f t="array" ref="I873">INDEX('Raw Data'!$A:A,$F873,11)</f>
        <v>#NUM!</v>
      </c>
      <c r="J873" t="e">
        <f t="array" ref="J873">INDEX('Raw Data'!$A:A,F873,12)</f>
        <v>#NUM!</v>
      </c>
      <c r="K873" t="e">
        <f>(--INDEX('Raw Data'!$A$4:B$993,F873,4))</f>
        <v>#NUM!</v>
      </c>
      <c r="L873" t="e">
        <f t="array" ref="L873">(--INDEX('Raw Data'!$A$4:B$993,F873,5))</f>
        <v>#NUM!</v>
      </c>
      <c r="M873" t="e">
        <f t="array" ref="M873">(--INDEX('Raw Data'!$A$4:D$993,$F873,6))</f>
        <v>#NUM!</v>
      </c>
      <c r="N873" t="e">
        <f t="array" ref="N873">(--INDEX('Raw Data'!$A$4:D$993,$F873,7))</f>
        <v>#NUM!</v>
      </c>
      <c r="O873" t="e">
        <f t="array" ref="O873">IF(--INDEX('Raw Data'!$A$4:E$993,$F873,8)= 0, 1, 0)</f>
        <v>#NUM!</v>
      </c>
      <c r="P873" t="e">
        <f t="array" ref="P873">IF(--INDEX('Raw Data'!$A$4:F$993,$F873,8)= 1, 1, 0)</f>
        <v>#NUM!</v>
      </c>
      <c r="Q873" t="e">
        <f t="array" ref="Q873">IF(--INDEX('Raw Data'!$A$4:G$993,$F873,13)= 1, 1, 0)</f>
        <v>#NUM!</v>
      </c>
      <c r="R873" t="e">
        <f t="array" ref="R873">IF(--INDEX('Raw Data'!$A$4:H$993,$F873,14)= 1, 1, 0)</f>
        <v>#NUM!</v>
      </c>
      <c r="S873" t="e">
        <f t="array" ref="S873">IF(--INDEX('Raw Data'!$A$4:I$993,$F873,15)= 1, 1, 0)</f>
        <v>#NUM!</v>
      </c>
      <c r="T873" t="e">
        <f t="array" ref="T873">IF(--INDEX('Raw Data'!$A$4:I$993,$F873,15)= 1, 1, 0)</f>
        <v>#NUM!</v>
      </c>
      <c r="U873" t="e">
        <f t="array" ref="U873">IF(--INDEX('Raw Data'!$A$4:J$993,$F873,16)= 1, 1, 0)</f>
        <v>#NUM!</v>
      </c>
      <c r="V873" t="e">
        <f t="array" ref="V873">IF(--INDEX('Raw Data'!$A$4:K$993,$F873,17)= 1, 1, 0)</f>
        <v>#NUM!</v>
      </c>
      <c r="W873" t="e">
        <f t="array" ref="W873">INDEX('Raw Data'!$A:$O,$F873,19)</f>
        <v>#NUM!</v>
      </c>
      <c r="X873" t="e">
        <f t="array" ref="X873">INDEX('Raw Data'!$A:$O,$F873,20)</f>
        <v>#NUM!</v>
      </c>
      <c r="Y873" t="e">
        <f t="array" ref="Y873">INDEX('Raw Data'!$A:$O,F873,21)</f>
        <v>#NUM!</v>
      </c>
      <c r="Z873" t="e">
        <f t="array" ref="Z873">INDEX('Raw Data'!$A:$O,$F873,3)</f>
        <v>#NUM!</v>
      </c>
      <c r="AA873" t="e">
        <f t="array" ref="AA873">INDEX('Raw Data'!$A:$O,$F873,22)</f>
        <v>#NUM!</v>
      </c>
      <c r="AB873" t="e">
        <f t="array" ref="AB873">INDEX('Raw Data'!$A:$O,$F873,23)</f>
        <v>#NUM!</v>
      </c>
    </row>
    <row r="874" spans="1:44" x14ac:dyDescent="0.25">
      <c r="A874" t="s">
        <v>1</v>
      </c>
      <c r="B874">
        <f>H887</f>
        <v>0</v>
      </c>
      <c r="F874" t="e">
        <f t="array" ref="F874">SMALL(IF('Raw Data'!A:A=C871,ROW('Raw Data'!A:A)),ROW('Raw Data'!$3:$3))</f>
        <v>#NUM!</v>
      </c>
      <c r="G874" t="e">
        <f t="array" ref="G874">INDEX('Raw Data'!A:A,F874,9)</f>
        <v>#NUM!</v>
      </c>
      <c r="H874" t="e">
        <f t="array" ref="H874">INDEX('Raw Data'!A:A,F874,10)</f>
        <v>#NUM!</v>
      </c>
      <c r="I874" t="e">
        <f t="array" ref="I874">INDEX('Raw Data'!$A:A,$F874,11)</f>
        <v>#NUM!</v>
      </c>
      <c r="J874" t="e">
        <f t="array" ref="J874">INDEX('Raw Data'!$A:A,F874,12)</f>
        <v>#NUM!</v>
      </c>
      <c r="K874" t="e">
        <f>(--INDEX('Raw Data'!$A$4:B$993,F874,4))</f>
        <v>#NUM!</v>
      </c>
      <c r="L874" t="e">
        <f t="array" ref="L874">(--INDEX('Raw Data'!$A$4:B$993,F874,5))</f>
        <v>#NUM!</v>
      </c>
      <c r="M874" t="e">
        <f t="array" ref="M874">(--INDEX('Raw Data'!$A$4:D$993,$F874,6))</f>
        <v>#NUM!</v>
      </c>
      <c r="N874" t="e">
        <f t="array" ref="N874">(--INDEX('Raw Data'!$A$4:D$993,$F874,7))</f>
        <v>#NUM!</v>
      </c>
      <c r="O874" t="e">
        <f t="array" ref="O874">IF(--INDEX('Raw Data'!$A$4:E$993,$F874,8)= 0, 1, 0)</f>
        <v>#NUM!</v>
      </c>
      <c r="P874" t="e">
        <f t="array" ref="P874">IF(--INDEX('Raw Data'!$A$4:F$993,$F874,8)= 1, 1, 0)</f>
        <v>#NUM!</v>
      </c>
      <c r="Q874" t="e">
        <f t="array" ref="Q874">IF(--INDEX('Raw Data'!$A$4:G$993,$F874,13)= 1, 1, 0)</f>
        <v>#NUM!</v>
      </c>
      <c r="R874" t="e">
        <f t="array" ref="R874">IF(--INDEX('Raw Data'!$A$4:H$993,$F874,14)= 1, 1, 0)</f>
        <v>#NUM!</v>
      </c>
      <c r="S874" t="e">
        <f t="array" ref="S874">IF(--INDEX('Raw Data'!$A$4:I$993,$F874,15)= 1, 1, 0)</f>
        <v>#NUM!</v>
      </c>
      <c r="T874" t="e">
        <f t="array" ref="T874">IF(--INDEX('Raw Data'!$A$4:I$993,$F874,15)= 1, 1, 0)</f>
        <v>#NUM!</v>
      </c>
      <c r="U874" t="e">
        <f t="array" ref="U874">IF(--INDEX('Raw Data'!$A$4:J$993,$F874,16)= 1, 1, 0)</f>
        <v>#NUM!</v>
      </c>
      <c r="V874" t="e">
        <f t="array" ref="V874">IF(--INDEX('Raw Data'!$A$4:K$993,$F874,17)= 1, 1, 0)</f>
        <v>#NUM!</v>
      </c>
      <c r="W874" t="e">
        <f t="array" ref="W874">INDEX('Raw Data'!$A:$O,$F874,19)</f>
        <v>#NUM!</v>
      </c>
      <c r="X874" t="e">
        <f t="array" ref="X874">INDEX('Raw Data'!$A:$O,$F874,20)</f>
        <v>#NUM!</v>
      </c>
      <c r="Y874" t="e">
        <f t="array" ref="Y874">INDEX('Raw Data'!$A:$O,F874,21)</f>
        <v>#NUM!</v>
      </c>
      <c r="Z874" t="e">
        <f t="array" ref="Z874">INDEX('Raw Data'!$A:$O,$F874,3)</f>
        <v>#NUM!</v>
      </c>
      <c r="AA874" t="e">
        <f t="array" ref="AA874">INDEX('Raw Data'!$A:$O,$F874,22)</f>
        <v>#NUM!</v>
      </c>
      <c r="AB874" t="e">
        <f t="array" ref="AB874">INDEX('Raw Data'!$A:$O,$F874,23)</f>
        <v>#NUM!</v>
      </c>
    </row>
    <row r="875" spans="1:44" x14ac:dyDescent="0.25">
      <c r="A875" t="s">
        <v>2</v>
      </c>
      <c r="C875" s="3" t="e">
        <f>B874/B873</f>
        <v>#DIV/0!</v>
      </c>
      <c r="F875" t="e">
        <f t="array" ref="F875">SMALL(IF('Raw Data'!A:A=C871,ROW('Raw Data'!A:A)),ROW('Raw Data'!$4:$4))</f>
        <v>#NUM!</v>
      </c>
      <c r="G875" t="e">
        <f t="array" ref="G875">INDEX('Raw Data'!A:A,F875,9)</f>
        <v>#NUM!</v>
      </c>
      <c r="H875" t="e">
        <f t="array" ref="H875">INDEX('Raw Data'!A:A,F875,10)</f>
        <v>#NUM!</v>
      </c>
      <c r="I875" t="e">
        <f t="array" ref="I875">INDEX('Raw Data'!$A:A,$F875,11)</f>
        <v>#NUM!</v>
      </c>
      <c r="J875" t="e">
        <f t="array" ref="J875">INDEX('Raw Data'!$A:A,F875,12)</f>
        <v>#NUM!</v>
      </c>
      <c r="K875" t="e">
        <f>(--INDEX('Raw Data'!$A$4:B$993,F875,4))</f>
        <v>#NUM!</v>
      </c>
      <c r="L875" t="e">
        <f t="array" ref="L875">(--INDEX('Raw Data'!$A$4:B$993,F875,5))</f>
        <v>#NUM!</v>
      </c>
      <c r="M875" t="e">
        <f t="array" ref="M875">(--INDEX('Raw Data'!$A$4:D$993,$F875,6))</f>
        <v>#NUM!</v>
      </c>
      <c r="N875" t="e">
        <f t="array" ref="N875">(--INDEX('Raw Data'!$A$4:D$993,$F875,7))</f>
        <v>#NUM!</v>
      </c>
      <c r="O875" t="e">
        <f t="array" ref="O875">IF(--INDEX('Raw Data'!$A$4:E$993,$F875,8)= 0, 1, 0)</f>
        <v>#NUM!</v>
      </c>
      <c r="P875" t="e">
        <f t="array" ref="P875">IF(--INDEX('Raw Data'!$A$4:F$993,$F875,8)= 1, 1, 0)</f>
        <v>#NUM!</v>
      </c>
      <c r="Q875" t="e">
        <f t="array" ref="Q875">IF(--INDEX('Raw Data'!$A$4:G$993,$F875,13)= 1, 1, 0)</f>
        <v>#NUM!</v>
      </c>
      <c r="R875" t="e">
        <f t="array" ref="R875">IF(--INDEX('Raw Data'!$A$4:H$993,$F875,14)= 1, 1, 0)</f>
        <v>#NUM!</v>
      </c>
      <c r="S875" t="e">
        <f t="array" ref="S875">IF(--INDEX('Raw Data'!$A$4:I$993,$F875,15)= 1, 1, 0)</f>
        <v>#NUM!</v>
      </c>
      <c r="T875" t="e">
        <f t="array" ref="T875">IF(--INDEX('Raw Data'!$A$4:I$993,$F875,15)= 1, 1, 0)</f>
        <v>#NUM!</v>
      </c>
      <c r="U875" t="e">
        <f t="array" ref="U875">IF(--INDEX('Raw Data'!$A$4:J$993,$F875,16)= 1, 1, 0)</f>
        <v>#NUM!</v>
      </c>
      <c r="V875" t="e">
        <f t="array" ref="V875">IF(--INDEX('Raw Data'!$A$4:K$993,$F875,17)= 1, 1, 0)</f>
        <v>#NUM!</v>
      </c>
      <c r="W875" t="e">
        <f t="array" ref="W875">INDEX('Raw Data'!$A:$O,$F875,19)</f>
        <v>#NUM!</v>
      </c>
      <c r="X875" t="e">
        <f t="array" ref="X875">INDEX('Raw Data'!$A:$O,$F875,20)</f>
        <v>#NUM!</v>
      </c>
      <c r="Y875" t="e">
        <f t="array" ref="Y875">INDEX('Raw Data'!$A:$O,F875,21)</f>
        <v>#NUM!</v>
      </c>
      <c r="Z875" t="e">
        <f t="array" ref="Z875">INDEX('Raw Data'!$A:$O,$F875,3)</f>
        <v>#NUM!</v>
      </c>
      <c r="AA875" t="e">
        <f t="array" ref="AA875">INDEX('Raw Data'!$A:$O,$F875,22)</f>
        <v>#NUM!</v>
      </c>
      <c r="AB875" t="e">
        <f t="array" ref="AB875">INDEX('Raw Data'!$A:$O,$F875,23)</f>
        <v>#NUM!</v>
      </c>
    </row>
    <row r="876" spans="1:44" x14ac:dyDescent="0.25">
      <c r="A876" t="s">
        <v>54</v>
      </c>
      <c r="B876">
        <f>I887</f>
        <v>0</v>
      </c>
      <c r="F876" t="e">
        <f t="array" ref="F876">SMALL(IF('Raw Data'!A:A=C871,ROW('Raw Data'!A:A)),ROW('Raw Data'!$5:$5))</f>
        <v>#NUM!</v>
      </c>
      <c r="G876" t="e">
        <f t="array" ref="G876">INDEX('Raw Data'!A:A,F876,9)</f>
        <v>#NUM!</v>
      </c>
      <c r="H876" t="e">
        <f t="array" ref="H876">INDEX('Raw Data'!A:A,F876,10)</f>
        <v>#NUM!</v>
      </c>
      <c r="I876" t="e">
        <f t="array" ref="I876">INDEX('Raw Data'!$A:A,$F876,11)</f>
        <v>#NUM!</v>
      </c>
      <c r="J876" t="e">
        <f t="array" ref="J876">INDEX('Raw Data'!$A:A,F876,12)</f>
        <v>#NUM!</v>
      </c>
      <c r="K876" t="e">
        <f>(--INDEX('Raw Data'!$A$4:B$993,F876,4))</f>
        <v>#NUM!</v>
      </c>
      <c r="L876" t="e">
        <f t="array" ref="L876">(--INDEX('Raw Data'!$A$4:B$993,F876,5))</f>
        <v>#NUM!</v>
      </c>
      <c r="M876" t="e">
        <f t="array" ref="M876">(--INDEX('Raw Data'!$A$4:D$993,$F876,6))</f>
        <v>#NUM!</v>
      </c>
      <c r="N876" t="e">
        <f t="array" ref="N876">(--INDEX('Raw Data'!$A$4:D$993,$F876,7))</f>
        <v>#NUM!</v>
      </c>
      <c r="O876" t="e">
        <f t="array" ref="O876">IF(--INDEX('Raw Data'!$A$4:E$993,$F876,8)= 0, 1, 0)</f>
        <v>#NUM!</v>
      </c>
      <c r="P876" t="e">
        <f t="array" ref="P876">IF(--INDEX('Raw Data'!$A$4:F$993,$F876,8)= 1, 1, 0)</f>
        <v>#NUM!</v>
      </c>
      <c r="Q876" t="e">
        <f t="array" ref="Q876">IF(--INDEX('Raw Data'!$A$4:G$993,$F876,13)= 1, 1, 0)</f>
        <v>#NUM!</v>
      </c>
      <c r="R876" t="e">
        <f t="array" ref="R876">IF(--INDEX('Raw Data'!$A$4:H$993,$F876,14)= 1, 1, 0)</f>
        <v>#NUM!</v>
      </c>
      <c r="S876" t="e">
        <f t="array" ref="S876">IF(--INDEX('Raw Data'!$A$4:I$993,$F876,15)= 1, 1, 0)</f>
        <v>#NUM!</v>
      </c>
      <c r="T876" t="e">
        <f t="array" ref="T876">IF(--INDEX('Raw Data'!$A$4:I$993,$F876,15)= 1, 1, 0)</f>
        <v>#NUM!</v>
      </c>
      <c r="U876" t="e">
        <f t="array" ref="U876">IF(--INDEX('Raw Data'!$A$4:J$993,$F876,16)= 1, 1, 0)</f>
        <v>#NUM!</v>
      </c>
      <c r="V876" t="e">
        <f t="array" ref="V876">IF(--INDEX('Raw Data'!$A$4:K$993,$F876,17)= 1, 1, 0)</f>
        <v>#NUM!</v>
      </c>
      <c r="W876" t="e">
        <f t="array" ref="W876">INDEX('Raw Data'!$A:$O,$F876,19)</f>
        <v>#NUM!</v>
      </c>
      <c r="X876" t="e">
        <f t="array" ref="X876">INDEX('Raw Data'!$A:$O,$F876,20)</f>
        <v>#NUM!</v>
      </c>
      <c r="Y876" t="e">
        <f t="array" ref="Y876">INDEX('Raw Data'!$A:$O,F876,21)</f>
        <v>#NUM!</v>
      </c>
      <c r="Z876" t="e">
        <f t="array" ref="Z876">INDEX('Raw Data'!$A:$O,$F876,3)</f>
        <v>#NUM!</v>
      </c>
      <c r="AA876" t="e">
        <f t="array" ref="AA876">INDEX('Raw Data'!$A:$O,$F876,22)</f>
        <v>#NUM!</v>
      </c>
      <c r="AB876" t="e">
        <f t="array" ref="AB876">INDEX('Raw Data'!$A:$O,$F876,23)</f>
        <v>#NUM!</v>
      </c>
      <c r="AR876" s="25"/>
    </row>
    <row r="877" spans="1:44" x14ac:dyDescent="0.25">
      <c r="A877" t="s">
        <v>35</v>
      </c>
      <c r="B877">
        <f>J887</f>
        <v>0</v>
      </c>
      <c r="F877" t="e">
        <f t="array" ref="F877">SMALL(IF('Raw Data'!A:A=C871,ROW('Raw Data'!A:A)),ROW('Raw Data'!$6:$6))</f>
        <v>#NUM!</v>
      </c>
      <c r="G877" t="e">
        <f t="array" ref="G877">INDEX('Raw Data'!A:A,F877,9)</f>
        <v>#NUM!</v>
      </c>
      <c r="H877" t="e">
        <f t="array" ref="H877">INDEX('Raw Data'!A:A,F877,10)</f>
        <v>#NUM!</v>
      </c>
      <c r="I877" t="e">
        <f t="array" ref="I877">INDEX('Raw Data'!$A:A,$F877,11)</f>
        <v>#NUM!</v>
      </c>
      <c r="J877" t="e">
        <f t="array" ref="J877">INDEX('Raw Data'!$A:A,F877,12)</f>
        <v>#NUM!</v>
      </c>
      <c r="K877" t="e">
        <f>(--INDEX('Raw Data'!$A$4:B$993,F877,4))</f>
        <v>#NUM!</v>
      </c>
      <c r="L877" t="e">
        <f t="array" ref="L877">(--INDEX('Raw Data'!$A$4:B$998,F877,5))</f>
        <v>#NUM!</v>
      </c>
      <c r="M877" t="e">
        <f t="array" ref="M877">(--INDEX('Raw Data'!$A$4:D$998,$F877,6))</f>
        <v>#NUM!</v>
      </c>
      <c r="N877" t="e">
        <f t="array" ref="N877">(--INDEX('Raw Data'!$A$4:D$993,$F877,7))</f>
        <v>#NUM!</v>
      </c>
      <c r="O877" t="e">
        <f t="array" ref="O877">IF(--INDEX('Raw Data'!$A$4:E$993,$F877,8)= 0, 1, 0)</f>
        <v>#NUM!</v>
      </c>
      <c r="P877" t="e">
        <f t="array" ref="P877">IF(--INDEX('Raw Data'!$A$4:F$998,$F877,8)= 1, 1, 0)</f>
        <v>#NUM!</v>
      </c>
      <c r="Q877" t="e">
        <f t="array" ref="Q877">IF(--INDEX('Raw Data'!$A$4:G$998,$F877,13)= 1, 1, 0)</f>
        <v>#NUM!</v>
      </c>
      <c r="R877" t="e">
        <f t="array" ref="R877">IF(--INDEX('Raw Data'!$A$4:H$998,$F877,14)= 1, 1, 0)</f>
        <v>#NUM!</v>
      </c>
      <c r="S877" t="e">
        <f t="array" ref="S877">IF(--INDEX('Raw Data'!$A$4:I$993,$F877,15)= 1, 1, 0)</f>
        <v>#NUM!</v>
      </c>
      <c r="T877" t="e">
        <f t="array" ref="T877">IF(--INDEX('Raw Data'!$A$4:I$998,$F877,15)= 1, 1, 0)</f>
        <v>#NUM!</v>
      </c>
      <c r="U877" t="e">
        <f t="array" ref="U877">IF(--INDEX('Raw Data'!$A$4:J$998,$F877,16)= 1, 1, 0)</f>
        <v>#NUM!</v>
      </c>
      <c r="V877" t="e">
        <f t="array" ref="V877">IF(--INDEX('Raw Data'!$A$4:K$993,$F877,17)= 1, 1, 0)</f>
        <v>#NUM!</v>
      </c>
      <c r="W877" t="e">
        <f t="array" ref="W877">INDEX('Raw Data'!$A:$O,$F877,19)</f>
        <v>#NUM!</v>
      </c>
      <c r="X877" t="e">
        <f t="array" ref="X877">INDEX('Raw Data'!$A:$O,$F877,20)</f>
        <v>#NUM!</v>
      </c>
      <c r="Y877" t="e">
        <f t="array" ref="Y877">INDEX('Raw Data'!$A:$O,F877,21)</f>
        <v>#NUM!</v>
      </c>
      <c r="Z877" t="e">
        <f t="array" ref="Z877">INDEX('Raw Data'!$A:$O,$F877,3)</f>
        <v>#NUM!</v>
      </c>
      <c r="AA877" t="e">
        <f t="array" ref="AA877">INDEX('Raw Data'!$A:$O,$F877,22)</f>
        <v>#NUM!</v>
      </c>
      <c r="AB877" t="e">
        <f t="array" ref="AB877">INDEX('Raw Data'!$A:$O,$F877,23)</f>
        <v>#NUM!</v>
      </c>
      <c r="AR877" s="25"/>
    </row>
    <row r="878" spans="1:44" ht="28.5" x14ac:dyDescent="0.45">
      <c r="F878" t="e">
        <f t="array" ref="F878">SMALL(IF('Raw Data'!A:A=C871,ROW('Raw Data'!A:A)),ROW('Raw Data'!$7:$7))</f>
        <v>#NUM!</v>
      </c>
      <c r="G878" t="e">
        <f t="array" ref="G878">INDEX('Raw Data'!A:A,F878,9)</f>
        <v>#NUM!</v>
      </c>
      <c r="H878" t="e">
        <f t="array" ref="H878">INDEX('Raw Data'!A:A,F878,10)</f>
        <v>#NUM!</v>
      </c>
      <c r="I878" t="e">
        <f t="array" ref="I878">INDEX('Raw Data'!$A:A,$F878,11)</f>
        <v>#NUM!</v>
      </c>
      <c r="J878" t="e">
        <f t="array" ref="J878">INDEX('Raw Data'!$A:A,F878,12)</f>
        <v>#NUM!</v>
      </c>
      <c r="K878" t="e">
        <f t="array" ref="K878">(--INDEX('Raw Data'!$A$4:B$998,F878,4))</f>
        <v>#NUM!</v>
      </c>
      <c r="L878" t="e">
        <f t="array" ref="L878">(--INDEX('Raw Data'!$A$4:B$998,F878,5))</f>
        <v>#NUM!</v>
      </c>
      <c r="M878" t="e">
        <f t="array" ref="M878">(--INDEX('Raw Data'!$A$4:D$998,$F878,6))</f>
        <v>#NUM!</v>
      </c>
      <c r="N878" t="e">
        <f t="array" ref="N878">(--INDEX('Raw Data'!$A$4:D$998,$F878,7))</f>
        <v>#NUM!</v>
      </c>
      <c r="O878" t="e">
        <f t="array" ref="O878">IF(--INDEX('Raw Data'!$A$4:E$998,$F878,8)= 0, 1, 0)</f>
        <v>#NUM!</v>
      </c>
      <c r="P878" t="e">
        <f t="array" ref="P878">IF(--INDEX('Raw Data'!$A$4:F$998,$F878,8)= 1, 1, 0)</f>
        <v>#NUM!</v>
      </c>
      <c r="Q878" t="e">
        <f t="array" ref="Q878">IF(--INDEX('Raw Data'!$A$4:G$998,$F878,13)= 1, 1, 0)</f>
        <v>#NUM!</v>
      </c>
      <c r="R878" t="e">
        <f t="array" ref="R878">IF(--INDEX('Raw Data'!$A$4:H$998,$F878,14)= 1, 1, 0)</f>
        <v>#NUM!</v>
      </c>
      <c r="S878" t="e">
        <f t="array" ref="S878">IF(--INDEX('Raw Data'!$A$4:I$998,$F878,15)= 1, 1, 0)</f>
        <v>#NUM!</v>
      </c>
      <c r="T878" t="e">
        <f t="array" ref="T878">IF(--INDEX('Raw Data'!$A$4:I$998,$F878,15)= 1, 1, 0)</f>
        <v>#NUM!</v>
      </c>
      <c r="U878" t="e">
        <f t="array" ref="U878">IF(--INDEX('Raw Data'!$A$4:J$998,$F878,16)= 1, 1, 0)</f>
        <v>#NUM!</v>
      </c>
      <c r="V878" t="e">
        <f t="array" ref="V878">IF(--INDEX('Raw Data'!$A$4:K$998,$F878,17)= 1, 1, 0)</f>
        <v>#NUM!</v>
      </c>
      <c r="W878" t="e">
        <f t="array" ref="W878">INDEX('Raw Data'!$A:$O,$F878,19)</f>
        <v>#NUM!</v>
      </c>
      <c r="X878" t="e">
        <f t="array" ref="X878">INDEX('Raw Data'!$A:$O,$F878,20)</f>
        <v>#NUM!</v>
      </c>
      <c r="Y878" t="e">
        <f t="array" ref="Y878">INDEX('Raw Data'!$A:$O,F878,21)</f>
        <v>#NUM!</v>
      </c>
      <c r="Z878" t="e">
        <f t="array" ref="Z878">INDEX('Raw Data'!$A:$O,$F878,3)</f>
        <v>#NUM!</v>
      </c>
      <c r="AA878" t="e">
        <f t="array" ref="AA878">INDEX('Raw Data'!$A:$O,$F878,22)</f>
        <v>#NUM!</v>
      </c>
      <c r="AB878" t="e">
        <f t="array" ref="AB878">INDEX('Raw Data'!$A:$O,$F878,23)</f>
        <v>#NUM!</v>
      </c>
      <c r="AM878" s="21"/>
      <c r="AR878" s="25"/>
    </row>
    <row r="879" spans="1:44" x14ac:dyDescent="0.25">
      <c r="F879" t="e">
        <f t="array" ref="F879">SMALL(IF('Raw Data'!A:A=C871,ROW('Raw Data'!A:A)),ROW('Raw Data'!$8:$8))</f>
        <v>#NUM!</v>
      </c>
      <c r="G879" t="e">
        <f t="array" ref="G879">INDEX('Raw Data'!A:A,F879,9)</f>
        <v>#NUM!</v>
      </c>
      <c r="H879" t="e">
        <f t="array" ref="H879">INDEX('Raw Data'!A:A,F879,10)</f>
        <v>#NUM!</v>
      </c>
      <c r="I879" t="e">
        <f t="array" ref="I879">INDEX('Raw Data'!$A:A,$F879,11)</f>
        <v>#NUM!</v>
      </c>
      <c r="J879" t="e">
        <f t="array" ref="J879">INDEX('Raw Data'!$A:A,F879,12)</f>
        <v>#NUM!</v>
      </c>
      <c r="K879" t="e">
        <f t="array" ref="K879">(--INDEX('Raw Data'!$A$4:B$998,F879,4))</f>
        <v>#NUM!</v>
      </c>
      <c r="L879" t="e">
        <f t="array" ref="L879">(--INDEX('Raw Data'!$A$4:B$998,F879,5))</f>
        <v>#NUM!</v>
      </c>
      <c r="M879" t="e">
        <f t="array" ref="M879">(--INDEX('Raw Data'!$A$4:D$998,$F879,6))</f>
        <v>#NUM!</v>
      </c>
      <c r="N879" t="e">
        <f t="array" ref="N879">(--INDEX('Raw Data'!$A$4:D$998,$F879,7))</f>
        <v>#NUM!</v>
      </c>
      <c r="O879" t="e">
        <f t="array" ref="O879">IF(--INDEX('Raw Data'!$A$4:E$998,$F879,8)= 0, 1, 0)</f>
        <v>#NUM!</v>
      </c>
      <c r="P879" t="e">
        <f t="array" ref="P879">IF(--INDEX('Raw Data'!$A$4:F$998,$F879,8)= 1, 1, 0)</f>
        <v>#NUM!</v>
      </c>
      <c r="Q879" t="e">
        <f t="array" ref="Q879">IF(--INDEX('Raw Data'!$A$4:G$998,$F879,13)= 1, 1, 0)</f>
        <v>#NUM!</v>
      </c>
      <c r="R879" t="e">
        <f t="array" ref="R879">IF(--INDEX('Raw Data'!$A$4:H$998,$F879,14)= 1, 1, 0)</f>
        <v>#NUM!</v>
      </c>
      <c r="S879" t="e">
        <f t="array" ref="S879">IF(--INDEX('Raw Data'!$A$4:I$998,$F879,15)= 1, 1, 0)</f>
        <v>#NUM!</v>
      </c>
      <c r="T879" t="e">
        <f t="array" ref="T879">IF(--INDEX('Raw Data'!$A$4:I$998,$F879,15)= 1, 1, 0)</f>
        <v>#NUM!</v>
      </c>
      <c r="U879" t="e">
        <f t="array" ref="U879">IF(--INDEX('Raw Data'!$A$4:J$998,$F879,16)= 1, 1, 0)</f>
        <v>#NUM!</v>
      </c>
      <c r="V879" t="e">
        <f t="array" ref="V879">IF(--INDEX('Raw Data'!$A$4:K$998,$F879,17)= 1, 1, 0)</f>
        <v>#NUM!</v>
      </c>
      <c r="W879" t="e">
        <f t="array" ref="W879">INDEX('Raw Data'!$A:$O,$F879,19)</f>
        <v>#NUM!</v>
      </c>
      <c r="X879" t="e">
        <f t="array" ref="X879">INDEX('Raw Data'!$A:$O,$F879,20)</f>
        <v>#NUM!</v>
      </c>
      <c r="Y879" t="e">
        <f t="array" ref="Y879">INDEX('Raw Data'!$A:$O,F879,21)</f>
        <v>#NUM!</v>
      </c>
      <c r="Z879" t="e">
        <f t="array" ref="Z879">INDEX('Raw Data'!$A:$O,$F879,3)</f>
        <v>#NUM!</v>
      </c>
      <c r="AA879" t="e">
        <f t="array" ref="AA879">INDEX('Raw Data'!$A:$O,$F879,22)</f>
        <v>#NUM!</v>
      </c>
      <c r="AB879" t="e">
        <f t="array" ref="AB879">INDEX('Raw Data'!$A:$O,$F879,23)</f>
        <v>#NUM!</v>
      </c>
      <c r="AR879" s="25"/>
    </row>
    <row r="880" spans="1:44" x14ac:dyDescent="0.25">
      <c r="F880" t="e">
        <f t="array" ref="F880">SMALL(IF('Raw Data'!A:A=C871,ROW('Raw Data'!A:A)),ROW('Raw Data'!$9:$9))</f>
        <v>#NUM!</v>
      </c>
      <c r="G880" t="e">
        <f t="array" ref="G880">INDEX('Raw Data'!A:A,F880,9)</f>
        <v>#NUM!</v>
      </c>
      <c r="H880" t="e">
        <f t="array" ref="H880">INDEX('Raw Data'!A:A,F880,10)</f>
        <v>#NUM!</v>
      </c>
      <c r="I880" t="e">
        <f t="array" ref="I880">INDEX('Raw Data'!$A:A,$F880,11)</f>
        <v>#NUM!</v>
      </c>
      <c r="J880" t="e">
        <f t="array" ref="J880">INDEX('Raw Data'!$A:A,F880,12)</f>
        <v>#NUM!</v>
      </c>
      <c r="K880" t="e">
        <f t="array" ref="K880">(--INDEX('Raw Data'!$A$4:B$998,F880,4))</f>
        <v>#NUM!</v>
      </c>
      <c r="L880" t="e">
        <f t="array" ref="L880">(--INDEX('Raw Data'!$A$4:B$998,F880,5))</f>
        <v>#NUM!</v>
      </c>
      <c r="M880" t="e">
        <f t="array" ref="M880">(--INDEX('Raw Data'!$A$4:D$998,$F880,6))</f>
        <v>#NUM!</v>
      </c>
      <c r="N880" t="e">
        <f t="array" ref="N880">(--INDEX('Raw Data'!$A$4:D$998,$F880,7))</f>
        <v>#NUM!</v>
      </c>
      <c r="O880" t="e">
        <f t="array" ref="O880">IF(--INDEX('Raw Data'!$A$4:E$998,$F880,8)= 0, 1, 0)</f>
        <v>#NUM!</v>
      </c>
      <c r="P880" t="e">
        <f t="array" ref="P880">IF(--INDEX('Raw Data'!$A$4:F$998,$F880,8)= 1, 1, 0)</f>
        <v>#NUM!</v>
      </c>
      <c r="Q880" t="e">
        <f t="array" ref="Q880">IF(--INDEX('Raw Data'!$A$4:G$998,$F880,13)= 1, 1, 0)</f>
        <v>#NUM!</v>
      </c>
      <c r="R880" t="e">
        <f t="array" ref="R880">IF(--INDEX('Raw Data'!$A$4:H$998,$F880,14)= 1, 1, 0)</f>
        <v>#NUM!</v>
      </c>
      <c r="S880" t="e">
        <f t="array" ref="S880">IF(--INDEX('Raw Data'!$A$4:I$998,$F880,15)= 1, 1, 0)</f>
        <v>#NUM!</v>
      </c>
      <c r="T880" t="e">
        <f t="array" ref="T880">IF(--INDEX('Raw Data'!$A$4:I$998,$F880,15)= 1, 1, 0)</f>
        <v>#NUM!</v>
      </c>
      <c r="U880" t="e">
        <f t="array" ref="U880">IF(--INDEX('Raw Data'!$A$4:J$998,$F880,16)= 1, 1, 0)</f>
        <v>#NUM!</v>
      </c>
      <c r="V880" t="e">
        <f t="array" ref="V880">IF(--INDEX('Raw Data'!$A$4:K$998,$F880,17)= 1, 1, 0)</f>
        <v>#NUM!</v>
      </c>
      <c r="W880" t="e">
        <f t="array" ref="W880">INDEX('Raw Data'!$A:$O,$F880,19)</f>
        <v>#NUM!</v>
      </c>
      <c r="X880" t="e">
        <f t="array" ref="X880">INDEX('Raw Data'!$A:$O,$F880,20)</f>
        <v>#NUM!</v>
      </c>
      <c r="Y880" t="e">
        <f t="array" ref="Y880">INDEX('Raw Data'!$A:$O,F880,21)</f>
        <v>#NUM!</v>
      </c>
      <c r="Z880" t="e">
        <f t="array" ref="Z880">INDEX('Raw Data'!$A:$O,$F880,3)</f>
        <v>#NUM!</v>
      </c>
      <c r="AA880" t="e">
        <f t="array" ref="AA880">INDEX('Raw Data'!$A:$O,$F880,22)</f>
        <v>#NUM!</v>
      </c>
      <c r="AB880" t="e">
        <f t="array" ref="AB880">INDEX('Raw Data'!$A:$O,$F880,23)</f>
        <v>#NUM!</v>
      </c>
      <c r="AR880" s="25"/>
    </row>
    <row r="881" spans="1:44" x14ac:dyDescent="0.25">
      <c r="F881" t="e">
        <f t="array" ref="F881">SMALL(IF('Raw Data'!A:A=C871,ROW('Raw Data'!A:A)),ROW('Raw Data'!$10:$10))</f>
        <v>#NUM!</v>
      </c>
      <c r="G881" t="e">
        <f t="array" ref="G881">INDEX('Raw Data'!A:A,F881,9)</f>
        <v>#NUM!</v>
      </c>
      <c r="H881" t="e">
        <f t="array" ref="H881">INDEX('Raw Data'!A:A,F881,10)</f>
        <v>#NUM!</v>
      </c>
      <c r="I881" t="e">
        <f t="array" ref="I881">INDEX('Raw Data'!$A:A,$F881,11)</f>
        <v>#NUM!</v>
      </c>
      <c r="J881" t="e">
        <f t="array" ref="J881">INDEX('Raw Data'!$A:A,F881,12)</f>
        <v>#NUM!</v>
      </c>
      <c r="K881" t="e">
        <f t="array" ref="K881">(--INDEX('Raw Data'!$A$4:B$998,F881,4))</f>
        <v>#NUM!</v>
      </c>
      <c r="L881" t="e">
        <f t="array" ref="L881">(--INDEX('Raw Data'!$A$4:B$998,F881,5))</f>
        <v>#NUM!</v>
      </c>
      <c r="M881" t="e">
        <f t="array" ref="M881">(--INDEX('Raw Data'!$A$4:D$998,$F881,6))</f>
        <v>#NUM!</v>
      </c>
      <c r="N881" t="e">
        <f t="array" ref="N881">(--INDEX('Raw Data'!$A$4:D$998,$F881,7))</f>
        <v>#NUM!</v>
      </c>
      <c r="O881" t="e">
        <f t="array" ref="O881">IF(--INDEX('Raw Data'!$A$4:E$998,$F881,8)= 0, 1, 0)</f>
        <v>#NUM!</v>
      </c>
      <c r="P881" t="e">
        <f t="array" ref="P881">IF(--INDEX('Raw Data'!$A$4:F$998,$F881,8)= 1, 1, 0)</f>
        <v>#NUM!</v>
      </c>
      <c r="Q881" t="e">
        <f t="array" ref="Q881">IF(--INDEX('Raw Data'!$A$4:G$998,$F881,13)= 1, 1, 0)</f>
        <v>#NUM!</v>
      </c>
      <c r="R881" t="e">
        <f t="array" ref="R881">IF(--INDEX('Raw Data'!$A$4:H$998,$F881,14)= 1, 1, 0)</f>
        <v>#NUM!</v>
      </c>
      <c r="S881" t="e">
        <f t="array" ref="S881">IF(--INDEX('Raw Data'!$A$4:I$998,$F881,15)= 1, 1, 0)</f>
        <v>#NUM!</v>
      </c>
      <c r="T881" t="e">
        <f t="array" ref="T881">IF(--INDEX('Raw Data'!$A$4:I$998,$F881,15)= 1, 1, 0)</f>
        <v>#NUM!</v>
      </c>
      <c r="U881" t="e">
        <f t="array" ref="U881">IF(--INDEX('Raw Data'!$A$4:J$998,$F881,16)= 1, 1, 0)</f>
        <v>#NUM!</v>
      </c>
      <c r="V881" t="e">
        <f t="array" ref="V881">IF(--INDEX('Raw Data'!$A$4:K$998,$F881,17)= 1, 1, 0)</f>
        <v>#NUM!</v>
      </c>
      <c r="W881" t="e">
        <f t="array" ref="W881">INDEX('Raw Data'!$A:$O,$F881,19)</f>
        <v>#NUM!</v>
      </c>
      <c r="X881" t="e">
        <f t="array" ref="X881">INDEX('Raw Data'!$A:$O,$F881,20)</f>
        <v>#NUM!</v>
      </c>
      <c r="Y881" t="e">
        <f t="array" ref="Y881">INDEX('Raw Data'!$A:$O,F881,21)</f>
        <v>#NUM!</v>
      </c>
      <c r="Z881" t="e">
        <f t="array" ref="Z881">INDEX('Raw Data'!$A:$O,$F881,3)</f>
        <v>#NUM!</v>
      </c>
      <c r="AA881" t="e">
        <f t="array" ref="AA881">INDEX('Raw Data'!$A:$O,$F881,22)</f>
        <v>#NUM!</v>
      </c>
      <c r="AB881" t="e">
        <f t="array" ref="AB881">INDEX('Raw Data'!$A:$O,$F881,23)</f>
        <v>#NUM!</v>
      </c>
      <c r="AR881" s="25"/>
    </row>
    <row r="882" spans="1:44" x14ac:dyDescent="0.25">
      <c r="F882" t="e">
        <f t="array" ref="F882">SMALL(IF('Raw Data'!A:A=C871,ROW('Raw Data'!A:A)),ROW('Raw Data'!$11:$11))</f>
        <v>#NUM!</v>
      </c>
      <c r="G882" t="e">
        <f t="array" ref="G882">INDEX('Raw Data'!A:A,F882,9)</f>
        <v>#NUM!</v>
      </c>
      <c r="H882" t="e">
        <f t="array" ref="H882">INDEX('Raw Data'!A:A,F882,10)</f>
        <v>#NUM!</v>
      </c>
      <c r="I882" t="e">
        <f t="array" ref="I882">INDEX('Raw Data'!$A:A,$F882,11)</f>
        <v>#NUM!</v>
      </c>
      <c r="J882" t="e">
        <f t="array" ref="J882">INDEX('Raw Data'!$A:A,F882,12)</f>
        <v>#NUM!</v>
      </c>
      <c r="K882" t="e">
        <f t="array" ref="K882">(--INDEX('Raw Data'!$A$4:B$998,F882,4))</f>
        <v>#NUM!</v>
      </c>
      <c r="L882" t="e">
        <f t="array" ref="L882">(--INDEX('Raw Data'!$A$4:B$998,F882,5))</f>
        <v>#NUM!</v>
      </c>
      <c r="M882" t="e">
        <f t="array" ref="M882">(--INDEX('Raw Data'!$A$4:D$998,$F882,6))</f>
        <v>#NUM!</v>
      </c>
      <c r="N882" t="e">
        <f t="array" ref="N882">(--INDEX('Raw Data'!$A$4:D$998,$F882,7))</f>
        <v>#NUM!</v>
      </c>
      <c r="O882" t="e">
        <f t="array" ref="O882">IF(--INDEX('Raw Data'!$A$4:E$998,$F882,8)= 0, 1, 0)</f>
        <v>#NUM!</v>
      </c>
      <c r="P882" t="e">
        <f t="array" ref="P882">IF(--INDEX('Raw Data'!$A$4:F$998,$F882,8)= 1, 1, 0)</f>
        <v>#NUM!</v>
      </c>
      <c r="Q882" t="e">
        <f t="array" ref="Q882">IF(--INDEX('Raw Data'!$A$4:G$998,$F882,13)= 1, 1, 0)</f>
        <v>#NUM!</v>
      </c>
      <c r="R882" t="e">
        <f t="array" ref="R882">IF(--INDEX('Raw Data'!$A$4:H$998,$F882,14)= 1, 1, 0)</f>
        <v>#NUM!</v>
      </c>
      <c r="S882" t="e">
        <f t="array" ref="S882">IF(--INDEX('Raw Data'!$A$4:I$998,$F882,15)= 1, 1, 0)</f>
        <v>#NUM!</v>
      </c>
      <c r="T882" t="e">
        <f t="array" ref="T882">IF(--INDEX('Raw Data'!$A$4:I$998,$F882,15)= 1, 1, 0)</f>
        <v>#NUM!</v>
      </c>
      <c r="U882" t="e">
        <f t="array" ref="U882">IF(--INDEX('Raw Data'!$A$4:J$998,$F882,16)= 1, 1, 0)</f>
        <v>#NUM!</v>
      </c>
      <c r="V882" t="e">
        <f t="array" ref="V882">IF(--INDEX('Raw Data'!$A$4:K$998,$F882,17)= 1, 1, 0)</f>
        <v>#NUM!</v>
      </c>
      <c r="W882" t="e">
        <f t="array" ref="W882">INDEX('Raw Data'!$A:$O,$F882,19)</f>
        <v>#NUM!</v>
      </c>
      <c r="X882" t="e">
        <f t="array" ref="X882">INDEX('Raw Data'!$A:$O,$F882,20)</f>
        <v>#NUM!</v>
      </c>
      <c r="Y882" t="e">
        <f t="array" ref="Y882">INDEX('Raw Data'!$A:$O,F882,21)</f>
        <v>#NUM!</v>
      </c>
      <c r="Z882" t="e">
        <f t="array" ref="Z882">INDEX('Raw Data'!$A:$O,$F882,3)</f>
        <v>#NUM!</v>
      </c>
      <c r="AA882" t="e">
        <f t="array" ref="AA882">INDEX('Raw Data'!$A:$O,$F882,22)</f>
        <v>#NUM!</v>
      </c>
      <c r="AB882" t="e">
        <f t="array" ref="AB882">INDEX('Raw Data'!$A:$O,$F882,23)</f>
        <v>#NUM!</v>
      </c>
      <c r="AR882" s="25"/>
    </row>
    <row r="883" spans="1:44" x14ac:dyDescent="0.25">
      <c r="F883" t="e">
        <f t="array" ref="F883">SMALL(IF('Raw Data'!A:A=C871,ROW('Raw Data'!A:A)),ROW('Raw Data'!$12:$12))</f>
        <v>#NUM!</v>
      </c>
      <c r="G883" t="e">
        <f t="array" ref="G883">INDEX('Raw Data'!A:A,F883,9)</f>
        <v>#NUM!</v>
      </c>
      <c r="H883" t="e">
        <f t="array" ref="H883">INDEX('Raw Data'!A:A,F883,10)</f>
        <v>#NUM!</v>
      </c>
      <c r="I883" t="e">
        <f t="array" ref="I883">INDEX('Raw Data'!$A:A,$F883,11)</f>
        <v>#NUM!</v>
      </c>
      <c r="J883" t="e">
        <f t="array" ref="J883">INDEX('Raw Data'!$A:A,F883,12)</f>
        <v>#NUM!</v>
      </c>
      <c r="K883" t="e">
        <f t="array" ref="K883">(--INDEX('Raw Data'!$A$4:B$998,F883,4))</f>
        <v>#NUM!</v>
      </c>
      <c r="L883" t="e">
        <f t="array" ref="L883">(--INDEX('Raw Data'!$A$4:B$998,F883,5))</f>
        <v>#NUM!</v>
      </c>
      <c r="M883" t="e">
        <f t="array" ref="M883">(--INDEX('Raw Data'!$A$4:D$998,$F883,6))</f>
        <v>#NUM!</v>
      </c>
      <c r="N883" t="e">
        <f t="array" ref="N883">(--INDEX('Raw Data'!$A$4:D$998,$F883,7))</f>
        <v>#NUM!</v>
      </c>
      <c r="O883" t="e">
        <f t="array" ref="O883">IF(--INDEX('Raw Data'!$A$4:E$998,$F883,8)= 0, 1, 0)</f>
        <v>#NUM!</v>
      </c>
      <c r="P883" t="e">
        <f t="array" ref="P883">IF(--INDEX('Raw Data'!$A$4:F$998,$F883,8)= 1, 1, 0)</f>
        <v>#NUM!</v>
      </c>
      <c r="Q883" t="e">
        <f t="array" ref="Q883">IF(--INDEX('Raw Data'!$A$4:G$998,$F883,13)= 1, 1, 0)</f>
        <v>#NUM!</v>
      </c>
      <c r="R883" t="e">
        <f t="array" ref="R883">IF(--INDEX('Raw Data'!$A$4:H$998,$F883,14)= 1, 1, 0)</f>
        <v>#NUM!</v>
      </c>
      <c r="S883" t="e">
        <f t="array" ref="S883">IF(--INDEX('Raw Data'!$A$4:I$998,$F883,15)= 1, 1, 0)</f>
        <v>#NUM!</v>
      </c>
      <c r="T883" t="e">
        <f t="array" ref="T883">IF(--INDEX('Raw Data'!$A$4:I$998,$F883,15)= 1, 1, 0)</f>
        <v>#NUM!</v>
      </c>
      <c r="U883" t="e">
        <f t="array" ref="U883">IF(--INDEX('Raw Data'!$A$4:J$998,$F883,16)= 1, 1, 0)</f>
        <v>#NUM!</v>
      </c>
      <c r="V883" t="e">
        <f t="array" ref="V883">IF(--INDEX('Raw Data'!$A$4:K$998,$F883,17)= 1, 1, 0)</f>
        <v>#NUM!</v>
      </c>
      <c r="W883" t="e">
        <f t="array" ref="W883">INDEX('Raw Data'!$A:$O,$F883,19)</f>
        <v>#NUM!</v>
      </c>
      <c r="X883" t="e">
        <f t="array" ref="X883">INDEX('Raw Data'!$A:$O,$F883,20)</f>
        <v>#NUM!</v>
      </c>
      <c r="Y883" t="e">
        <f t="array" ref="Y883">INDEX('Raw Data'!$A:$O,F883,21)</f>
        <v>#NUM!</v>
      </c>
      <c r="Z883" t="e">
        <f t="array" ref="Z883">INDEX('Raw Data'!$A:$O,$F883,3)</f>
        <v>#NUM!</v>
      </c>
      <c r="AA883" t="e">
        <f t="array" ref="AA883">INDEX('Raw Data'!$A:$O,$F883,22)</f>
        <v>#NUM!</v>
      </c>
      <c r="AB883" t="e">
        <f t="array" ref="AB883">INDEX('Raw Data'!$A:$O,$F883,23)</f>
        <v>#NUM!</v>
      </c>
      <c r="AR883" s="25"/>
    </row>
    <row r="884" spans="1:44" x14ac:dyDescent="0.25">
      <c r="F884" t="e">
        <f t="array" ref="F884">SMALL(IF('Raw Data'!A:A=C871,ROW('Raw Data'!A:A)),ROW('Raw Data'!$13:$13))</f>
        <v>#NUM!</v>
      </c>
      <c r="G884" t="e">
        <f t="array" ref="G884">INDEX('Raw Data'!A:A,F884,9)</f>
        <v>#NUM!</v>
      </c>
      <c r="H884" t="e">
        <f t="array" ref="H884">INDEX('Raw Data'!A:A,F884,10)</f>
        <v>#NUM!</v>
      </c>
      <c r="I884" t="e">
        <f t="array" ref="I884">INDEX('Raw Data'!$A:A,$F884,11)</f>
        <v>#NUM!</v>
      </c>
      <c r="J884" t="e">
        <f t="array" ref="J884">INDEX('Raw Data'!$A:A,F884,12)</f>
        <v>#NUM!</v>
      </c>
      <c r="K884" t="e">
        <f t="array" ref="K884">(--INDEX('Raw Data'!$A$4:B$998,F884,4))</f>
        <v>#NUM!</v>
      </c>
      <c r="L884" t="e">
        <f t="array" ref="L884">(--INDEX('Raw Data'!$A$4:B$998,F884,5))</f>
        <v>#NUM!</v>
      </c>
      <c r="M884" t="e">
        <f t="array" ref="M884">(--INDEX('Raw Data'!$A$4:D$998,$F884,6))</f>
        <v>#NUM!</v>
      </c>
      <c r="N884" t="e">
        <f t="array" ref="N884">(--INDEX('Raw Data'!$A$4:D$998,$F884,7))</f>
        <v>#NUM!</v>
      </c>
      <c r="O884" t="e">
        <f t="array" ref="O884">IF(--INDEX('Raw Data'!$A$4:E$998,$F884,8)= 0, 1, 0)</f>
        <v>#NUM!</v>
      </c>
      <c r="P884" t="e">
        <f t="array" ref="P884">IF(--INDEX('Raw Data'!$A$4:F$998,$F884,8)= 1, 1, 0)</f>
        <v>#NUM!</v>
      </c>
      <c r="Q884" t="e">
        <f t="array" ref="Q884">IF(--INDEX('Raw Data'!$A$4:G$998,$F884,13)= 1, 1, 0)</f>
        <v>#NUM!</v>
      </c>
      <c r="R884" t="e">
        <f t="array" ref="R884">IF(--INDEX('Raw Data'!$A$4:H$998,$F884,14)= 1, 1, 0)</f>
        <v>#NUM!</v>
      </c>
      <c r="S884" t="e">
        <f t="array" ref="S884">IF(--INDEX('Raw Data'!$A$4:I$998,$F884,15)= 1, 1, 0)</f>
        <v>#NUM!</v>
      </c>
      <c r="T884" t="e">
        <f t="array" ref="T884">IF(--INDEX('Raw Data'!$A$4:I$998,$F884,15)= 1, 1, 0)</f>
        <v>#NUM!</v>
      </c>
      <c r="U884" t="e">
        <f t="array" ref="U884">IF(--INDEX('Raw Data'!$A$4:J$998,$F884,16)= 1, 1, 0)</f>
        <v>#NUM!</v>
      </c>
      <c r="V884" t="e">
        <f t="array" ref="V884">IF(--INDEX('Raw Data'!$A$4:K$998,$F884,17)= 1, 1, 0)</f>
        <v>#NUM!</v>
      </c>
      <c r="W884" t="e">
        <f t="array" ref="W884">INDEX('Raw Data'!$A:$O,$F884,19)</f>
        <v>#NUM!</v>
      </c>
      <c r="X884" t="e">
        <f t="array" ref="X884">INDEX('Raw Data'!$A:$O,$F884,20)</f>
        <v>#NUM!</v>
      </c>
      <c r="Y884" t="e">
        <f t="array" ref="Y884">INDEX('Raw Data'!$A:$O,F884,21)</f>
        <v>#NUM!</v>
      </c>
      <c r="Z884" t="e">
        <f t="array" ref="Z884">INDEX('Raw Data'!$A:$O,$F884,3)</f>
        <v>#NUM!</v>
      </c>
      <c r="AA884" t="e">
        <f t="array" ref="AA884">INDEX('Raw Data'!$A:$O,$F884,22)</f>
        <v>#NUM!</v>
      </c>
      <c r="AB884" t="e">
        <f t="array" ref="AB884">INDEX('Raw Data'!$A:$O,$F884,23)</f>
        <v>#NUM!</v>
      </c>
      <c r="AR884" s="25"/>
    </row>
    <row r="885" spans="1:44" x14ac:dyDescent="0.25">
      <c r="F885" t="e">
        <f t="array" ref="F885">SMALL(IF('Raw Data'!A:A=C871,ROW('Raw Data'!A:A)),ROW('Raw Data'!$14:$14))</f>
        <v>#NUM!</v>
      </c>
      <c r="G885" t="e">
        <f t="array" ref="G885">INDEX('Raw Data'!A:A,F885,9)</f>
        <v>#NUM!</v>
      </c>
      <c r="H885" t="e">
        <f t="array" ref="H885">INDEX('Raw Data'!A:A,F885,10)</f>
        <v>#NUM!</v>
      </c>
      <c r="I885" t="e">
        <f t="array" ref="I885">INDEX('Raw Data'!$A:A,$F885,11)</f>
        <v>#NUM!</v>
      </c>
      <c r="J885" t="e">
        <f t="array" ref="J885">INDEX('Raw Data'!$A:A,F885,12)</f>
        <v>#NUM!</v>
      </c>
      <c r="K885" t="e">
        <f t="array" ref="K885">(--INDEX('Raw Data'!$A$4:B$998,F885,4))</f>
        <v>#NUM!</v>
      </c>
      <c r="L885" t="e">
        <f t="array" ref="L885">(--INDEX('Raw Data'!$A$4:B$998,F885,5))</f>
        <v>#NUM!</v>
      </c>
      <c r="M885" t="e">
        <f t="array" ref="M885">(--INDEX('Raw Data'!$A$4:D$998,$F885,6))</f>
        <v>#NUM!</v>
      </c>
      <c r="N885" t="e">
        <f t="array" ref="N885">(--INDEX('Raw Data'!$A$4:D$998,$F885,7))</f>
        <v>#NUM!</v>
      </c>
      <c r="O885" t="e">
        <f t="array" ref="O885">IF(--INDEX('Raw Data'!$A$4:E$998,$F885,8)= 0, 1, 0)</f>
        <v>#NUM!</v>
      </c>
      <c r="P885" t="e">
        <f t="array" ref="P885">IF(--INDEX('Raw Data'!$A$4:F$998,$F885,8)= 1, 1, 0)</f>
        <v>#NUM!</v>
      </c>
      <c r="Q885" t="e">
        <f t="array" ref="Q885">IF(--INDEX('Raw Data'!$A$4:G$998,$F885,13)= 1, 1, 0)</f>
        <v>#NUM!</v>
      </c>
      <c r="R885" t="e">
        <f t="array" ref="R885">IF(--INDEX('Raw Data'!$A$4:H$998,$F885,14)= 1, 1, 0)</f>
        <v>#NUM!</v>
      </c>
      <c r="S885" t="e">
        <f t="array" ref="S885">IF(--INDEX('Raw Data'!$A$4:I$998,$F885,15)= 1, 1, 0)</f>
        <v>#NUM!</v>
      </c>
      <c r="T885" t="e">
        <f t="array" ref="T885">IF(--INDEX('Raw Data'!$A$4:I$998,$F885,15)= 1, 1, 0)</f>
        <v>#NUM!</v>
      </c>
      <c r="U885" t="e">
        <f t="array" ref="U885">IF(--INDEX('Raw Data'!$A$4:J$998,$F885,16)= 1, 1, 0)</f>
        <v>#NUM!</v>
      </c>
      <c r="V885" t="e">
        <f t="array" ref="V885">IF(--INDEX('Raw Data'!$A$4:K$998,$F885,17)= 1, 1, 0)</f>
        <v>#NUM!</v>
      </c>
      <c r="W885" t="e">
        <f t="array" ref="W885">INDEX('Raw Data'!$A:$O,$F885,19)</f>
        <v>#NUM!</v>
      </c>
      <c r="X885" t="e">
        <f t="array" ref="X885">INDEX('Raw Data'!$A:$O,$F885,20)</f>
        <v>#NUM!</v>
      </c>
      <c r="Y885" t="e">
        <f t="array" ref="Y885">INDEX('Raw Data'!$A:$O,F885,21)</f>
        <v>#NUM!</v>
      </c>
      <c r="Z885" t="e">
        <f t="array" ref="Z885">INDEX('Raw Data'!$A:$O,$F885,3)</f>
        <v>#NUM!</v>
      </c>
      <c r="AA885" t="e">
        <f t="array" ref="AA885">INDEX('Raw Data'!$A:$O,$F885,22)</f>
        <v>#NUM!</v>
      </c>
      <c r="AB885" t="e">
        <f t="array" ref="AB885">INDEX('Raw Data'!$A:$O,$F885,23)</f>
        <v>#NUM!</v>
      </c>
      <c r="AR885" s="25"/>
    </row>
    <row r="886" spans="1:44" x14ac:dyDescent="0.25">
      <c r="F886" t="e">
        <f t="array" ref="F886">SMALL(IF('Raw Data'!A:A=C871,ROW('Raw Data'!A:A)),ROW('Raw Data'!$15:$15))</f>
        <v>#NUM!</v>
      </c>
      <c r="G886" t="e">
        <f t="array" ref="G886">INDEX('Raw Data'!A:A,F886,9)</f>
        <v>#NUM!</v>
      </c>
      <c r="H886" t="e">
        <f t="array" ref="H886">INDEX('Raw Data'!A:A,F886,10)</f>
        <v>#NUM!</v>
      </c>
      <c r="I886" t="e">
        <f t="array" ref="I886">INDEX('Raw Data'!$A:A,$F886,11)</f>
        <v>#NUM!</v>
      </c>
      <c r="J886" t="e">
        <f t="array" ref="J886">INDEX('Raw Data'!$A:A,F886,12)</f>
        <v>#NUM!</v>
      </c>
      <c r="K886" t="e">
        <f t="array" ref="K886">(--INDEX('Raw Data'!$A$4:B$998,F886,4))</f>
        <v>#NUM!</v>
      </c>
      <c r="L886" t="e">
        <f t="array" ref="L886">(--INDEX('Raw Data'!$A$4:B$998,F886,5))</f>
        <v>#NUM!</v>
      </c>
      <c r="M886" t="e">
        <f t="array" ref="M886">(--INDEX('Raw Data'!$A$4:D$998,$F886,6))</f>
        <v>#NUM!</v>
      </c>
      <c r="N886" t="e">
        <f t="array" ref="N886">(--INDEX('Raw Data'!$A$4:D$998,$F886,7))</f>
        <v>#NUM!</v>
      </c>
      <c r="O886" t="e">
        <f t="array" ref="O886">IF(--INDEX('Raw Data'!$A$4:E$998,$F886,8)= 0, 1, 0)</f>
        <v>#NUM!</v>
      </c>
      <c r="P886" t="e">
        <f t="array" ref="P886">IF(--INDEX('Raw Data'!$A$4:F$998,$F886,8)= 1, 1, 0)</f>
        <v>#NUM!</v>
      </c>
      <c r="Q886" t="e">
        <f t="array" ref="Q886">IF(--INDEX('Raw Data'!$A$4:G$998,$F886,13)= 1, 1, 0)</f>
        <v>#NUM!</v>
      </c>
      <c r="R886" t="e">
        <f t="array" ref="R886">IF(--INDEX('Raw Data'!$A$4:H$998,$F886,14)= 1, 1, 0)</f>
        <v>#NUM!</v>
      </c>
      <c r="S886" t="e">
        <f t="array" ref="S886">IF(--INDEX('Raw Data'!$A$4:I$998,$F886,15)= 1, 1, 0)</f>
        <v>#NUM!</v>
      </c>
      <c r="T886" t="e">
        <f t="array" ref="T886">IF(--INDEX('Raw Data'!$A$4:I$998,$F886,15)= 1, 1, 0)</f>
        <v>#NUM!</v>
      </c>
      <c r="U886" t="e">
        <f t="array" ref="U886">IF(--INDEX('Raw Data'!$A$4:J$998,$F886,16)= 1, 1, 0)</f>
        <v>#NUM!</v>
      </c>
      <c r="V886" t="e">
        <f t="array" ref="V886">IF(--INDEX('Raw Data'!$A$4:K$998,$F886,17)= 1, 1, 0)</f>
        <v>#NUM!</v>
      </c>
      <c r="W886" t="e">
        <f t="array" ref="W886">INDEX('Raw Data'!$A:$O,$F886,19)</f>
        <v>#NUM!</v>
      </c>
      <c r="X886" t="e">
        <f t="array" ref="X886">INDEX('Raw Data'!$A:$O,$F886,20)</f>
        <v>#NUM!</v>
      </c>
      <c r="Y886" t="e">
        <f t="array" ref="Y886">INDEX('Raw Data'!$A:$O,F886,21)</f>
        <v>#NUM!</v>
      </c>
      <c r="Z886" t="e">
        <f t="array" ref="Z886">INDEX('Raw Data'!$A:$O,$F886,3)</f>
        <v>#NUM!</v>
      </c>
      <c r="AA886" t="e">
        <f t="array" ref="AA886">INDEX('Raw Data'!$A:$O,$F886,22)</f>
        <v>#NUM!</v>
      </c>
      <c r="AB886" t="e">
        <f t="array" ref="AB886">INDEX('Raw Data'!$A:$O,$F886,23)</f>
        <v>#NUM!</v>
      </c>
      <c r="AR886" s="25"/>
    </row>
    <row r="887" spans="1:44" x14ac:dyDescent="0.25">
      <c r="A887" t="s">
        <v>55</v>
      </c>
      <c r="C887" s="2" t="e">
        <f>B877/B876</f>
        <v>#DIV/0!</v>
      </c>
      <c r="F887">
        <f t="array" ref="F887">COUNTIF(F872:F886,"&gt;0")</f>
        <v>0</v>
      </c>
      <c r="G887">
        <f t="array" ref="G887">SUMIF(G872:G886,"&gt;0")</f>
        <v>0</v>
      </c>
      <c r="H887">
        <f t="array" ref="H887">SUMIF(H872:H886,"&gt;0")</f>
        <v>0</v>
      </c>
      <c r="I887">
        <f t="array" ref="I887">SUMIF(I872:I886,"&gt;0")</f>
        <v>0</v>
      </c>
      <c r="J887">
        <f t="array" ref="J887">SUMIF(J872:J886,"&gt;0")</f>
        <v>0</v>
      </c>
      <c r="K887">
        <f t="array" ref="K887">SUMIF(K872:K886,"&gt;0")</f>
        <v>0</v>
      </c>
      <c r="L887">
        <f t="array" ref="L887">SUMIF(L872:L886,"&gt;0")</f>
        <v>0</v>
      </c>
      <c r="M887">
        <f t="array" ref="M887">SUMIF(M872:M886,"&gt;0")</f>
        <v>0</v>
      </c>
      <c r="N887">
        <f t="array" ref="N887">SUMIF(N872:N886,"&gt;0")</f>
        <v>0</v>
      </c>
      <c r="O887">
        <f t="array" ref="O887">SUMIF(O872:O886,"&gt;0")</f>
        <v>0</v>
      </c>
      <c r="P887">
        <f t="array" ref="P887">SUMIF(P872:P886,"&gt;0")</f>
        <v>0</v>
      </c>
      <c r="Q887">
        <f t="array" ref="Q887">SUMIF(Q872:Q886,"&gt;0")</f>
        <v>0</v>
      </c>
      <c r="R887">
        <f t="array" ref="R887">SUMIF(R872:R886,"&gt;0")</f>
        <v>0</v>
      </c>
      <c r="S887">
        <f t="array" ref="S887">SUMIF(S872:S886,"&gt;0")</f>
        <v>0</v>
      </c>
      <c r="T887">
        <f t="array" ref="T887">SUMIF(T872:T886,"&gt;0")</f>
        <v>0</v>
      </c>
      <c r="U887">
        <f t="array" ref="U887">SUMIF(U872:U886,"&gt;0")</f>
        <v>0</v>
      </c>
      <c r="V887">
        <f t="array" ref="V887">SUMIF(V872:V886,"&gt;0")</f>
        <v>0</v>
      </c>
      <c r="W887">
        <f t="array" ref="W887">SUMIF(W872:W886,"&gt;0")</f>
        <v>0</v>
      </c>
      <c r="X887">
        <f t="array" ref="X887">SUMIF(X872:X886,"&gt;0")</f>
        <v>0</v>
      </c>
      <c r="Y887">
        <f t="array" ref="Y887">SUMIF(Y872:Y886,"&gt;0")</f>
        <v>0</v>
      </c>
      <c r="Z887">
        <f t="array" ref="Z887">SUMIF(Z872:Z886,"&gt;0")</f>
        <v>0</v>
      </c>
      <c r="AA887">
        <f t="array" ref="AA887">SUMIF(AA872:AA886,"&gt;0")</f>
        <v>0</v>
      </c>
      <c r="AB887">
        <f t="array" ref="AB887">SUMIF(AB872:AB886,"&gt;0")</f>
        <v>0</v>
      </c>
      <c r="AR887" s="25"/>
    </row>
    <row r="888" spans="1:44" x14ac:dyDescent="0.25">
      <c r="A888" t="s">
        <v>58</v>
      </c>
      <c r="C888" s="2">
        <f t="array" ref="C888">IF((K887+L887)&lt;&gt;0, (L887/(K887+L887)),0)</f>
        <v>0</v>
      </c>
      <c r="J888" s="6">
        <f t="array" ref="J888">J887*10</f>
        <v>0</v>
      </c>
      <c r="K888" s="6"/>
      <c r="P888" t="s">
        <v>95</v>
      </c>
      <c r="Q888" s="2" t="e">
        <f t="array" ref="Q888">Q887/$F887</f>
        <v>#DIV/0!</v>
      </c>
      <c r="R888" s="2" t="e">
        <f t="array" ref="R888">R887/$F887</f>
        <v>#DIV/0!</v>
      </c>
      <c r="S888" s="2" t="e">
        <f t="array" ref="S888">S887/$F887</f>
        <v>#DIV/0!</v>
      </c>
      <c r="T888" s="2" t="e">
        <f t="array" ref="T888">T887/$F887</f>
        <v>#DIV/0!</v>
      </c>
      <c r="U888" s="2" t="e">
        <f t="array" ref="U888">U887/$F887</f>
        <v>#DIV/0!</v>
      </c>
      <c r="V888" s="2" t="e">
        <f t="array" ref="V888">V887/$F887</f>
        <v>#DIV/0!</v>
      </c>
      <c r="W888" s="2" t="e">
        <f t="array" ref="W888">W887/$F887</f>
        <v>#DIV/0!</v>
      </c>
      <c r="X888" s="2" t="e">
        <f t="array" ref="X888">X887/$F887</f>
        <v>#DIV/0!</v>
      </c>
      <c r="Z888" s="2" t="e">
        <f t="array" ref="Z888">Z887/F887</f>
        <v>#DIV/0!</v>
      </c>
      <c r="AR888" s="25"/>
    </row>
    <row r="889" spans="1:44" x14ac:dyDescent="0.25">
      <c r="A889" t="s">
        <v>60</v>
      </c>
      <c r="C889" s="2">
        <f t="array" ref="C889">IF((M887+N887)&lt;&gt;0, (N887/(M887+N887)),0)</f>
        <v>0</v>
      </c>
      <c r="J889" s="6"/>
      <c r="K889" s="6"/>
      <c r="AR889" s="25"/>
    </row>
    <row r="890" spans="1:44" ht="28.5" x14ac:dyDescent="0.45">
      <c r="A890" t="s">
        <v>61</v>
      </c>
      <c r="C890" s="2">
        <f t="array" ref="C890">IF(((K887+N887+L887+M887)&lt;&gt;0), ((L887+N887)/(K887+N887+L887+M887)),0)</f>
        <v>0</v>
      </c>
      <c r="F890" s="17" t="s">
        <v>106</v>
      </c>
      <c r="G890" s="17" t="e">
        <f t="array" ref="G890">'Weighting &amp; Ranking Sheet'!$B$3*Math!$C888+'Weighting &amp; Ranking Sheet'!$B$4*Math!$C889+'Weighting &amp; Ranking Sheet'!$B$5*Math!$C890+'Weighting &amp; Ranking Sheet'!$B$6*Math!$C891+'Weighting &amp; Ranking Sheet'!$B$7*Math!$C875+'Weighting &amp; Ranking Sheet'!$B$8*Math!$C887+'Weighting &amp; Ranking Sheet'!$B$9*Math!$C894+'Weighting &amp; Ranking Sheet'!$B$10*Math!$C892+'Weighting &amp; Ranking Sheet'!$B$11*Math!$C893+'Weighting &amp; Ranking Sheet'!$B$12*Math!$C895*0.01+'Weighting &amp; Ranking Sheet'!$B$13*Math!$Q888+'Weighting &amp; Ranking Sheet'!$B$14*Math!$R888+'Weighting &amp; Ranking Sheet'!$B$15*Math!$S888+'Weighting &amp; Ranking Sheet'!$B$16*Math!$T888+'Weighting &amp; Ranking Sheet'!$B$17*Math!$U888+'Weighting &amp; Ranking Sheet'!$B$18*Math!$V888+'Weighting &amp; Ranking Sheet'!$B$2*Math!$Z888</f>
        <v>#DIV/0!</v>
      </c>
      <c r="J890"/>
      <c r="K890" s="6"/>
      <c r="AR890" s="25"/>
    </row>
    <row r="891" spans="1:44" x14ac:dyDescent="0.25">
      <c r="A891" t="s">
        <v>62</v>
      </c>
      <c r="C891" s="2">
        <f t="array" ref="C891">IF((O887+P887&lt;&gt;0),(P887/(O887+P887)), 0)</f>
        <v>0</v>
      </c>
      <c r="J891"/>
      <c r="K891" s="6"/>
      <c r="AR891" s="25"/>
    </row>
    <row r="892" spans="1:44" x14ac:dyDescent="0.25">
      <c r="A892" t="s">
        <v>77</v>
      </c>
      <c r="C892" s="8" t="e">
        <f t="array" ref="C892">W887/F887</f>
        <v>#DIV/0!</v>
      </c>
      <c r="J892"/>
      <c r="K892" s="6"/>
      <c r="AR892" s="23"/>
    </row>
    <row r="893" spans="1:44" x14ac:dyDescent="0.25">
      <c r="A893" t="s">
        <v>78</v>
      </c>
      <c r="C893" s="8" t="e">
        <f t="array" ref="C893">X887/F887</f>
        <v>#DIV/0!</v>
      </c>
      <c r="J893"/>
      <c r="K893" s="6"/>
    </row>
    <row r="894" spans="1:44" x14ac:dyDescent="0.25">
      <c r="A894" t="s">
        <v>91</v>
      </c>
      <c r="C894" s="2" t="e">
        <f t="array" ref="C894">(C875+C887)/2</f>
        <v>#DIV/0!</v>
      </c>
      <c r="J894"/>
      <c r="K894" s="6"/>
    </row>
    <row r="895" spans="1:44" x14ac:dyDescent="0.25">
      <c r="A895" t="s">
        <v>92</v>
      </c>
      <c r="C895" s="8" t="e">
        <f t="array" ref="C895">Y887/F887</f>
        <v>#DIV/0!</v>
      </c>
      <c r="J895"/>
      <c r="K895" s="6"/>
    </row>
    <row r="896" spans="1:44" x14ac:dyDescent="0.25">
      <c r="C896" s="8"/>
      <c r="J896"/>
      <c r="K896" s="6"/>
    </row>
    <row r="897" spans="1:44" x14ac:dyDescent="0.25">
      <c r="C897" s="8"/>
      <c r="J897" s="6"/>
      <c r="K897" s="6"/>
    </row>
    <row r="898" spans="1:44" x14ac:dyDescent="0.25">
      <c r="J898" s="6"/>
      <c r="K898" s="6"/>
    </row>
    <row r="899" spans="1:44" x14ac:dyDescent="0.25">
      <c r="A899" t="s">
        <v>3</v>
      </c>
      <c r="C899" s="5">
        <v>3607</v>
      </c>
      <c r="F899" t="s">
        <v>33</v>
      </c>
    </row>
    <row r="900" spans="1:44" x14ac:dyDescent="0.25">
      <c r="F900" t="e">
        <f t="array" ref="F900">SMALL(IF('Raw Data'!A:A=C899,ROW('Raw Data'!A:A)),ROW('Raw Data'!$1:$1))</f>
        <v>#NUM!</v>
      </c>
      <c r="G900" t="e">
        <f t="array" ref="G900">INDEX('Raw Data'!A:A,F900,9)</f>
        <v>#NUM!</v>
      </c>
      <c r="H900" t="e">
        <f t="array" ref="H900">INDEX('Raw Data'!A:A,F900,10)</f>
        <v>#NUM!</v>
      </c>
      <c r="I900" t="e">
        <f t="array" ref="I900">INDEX('Raw Data'!$A:A,$F900,11)</f>
        <v>#NUM!</v>
      </c>
      <c r="J900" t="e">
        <f t="array" ref="J900">INDEX('Raw Data'!$A:A,F900,12)</f>
        <v>#NUM!</v>
      </c>
      <c r="K900" t="e">
        <f>(--INDEX('Raw Data'!$A$4:B$993,F900,4))</f>
        <v>#NUM!</v>
      </c>
      <c r="L900" t="e">
        <f t="array" ref="L900">(--INDEX('Raw Data'!$A$4:B$993,F900,5))</f>
        <v>#NUM!</v>
      </c>
      <c r="M900" t="e">
        <f t="array" ref="M900">(--INDEX('Raw Data'!$A$4:D$993,$F900,6))</f>
        <v>#NUM!</v>
      </c>
      <c r="N900" t="e">
        <f t="array" ref="N900">(--INDEX('Raw Data'!$A$4:D$993,$F900,7))</f>
        <v>#NUM!</v>
      </c>
      <c r="O900" t="e">
        <f t="array" ref="O900">IF(--INDEX('Raw Data'!$A$4:E$993,$F900,8)= 0, 1, 0)</f>
        <v>#NUM!</v>
      </c>
      <c r="P900" t="e">
        <f t="array" ref="P900">IF(--INDEX('Raw Data'!$A$4:F$993,$F900,8)= 1, 1, 0)</f>
        <v>#NUM!</v>
      </c>
      <c r="Q900" t="e">
        <f t="array" ref="Q900">IF(--INDEX('Raw Data'!$A$4:G$993,$F900,13)= 1, 1, 0)</f>
        <v>#NUM!</v>
      </c>
      <c r="R900" t="e">
        <f t="array" ref="R900">IF(--INDEX('Raw Data'!$A$4:H$993,$F900,14)= 1, 1, 0)</f>
        <v>#NUM!</v>
      </c>
      <c r="S900" t="e">
        <f t="array" ref="S900">IF(--INDEX('Raw Data'!$A$4:I$993,$F900,15)= 1, 1, 0)</f>
        <v>#NUM!</v>
      </c>
      <c r="T900" t="e">
        <f t="array" ref="T900">IF(--INDEX('Raw Data'!$A$4:I$993,$F900,15)= 1, 1, 0)</f>
        <v>#NUM!</v>
      </c>
      <c r="U900" t="e">
        <f t="array" ref="U900">IF(--INDEX('Raw Data'!$A$4:J$993,$F900,16)= 1, 1, 0)</f>
        <v>#NUM!</v>
      </c>
      <c r="V900" t="e">
        <f t="array" ref="V900">IF(--INDEX('Raw Data'!$A$4:K$993,$F900,17)= 1, 1, 0)</f>
        <v>#NUM!</v>
      </c>
      <c r="W900" t="e">
        <f t="array" ref="W900">INDEX('Raw Data'!$A:$O,$F900,19)</f>
        <v>#NUM!</v>
      </c>
      <c r="X900" t="e">
        <f t="array" ref="X900">INDEX('Raw Data'!$A:$O,$F900,20)</f>
        <v>#NUM!</v>
      </c>
      <c r="Y900" t="e">
        <f t="array" ref="Y900">INDEX('Raw Data'!$A:$O,F900,21)</f>
        <v>#NUM!</v>
      </c>
      <c r="Z900" t="e">
        <f t="array" ref="Z900">INDEX('Raw Data'!$A:$O,$F900,3)</f>
        <v>#NUM!</v>
      </c>
      <c r="AA900" t="e">
        <f t="array" ref="AA900">INDEX('Raw Data'!$A:$O,$F900,22)</f>
        <v>#NUM!</v>
      </c>
      <c r="AB900" t="e">
        <f t="array" ref="AB900">INDEX('Raw Data'!$A:$O,$F900,23)</f>
        <v>#NUM!</v>
      </c>
    </row>
    <row r="901" spans="1:44" x14ac:dyDescent="0.25">
      <c r="A901" t="s">
        <v>0</v>
      </c>
      <c r="B901">
        <f>G915</f>
        <v>0</v>
      </c>
      <c r="F901" t="e">
        <f t="array" ref="F901">SMALL(IF('Raw Data'!A:A=C899,ROW('Raw Data'!A:A)),ROW('Raw Data'!$2:$2))</f>
        <v>#NUM!</v>
      </c>
      <c r="G901" t="e">
        <f t="array" ref="G901">INDEX('Raw Data'!A:A,F901,9)</f>
        <v>#NUM!</v>
      </c>
      <c r="H901" t="e">
        <f t="array" ref="H901">INDEX('Raw Data'!A:A,F901,10)</f>
        <v>#NUM!</v>
      </c>
      <c r="I901" t="e">
        <f t="array" ref="I901">INDEX('Raw Data'!$A:A,$F901,11)</f>
        <v>#NUM!</v>
      </c>
      <c r="J901" t="e">
        <f t="array" ref="J901">INDEX('Raw Data'!$A:A,F901,12)</f>
        <v>#NUM!</v>
      </c>
      <c r="K901" t="e">
        <f>(--INDEX('Raw Data'!$A$4:B$993,F901,4))</f>
        <v>#NUM!</v>
      </c>
      <c r="L901" t="e">
        <f t="array" ref="L901">(--INDEX('Raw Data'!$A$4:B$993,F901,5))</f>
        <v>#NUM!</v>
      </c>
      <c r="M901" t="e">
        <f t="array" ref="M901">(--INDEX('Raw Data'!$A$4:D$993,$F901,6))</f>
        <v>#NUM!</v>
      </c>
      <c r="N901" t="e">
        <f t="array" ref="N901">(--INDEX('Raw Data'!$A$4:D$993,$F901,7))</f>
        <v>#NUM!</v>
      </c>
      <c r="O901" t="e">
        <f t="array" ref="O901">IF(--INDEX('Raw Data'!$A$4:E$993,$F901,8)= 0, 1, 0)</f>
        <v>#NUM!</v>
      </c>
      <c r="P901" t="e">
        <f t="array" ref="P901">IF(--INDEX('Raw Data'!$A$4:F$993,$F901,8)= 1, 1, 0)</f>
        <v>#NUM!</v>
      </c>
      <c r="Q901" t="e">
        <f t="array" ref="Q901">IF(--INDEX('Raw Data'!$A$4:G$993,$F901,13)= 1, 1, 0)</f>
        <v>#NUM!</v>
      </c>
      <c r="R901" t="e">
        <f t="array" ref="R901">IF(--INDEX('Raw Data'!$A$4:H$993,$F901,14)= 1, 1, 0)</f>
        <v>#NUM!</v>
      </c>
      <c r="S901" t="e">
        <f t="array" ref="S901">IF(--INDEX('Raw Data'!$A$4:I$993,$F901,15)= 1, 1, 0)</f>
        <v>#NUM!</v>
      </c>
      <c r="T901" t="e">
        <f t="array" ref="T901">IF(--INDEX('Raw Data'!$A$4:I$993,$F901,15)= 1, 1, 0)</f>
        <v>#NUM!</v>
      </c>
      <c r="U901" t="e">
        <f t="array" ref="U901">IF(--INDEX('Raw Data'!$A$4:J$993,$F901,16)= 1, 1, 0)</f>
        <v>#NUM!</v>
      </c>
      <c r="V901" t="e">
        <f t="array" ref="V901">IF(--INDEX('Raw Data'!$A$4:K$993,$F901,17)= 1, 1, 0)</f>
        <v>#NUM!</v>
      </c>
      <c r="W901" t="e">
        <f t="array" ref="W901">INDEX('Raw Data'!$A:$O,$F901,19)</f>
        <v>#NUM!</v>
      </c>
      <c r="X901" t="e">
        <f t="array" ref="X901">INDEX('Raw Data'!$A:$O,$F901,20)</f>
        <v>#NUM!</v>
      </c>
      <c r="Y901" t="e">
        <f t="array" ref="Y901">INDEX('Raw Data'!$A:$O,F901,21)</f>
        <v>#NUM!</v>
      </c>
      <c r="Z901" t="e">
        <f t="array" ref="Z901">INDEX('Raw Data'!$A:$O,$F901,3)</f>
        <v>#NUM!</v>
      </c>
      <c r="AA901" t="e">
        <f t="array" ref="AA901">INDEX('Raw Data'!$A:$O,$F901,22)</f>
        <v>#NUM!</v>
      </c>
      <c r="AB901" t="e">
        <f t="array" ref="AB901">INDEX('Raw Data'!$A:$O,$F901,23)</f>
        <v>#NUM!</v>
      </c>
    </row>
    <row r="902" spans="1:44" x14ac:dyDescent="0.25">
      <c r="A902" t="s">
        <v>1</v>
      </c>
      <c r="B902">
        <f>H915</f>
        <v>0</v>
      </c>
      <c r="F902" t="e">
        <f t="array" ref="F902">SMALL(IF('Raw Data'!A:A=C899,ROW('Raw Data'!A:A)),ROW('Raw Data'!$3:$3))</f>
        <v>#NUM!</v>
      </c>
      <c r="G902" t="e">
        <f t="array" ref="G902">INDEX('Raw Data'!A:A,F902,9)</f>
        <v>#NUM!</v>
      </c>
      <c r="H902" t="e">
        <f t="array" ref="H902">INDEX('Raw Data'!A:A,F902,10)</f>
        <v>#NUM!</v>
      </c>
      <c r="I902" t="e">
        <f t="array" ref="I902">INDEX('Raw Data'!$A:A,$F902,11)</f>
        <v>#NUM!</v>
      </c>
      <c r="J902" t="e">
        <f t="array" ref="J902">INDEX('Raw Data'!$A:A,F902,12)</f>
        <v>#NUM!</v>
      </c>
      <c r="K902" t="e">
        <f>(--INDEX('Raw Data'!$A$4:B$993,F902,4))</f>
        <v>#NUM!</v>
      </c>
      <c r="L902" t="e">
        <f t="array" ref="L902">(--INDEX('Raw Data'!$A$4:B$993,F902,5))</f>
        <v>#NUM!</v>
      </c>
      <c r="M902" t="e">
        <f t="array" ref="M902">(--INDEX('Raw Data'!$A$4:D$993,$F902,6))</f>
        <v>#NUM!</v>
      </c>
      <c r="N902" t="e">
        <f t="array" ref="N902">(--INDEX('Raw Data'!$A$4:D$993,$F902,7))</f>
        <v>#NUM!</v>
      </c>
      <c r="O902" t="e">
        <f t="array" ref="O902">IF(--INDEX('Raw Data'!$A$4:E$993,$F902,8)= 0, 1, 0)</f>
        <v>#NUM!</v>
      </c>
      <c r="P902" t="e">
        <f t="array" ref="P902">IF(--INDEX('Raw Data'!$A$4:F$993,$F902,8)= 1, 1, 0)</f>
        <v>#NUM!</v>
      </c>
      <c r="Q902" t="e">
        <f t="array" ref="Q902">IF(--INDEX('Raw Data'!$A$4:G$993,$F902,13)= 1, 1, 0)</f>
        <v>#NUM!</v>
      </c>
      <c r="R902" t="e">
        <f t="array" ref="R902">IF(--INDEX('Raw Data'!$A$4:H$993,$F902,14)= 1, 1, 0)</f>
        <v>#NUM!</v>
      </c>
      <c r="S902" t="e">
        <f t="array" ref="S902">IF(--INDEX('Raw Data'!$A$4:I$993,$F902,15)= 1, 1, 0)</f>
        <v>#NUM!</v>
      </c>
      <c r="T902" t="e">
        <f t="array" ref="T902">IF(--INDEX('Raw Data'!$A$4:I$993,$F902,15)= 1, 1, 0)</f>
        <v>#NUM!</v>
      </c>
      <c r="U902" t="e">
        <f t="array" ref="U902">IF(--INDEX('Raw Data'!$A$4:J$993,$F902,16)= 1, 1, 0)</f>
        <v>#NUM!</v>
      </c>
      <c r="V902" t="e">
        <f t="array" ref="V902">IF(--INDEX('Raw Data'!$A$4:K$993,$F902,17)= 1, 1, 0)</f>
        <v>#NUM!</v>
      </c>
      <c r="W902" t="e">
        <f t="array" ref="W902">INDEX('Raw Data'!$A:$O,$F902,19)</f>
        <v>#NUM!</v>
      </c>
      <c r="X902" t="e">
        <f t="array" ref="X902">INDEX('Raw Data'!$A:$O,$F902,20)</f>
        <v>#NUM!</v>
      </c>
      <c r="Y902" t="e">
        <f t="array" ref="Y902">INDEX('Raw Data'!$A:$O,F902,21)</f>
        <v>#NUM!</v>
      </c>
      <c r="Z902" t="e">
        <f t="array" ref="Z902">INDEX('Raw Data'!$A:$O,$F902,3)</f>
        <v>#NUM!</v>
      </c>
      <c r="AA902" t="e">
        <f t="array" ref="AA902">INDEX('Raw Data'!$A:$O,$F902,22)</f>
        <v>#NUM!</v>
      </c>
      <c r="AB902" t="e">
        <f t="array" ref="AB902">INDEX('Raw Data'!$A:$O,$F902,23)</f>
        <v>#NUM!</v>
      </c>
    </row>
    <row r="903" spans="1:44" x14ac:dyDescent="0.25">
      <c r="A903" t="s">
        <v>2</v>
      </c>
      <c r="C903" s="3" t="e">
        <f>B902/B901</f>
        <v>#DIV/0!</v>
      </c>
      <c r="F903" t="e">
        <f t="array" ref="F903">SMALL(IF('Raw Data'!A:A=C899,ROW('Raw Data'!A:A)),ROW('Raw Data'!$4:$4))</f>
        <v>#NUM!</v>
      </c>
      <c r="G903" t="e">
        <f t="array" ref="G903">INDEX('Raw Data'!A:A,F903,9)</f>
        <v>#NUM!</v>
      </c>
      <c r="H903" t="e">
        <f t="array" ref="H903">INDEX('Raw Data'!A:A,F903,10)</f>
        <v>#NUM!</v>
      </c>
      <c r="I903" t="e">
        <f t="array" ref="I903">INDEX('Raw Data'!$A:A,$F903,11)</f>
        <v>#NUM!</v>
      </c>
      <c r="J903" t="e">
        <f t="array" ref="J903">INDEX('Raw Data'!$A:A,F903,12)</f>
        <v>#NUM!</v>
      </c>
      <c r="K903" t="e">
        <f>(--INDEX('Raw Data'!$A$4:B$993,F903,4))</f>
        <v>#NUM!</v>
      </c>
      <c r="L903" t="e">
        <f t="array" ref="L903">(--INDEX('Raw Data'!$A$4:B$993,F903,5))</f>
        <v>#NUM!</v>
      </c>
      <c r="M903" t="e">
        <f t="array" ref="M903">(--INDEX('Raw Data'!$A$4:D$993,$F903,6))</f>
        <v>#NUM!</v>
      </c>
      <c r="N903" t="e">
        <f t="array" ref="N903">(--INDEX('Raw Data'!$A$4:D$993,$F903,7))</f>
        <v>#NUM!</v>
      </c>
      <c r="O903" t="e">
        <f t="array" ref="O903">IF(--INDEX('Raw Data'!$A$4:E$993,$F903,8)= 0, 1, 0)</f>
        <v>#NUM!</v>
      </c>
      <c r="P903" t="e">
        <f t="array" ref="P903">IF(--INDEX('Raw Data'!$A$4:F$993,$F903,8)= 1, 1, 0)</f>
        <v>#NUM!</v>
      </c>
      <c r="Q903" t="e">
        <f t="array" ref="Q903">IF(--INDEX('Raw Data'!$A$4:G$993,$F903,13)= 1, 1, 0)</f>
        <v>#NUM!</v>
      </c>
      <c r="R903" t="e">
        <f t="array" ref="R903">IF(--INDEX('Raw Data'!$A$4:H$993,$F903,14)= 1, 1, 0)</f>
        <v>#NUM!</v>
      </c>
      <c r="S903" t="e">
        <f t="array" ref="S903">IF(--INDEX('Raw Data'!$A$4:I$993,$F903,15)= 1, 1, 0)</f>
        <v>#NUM!</v>
      </c>
      <c r="T903" t="e">
        <f t="array" ref="T903">IF(--INDEX('Raw Data'!$A$4:I$993,$F903,15)= 1, 1, 0)</f>
        <v>#NUM!</v>
      </c>
      <c r="U903" t="e">
        <f t="array" ref="U903">IF(--INDEX('Raw Data'!$A$4:J$993,$F903,16)= 1, 1, 0)</f>
        <v>#NUM!</v>
      </c>
      <c r="V903" t="e">
        <f t="array" ref="V903">IF(--INDEX('Raw Data'!$A$4:K$993,$F903,17)= 1, 1, 0)</f>
        <v>#NUM!</v>
      </c>
      <c r="W903" t="e">
        <f t="array" ref="W903">INDEX('Raw Data'!$A:$O,$F903,19)</f>
        <v>#NUM!</v>
      </c>
      <c r="X903" t="e">
        <f t="array" ref="X903">INDEX('Raw Data'!$A:$O,$F903,20)</f>
        <v>#NUM!</v>
      </c>
      <c r="Y903" t="e">
        <f t="array" ref="Y903">INDEX('Raw Data'!$A:$O,F903,21)</f>
        <v>#NUM!</v>
      </c>
      <c r="Z903" t="e">
        <f t="array" ref="Z903">INDEX('Raw Data'!$A:$O,$F903,3)</f>
        <v>#NUM!</v>
      </c>
      <c r="AA903" t="e">
        <f t="array" ref="AA903">INDEX('Raw Data'!$A:$O,$F903,22)</f>
        <v>#NUM!</v>
      </c>
      <c r="AB903" t="e">
        <f t="array" ref="AB903">INDEX('Raw Data'!$A:$O,$F903,23)</f>
        <v>#NUM!</v>
      </c>
    </row>
    <row r="904" spans="1:44" x14ac:dyDescent="0.25">
      <c r="A904" t="s">
        <v>54</v>
      </c>
      <c r="B904">
        <f>I915</f>
        <v>0</v>
      </c>
      <c r="F904" t="e">
        <f t="array" ref="F904">SMALL(IF('Raw Data'!A:A=C899,ROW('Raw Data'!A:A)),ROW('Raw Data'!$5:$5))</f>
        <v>#NUM!</v>
      </c>
      <c r="G904" t="e">
        <f t="array" ref="G904">INDEX('Raw Data'!A:A,F904,9)</f>
        <v>#NUM!</v>
      </c>
      <c r="H904" t="e">
        <f t="array" ref="H904">INDEX('Raw Data'!A:A,F904,10)</f>
        <v>#NUM!</v>
      </c>
      <c r="I904" t="e">
        <f t="array" ref="I904">INDEX('Raw Data'!$A:A,$F904,11)</f>
        <v>#NUM!</v>
      </c>
      <c r="J904" t="e">
        <f t="array" ref="J904">INDEX('Raw Data'!$A:A,F904,12)</f>
        <v>#NUM!</v>
      </c>
      <c r="K904" t="e">
        <f>(--INDEX('Raw Data'!$A$4:B$993,F904,4))</f>
        <v>#NUM!</v>
      </c>
      <c r="L904" t="e">
        <f t="array" ref="L904">(--INDEX('Raw Data'!$A$4:B$993,F904,5))</f>
        <v>#NUM!</v>
      </c>
      <c r="M904" t="e">
        <f t="array" ref="M904">(--INDEX('Raw Data'!$A$4:D$993,$F904,6))</f>
        <v>#NUM!</v>
      </c>
      <c r="N904" t="e">
        <f t="array" ref="N904">(--INDEX('Raw Data'!$A$4:D$993,$F904,7))</f>
        <v>#NUM!</v>
      </c>
      <c r="O904" t="e">
        <f t="array" ref="O904">IF(--INDEX('Raw Data'!$A$4:E$993,$F904,8)= 0, 1, 0)</f>
        <v>#NUM!</v>
      </c>
      <c r="P904" t="e">
        <f t="array" ref="P904">IF(--INDEX('Raw Data'!$A$4:F$993,$F904,8)= 1, 1, 0)</f>
        <v>#NUM!</v>
      </c>
      <c r="Q904" t="e">
        <f t="array" ref="Q904">IF(--INDEX('Raw Data'!$A$4:G$993,$F904,13)= 1, 1, 0)</f>
        <v>#NUM!</v>
      </c>
      <c r="R904" t="e">
        <f t="array" ref="R904">IF(--INDEX('Raw Data'!$A$4:H$993,$F904,14)= 1, 1, 0)</f>
        <v>#NUM!</v>
      </c>
      <c r="S904" t="e">
        <f t="array" ref="S904">IF(--INDEX('Raw Data'!$A$4:I$993,$F904,15)= 1, 1, 0)</f>
        <v>#NUM!</v>
      </c>
      <c r="T904" t="e">
        <f t="array" ref="T904">IF(--INDEX('Raw Data'!$A$4:I$993,$F904,15)= 1, 1, 0)</f>
        <v>#NUM!</v>
      </c>
      <c r="U904" t="e">
        <f t="array" ref="U904">IF(--INDEX('Raw Data'!$A$4:J$993,$F904,16)= 1, 1, 0)</f>
        <v>#NUM!</v>
      </c>
      <c r="V904" t="e">
        <f t="array" ref="V904">IF(--INDEX('Raw Data'!$A$4:K$993,$F904,17)= 1, 1, 0)</f>
        <v>#NUM!</v>
      </c>
      <c r="W904" t="e">
        <f t="array" ref="W904">INDEX('Raw Data'!$A:$O,$F904,19)</f>
        <v>#NUM!</v>
      </c>
      <c r="X904" t="e">
        <f t="array" ref="X904">INDEX('Raw Data'!$A:$O,$F904,20)</f>
        <v>#NUM!</v>
      </c>
      <c r="Y904" t="e">
        <f t="array" ref="Y904">INDEX('Raw Data'!$A:$O,F904,21)</f>
        <v>#NUM!</v>
      </c>
      <c r="Z904" t="e">
        <f t="array" ref="Z904">INDEX('Raw Data'!$A:$O,$F904,3)</f>
        <v>#NUM!</v>
      </c>
      <c r="AA904" t="e">
        <f t="array" ref="AA904">INDEX('Raw Data'!$A:$O,$F904,22)</f>
        <v>#NUM!</v>
      </c>
      <c r="AB904" t="e">
        <f t="array" ref="AB904">INDEX('Raw Data'!$A:$O,$F904,23)</f>
        <v>#NUM!</v>
      </c>
      <c r="AR904" s="25"/>
    </row>
    <row r="905" spans="1:44" x14ac:dyDescent="0.25">
      <c r="A905" t="s">
        <v>35</v>
      </c>
      <c r="B905">
        <f>J915</f>
        <v>0</v>
      </c>
      <c r="F905" t="e">
        <f t="array" ref="F905">SMALL(IF('Raw Data'!A:A=C899,ROW('Raw Data'!A:A)),ROW('Raw Data'!$6:$6))</f>
        <v>#NUM!</v>
      </c>
      <c r="G905" t="e">
        <f t="array" ref="G905">INDEX('Raw Data'!A:A,F905,9)</f>
        <v>#NUM!</v>
      </c>
      <c r="H905" t="e">
        <f t="array" ref="H905">INDEX('Raw Data'!A:A,F905,10)</f>
        <v>#NUM!</v>
      </c>
      <c r="I905" t="e">
        <f t="array" ref="I905">INDEX('Raw Data'!$A:A,$F905,11)</f>
        <v>#NUM!</v>
      </c>
      <c r="J905" t="e">
        <f t="array" ref="J905">INDEX('Raw Data'!$A:A,F905,12)</f>
        <v>#NUM!</v>
      </c>
      <c r="K905" t="e">
        <f>(--INDEX('Raw Data'!$A$4:B$993,F905,4))</f>
        <v>#NUM!</v>
      </c>
      <c r="L905" t="e">
        <f t="array" ref="L905">(--INDEX('Raw Data'!$A$4:B$998,F905,5))</f>
        <v>#NUM!</v>
      </c>
      <c r="M905" t="e">
        <f t="array" ref="M905">(--INDEX('Raw Data'!$A$4:D$998,$F905,6))</f>
        <v>#NUM!</v>
      </c>
      <c r="N905" t="e">
        <f t="array" ref="N905">(--INDEX('Raw Data'!$A$4:D$993,$F905,7))</f>
        <v>#NUM!</v>
      </c>
      <c r="O905" t="e">
        <f t="array" ref="O905">IF(--INDEX('Raw Data'!$A$4:E$993,$F905,8)= 0, 1, 0)</f>
        <v>#NUM!</v>
      </c>
      <c r="P905" t="e">
        <f t="array" ref="P905">IF(--INDEX('Raw Data'!$A$4:F$998,$F905,8)= 1, 1, 0)</f>
        <v>#NUM!</v>
      </c>
      <c r="Q905" t="e">
        <f t="array" ref="Q905">IF(--INDEX('Raw Data'!$A$4:G$998,$F905,13)= 1, 1, 0)</f>
        <v>#NUM!</v>
      </c>
      <c r="R905" t="e">
        <f t="array" ref="R905">IF(--INDEX('Raw Data'!$A$4:H$998,$F905,14)= 1, 1, 0)</f>
        <v>#NUM!</v>
      </c>
      <c r="S905" t="e">
        <f t="array" ref="S905">IF(--INDEX('Raw Data'!$A$4:I$993,$F905,15)= 1, 1, 0)</f>
        <v>#NUM!</v>
      </c>
      <c r="T905" t="e">
        <f t="array" ref="T905">IF(--INDEX('Raw Data'!$A$4:I$998,$F905,15)= 1, 1, 0)</f>
        <v>#NUM!</v>
      </c>
      <c r="U905" t="e">
        <f t="array" ref="U905">IF(--INDEX('Raw Data'!$A$4:J$998,$F905,16)= 1, 1, 0)</f>
        <v>#NUM!</v>
      </c>
      <c r="V905" t="e">
        <f t="array" ref="V905">IF(--INDEX('Raw Data'!$A$4:K$993,$F905,17)= 1, 1, 0)</f>
        <v>#NUM!</v>
      </c>
      <c r="W905" t="e">
        <f t="array" ref="W905">INDEX('Raw Data'!$A:$O,$F905,19)</f>
        <v>#NUM!</v>
      </c>
      <c r="X905" t="e">
        <f t="array" ref="X905">INDEX('Raw Data'!$A:$O,$F905,20)</f>
        <v>#NUM!</v>
      </c>
      <c r="Y905" t="e">
        <f t="array" ref="Y905">INDEX('Raw Data'!$A:$O,F905,21)</f>
        <v>#NUM!</v>
      </c>
      <c r="Z905" t="e">
        <f t="array" ref="Z905">INDEX('Raw Data'!$A:$O,$F905,3)</f>
        <v>#NUM!</v>
      </c>
      <c r="AA905" t="e">
        <f t="array" ref="AA905">INDEX('Raw Data'!$A:$O,$F905,22)</f>
        <v>#NUM!</v>
      </c>
      <c r="AB905" t="e">
        <f t="array" ref="AB905">INDEX('Raw Data'!$A:$O,$F905,23)</f>
        <v>#NUM!</v>
      </c>
      <c r="AR905" s="25"/>
    </row>
    <row r="906" spans="1:44" ht="28.5" x14ac:dyDescent="0.45">
      <c r="F906" t="e">
        <f t="array" ref="F906">SMALL(IF('Raw Data'!A:A=C899,ROW('Raw Data'!A:A)),ROW('Raw Data'!$7:$7))</f>
        <v>#NUM!</v>
      </c>
      <c r="G906" t="e">
        <f t="array" ref="G906">INDEX('Raw Data'!A:A,F906,9)</f>
        <v>#NUM!</v>
      </c>
      <c r="H906" t="e">
        <f t="array" ref="H906">INDEX('Raw Data'!A:A,F906,10)</f>
        <v>#NUM!</v>
      </c>
      <c r="I906" t="e">
        <f t="array" ref="I906">INDEX('Raw Data'!$A:A,$F906,11)</f>
        <v>#NUM!</v>
      </c>
      <c r="J906" t="e">
        <f t="array" ref="J906">INDEX('Raw Data'!$A:A,F906,12)</f>
        <v>#NUM!</v>
      </c>
      <c r="K906" t="e">
        <f t="array" ref="K906">(--INDEX('Raw Data'!$A$4:B$998,F906,4))</f>
        <v>#NUM!</v>
      </c>
      <c r="L906" t="e">
        <f t="array" ref="L906">(--INDEX('Raw Data'!$A$4:B$998,F906,5))</f>
        <v>#NUM!</v>
      </c>
      <c r="M906" t="e">
        <f t="array" ref="M906">(--INDEX('Raw Data'!$A$4:D$998,$F906,6))</f>
        <v>#NUM!</v>
      </c>
      <c r="N906" t="e">
        <f t="array" ref="N906">(--INDEX('Raw Data'!$A$4:D$998,$F906,7))</f>
        <v>#NUM!</v>
      </c>
      <c r="O906" t="e">
        <f t="array" ref="O906">IF(--INDEX('Raw Data'!$A$4:E$998,$F906,8)= 0, 1, 0)</f>
        <v>#NUM!</v>
      </c>
      <c r="P906" t="e">
        <f t="array" ref="P906">IF(--INDEX('Raw Data'!$A$4:F$998,$F906,8)= 1, 1, 0)</f>
        <v>#NUM!</v>
      </c>
      <c r="Q906" t="e">
        <f t="array" ref="Q906">IF(--INDEX('Raw Data'!$A$4:G$998,$F906,13)= 1, 1, 0)</f>
        <v>#NUM!</v>
      </c>
      <c r="R906" t="e">
        <f t="array" ref="R906">IF(--INDEX('Raw Data'!$A$4:H$998,$F906,14)= 1, 1, 0)</f>
        <v>#NUM!</v>
      </c>
      <c r="S906" t="e">
        <f t="array" ref="S906">IF(--INDEX('Raw Data'!$A$4:I$998,$F906,15)= 1, 1, 0)</f>
        <v>#NUM!</v>
      </c>
      <c r="T906" t="e">
        <f t="array" ref="T906">IF(--INDEX('Raw Data'!$A$4:I$998,$F906,15)= 1, 1, 0)</f>
        <v>#NUM!</v>
      </c>
      <c r="U906" t="e">
        <f t="array" ref="U906">IF(--INDEX('Raw Data'!$A$4:J$998,$F906,16)= 1, 1, 0)</f>
        <v>#NUM!</v>
      </c>
      <c r="V906" t="e">
        <f t="array" ref="V906">IF(--INDEX('Raw Data'!$A$4:K$998,$F906,17)= 1, 1, 0)</f>
        <v>#NUM!</v>
      </c>
      <c r="W906" t="e">
        <f t="array" ref="W906">INDEX('Raw Data'!$A:$O,$F906,19)</f>
        <v>#NUM!</v>
      </c>
      <c r="X906" t="e">
        <f t="array" ref="X906">INDEX('Raw Data'!$A:$O,$F906,20)</f>
        <v>#NUM!</v>
      </c>
      <c r="Y906" t="e">
        <f t="array" ref="Y906">INDEX('Raw Data'!$A:$O,F906,21)</f>
        <v>#NUM!</v>
      </c>
      <c r="Z906" t="e">
        <f t="array" ref="Z906">INDEX('Raw Data'!$A:$O,$F906,3)</f>
        <v>#NUM!</v>
      </c>
      <c r="AA906" t="e">
        <f t="array" ref="AA906">INDEX('Raw Data'!$A:$O,$F906,22)</f>
        <v>#NUM!</v>
      </c>
      <c r="AB906" t="e">
        <f t="array" ref="AB906">INDEX('Raw Data'!$A:$O,$F906,23)</f>
        <v>#NUM!</v>
      </c>
      <c r="AM906" s="21"/>
      <c r="AR906" s="25"/>
    </row>
    <row r="907" spans="1:44" x14ac:dyDescent="0.25">
      <c r="F907" t="e">
        <f t="array" ref="F907">SMALL(IF('Raw Data'!A:A=C899,ROW('Raw Data'!A:A)),ROW('Raw Data'!$8:$8))</f>
        <v>#NUM!</v>
      </c>
      <c r="G907" t="e">
        <f t="array" ref="G907">INDEX('Raw Data'!A:A,F907,9)</f>
        <v>#NUM!</v>
      </c>
      <c r="H907" t="e">
        <f t="array" ref="H907">INDEX('Raw Data'!A:A,F907,10)</f>
        <v>#NUM!</v>
      </c>
      <c r="I907" t="e">
        <f t="array" ref="I907">INDEX('Raw Data'!$A:A,$F907,11)</f>
        <v>#NUM!</v>
      </c>
      <c r="J907" t="e">
        <f t="array" ref="J907">INDEX('Raw Data'!$A:A,F907,12)</f>
        <v>#NUM!</v>
      </c>
      <c r="K907" t="e">
        <f t="array" ref="K907">(--INDEX('Raw Data'!$A$4:B$998,F907,4))</f>
        <v>#NUM!</v>
      </c>
      <c r="L907" t="e">
        <f t="array" ref="L907">(--INDEX('Raw Data'!$A$4:B$998,F907,5))</f>
        <v>#NUM!</v>
      </c>
      <c r="M907" t="e">
        <f t="array" ref="M907">(--INDEX('Raw Data'!$A$4:D$998,$F907,6))</f>
        <v>#NUM!</v>
      </c>
      <c r="N907" t="e">
        <f t="array" ref="N907">(--INDEX('Raw Data'!$A$4:D$998,$F907,7))</f>
        <v>#NUM!</v>
      </c>
      <c r="O907" t="e">
        <f t="array" ref="O907">IF(--INDEX('Raw Data'!$A$4:E$998,$F907,8)= 0, 1, 0)</f>
        <v>#NUM!</v>
      </c>
      <c r="P907" t="e">
        <f t="array" ref="P907">IF(--INDEX('Raw Data'!$A$4:F$998,$F907,8)= 1, 1, 0)</f>
        <v>#NUM!</v>
      </c>
      <c r="Q907" t="e">
        <f t="array" ref="Q907">IF(--INDEX('Raw Data'!$A$4:G$998,$F907,13)= 1, 1, 0)</f>
        <v>#NUM!</v>
      </c>
      <c r="R907" t="e">
        <f t="array" ref="R907">IF(--INDEX('Raw Data'!$A$4:H$998,$F907,14)= 1, 1, 0)</f>
        <v>#NUM!</v>
      </c>
      <c r="S907" t="e">
        <f t="array" ref="S907">IF(--INDEX('Raw Data'!$A$4:I$998,$F907,15)= 1, 1, 0)</f>
        <v>#NUM!</v>
      </c>
      <c r="T907" t="e">
        <f t="array" ref="T907">IF(--INDEX('Raw Data'!$A$4:I$998,$F907,15)= 1, 1, 0)</f>
        <v>#NUM!</v>
      </c>
      <c r="U907" t="e">
        <f t="array" ref="U907">IF(--INDEX('Raw Data'!$A$4:J$998,$F907,16)= 1, 1, 0)</f>
        <v>#NUM!</v>
      </c>
      <c r="V907" t="e">
        <f t="array" ref="V907">IF(--INDEX('Raw Data'!$A$4:K$998,$F907,17)= 1, 1, 0)</f>
        <v>#NUM!</v>
      </c>
      <c r="W907" t="e">
        <f t="array" ref="W907">INDEX('Raw Data'!$A:$O,$F907,19)</f>
        <v>#NUM!</v>
      </c>
      <c r="X907" t="e">
        <f t="array" ref="X907">INDEX('Raw Data'!$A:$O,$F907,20)</f>
        <v>#NUM!</v>
      </c>
      <c r="Y907" t="e">
        <f t="array" ref="Y907">INDEX('Raw Data'!$A:$O,F907,21)</f>
        <v>#NUM!</v>
      </c>
      <c r="Z907" t="e">
        <f t="array" ref="Z907">INDEX('Raw Data'!$A:$O,$F907,3)</f>
        <v>#NUM!</v>
      </c>
      <c r="AA907" t="e">
        <f t="array" ref="AA907">INDEX('Raw Data'!$A:$O,$F907,22)</f>
        <v>#NUM!</v>
      </c>
      <c r="AB907" t="e">
        <f t="array" ref="AB907">INDEX('Raw Data'!$A:$O,$F907,23)</f>
        <v>#NUM!</v>
      </c>
      <c r="AR907" s="25"/>
    </row>
    <row r="908" spans="1:44" x14ac:dyDescent="0.25">
      <c r="F908" t="e">
        <f t="array" ref="F908">SMALL(IF('Raw Data'!A:A=C899,ROW('Raw Data'!A:A)),ROW('Raw Data'!$9:$9))</f>
        <v>#NUM!</v>
      </c>
      <c r="G908" t="e">
        <f t="array" ref="G908">INDEX('Raw Data'!A:A,F908,9)</f>
        <v>#NUM!</v>
      </c>
      <c r="H908" t="e">
        <f t="array" ref="H908">INDEX('Raw Data'!A:A,F908,10)</f>
        <v>#NUM!</v>
      </c>
      <c r="I908" t="e">
        <f t="array" ref="I908">INDEX('Raw Data'!$A:A,$F908,11)</f>
        <v>#NUM!</v>
      </c>
      <c r="J908" t="e">
        <f t="array" ref="J908">INDEX('Raw Data'!$A:A,F908,12)</f>
        <v>#NUM!</v>
      </c>
      <c r="K908" t="e">
        <f t="array" ref="K908">(--INDEX('Raw Data'!$A$4:B$998,F908,4))</f>
        <v>#NUM!</v>
      </c>
      <c r="L908" t="e">
        <f t="array" ref="L908">(--INDEX('Raw Data'!$A$4:B$998,F908,5))</f>
        <v>#NUM!</v>
      </c>
      <c r="M908" t="e">
        <f t="array" ref="M908">(--INDEX('Raw Data'!$A$4:D$998,$F908,6))</f>
        <v>#NUM!</v>
      </c>
      <c r="N908" t="e">
        <f t="array" ref="N908">(--INDEX('Raw Data'!$A$4:D$998,$F908,7))</f>
        <v>#NUM!</v>
      </c>
      <c r="O908" t="e">
        <f t="array" ref="O908">IF(--INDEX('Raw Data'!$A$4:E$998,$F908,8)= 0, 1, 0)</f>
        <v>#NUM!</v>
      </c>
      <c r="P908" t="e">
        <f t="array" ref="P908">IF(--INDEX('Raw Data'!$A$4:F$998,$F908,8)= 1, 1, 0)</f>
        <v>#NUM!</v>
      </c>
      <c r="Q908" t="e">
        <f t="array" ref="Q908">IF(--INDEX('Raw Data'!$A$4:G$998,$F908,13)= 1, 1, 0)</f>
        <v>#NUM!</v>
      </c>
      <c r="R908" t="e">
        <f t="array" ref="R908">IF(--INDEX('Raw Data'!$A$4:H$998,$F908,14)= 1, 1, 0)</f>
        <v>#NUM!</v>
      </c>
      <c r="S908" t="e">
        <f t="array" ref="S908">IF(--INDEX('Raw Data'!$A$4:I$998,$F908,15)= 1, 1, 0)</f>
        <v>#NUM!</v>
      </c>
      <c r="T908" t="e">
        <f t="array" ref="T908">IF(--INDEX('Raw Data'!$A$4:I$998,$F908,15)= 1, 1, 0)</f>
        <v>#NUM!</v>
      </c>
      <c r="U908" t="e">
        <f t="array" ref="U908">IF(--INDEX('Raw Data'!$A$4:J$998,$F908,16)= 1, 1, 0)</f>
        <v>#NUM!</v>
      </c>
      <c r="V908" t="e">
        <f t="array" ref="V908">IF(--INDEX('Raw Data'!$A$4:K$998,$F908,17)= 1, 1, 0)</f>
        <v>#NUM!</v>
      </c>
      <c r="W908" t="e">
        <f t="array" ref="W908">INDEX('Raw Data'!$A:$O,$F908,19)</f>
        <v>#NUM!</v>
      </c>
      <c r="X908" t="e">
        <f t="array" ref="X908">INDEX('Raw Data'!$A:$O,$F908,20)</f>
        <v>#NUM!</v>
      </c>
      <c r="Y908" t="e">
        <f t="array" ref="Y908">INDEX('Raw Data'!$A:$O,F908,21)</f>
        <v>#NUM!</v>
      </c>
      <c r="Z908" t="e">
        <f t="array" ref="Z908">INDEX('Raw Data'!$A:$O,$F908,3)</f>
        <v>#NUM!</v>
      </c>
      <c r="AA908" t="e">
        <f t="array" ref="AA908">INDEX('Raw Data'!$A:$O,$F908,22)</f>
        <v>#NUM!</v>
      </c>
      <c r="AB908" t="e">
        <f t="array" ref="AB908">INDEX('Raw Data'!$A:$O,$F908,23)</f>
        <v>#NUM!</v>
      </c>
      <c r="AR908" s="25"/>
    </row>
    <row r="909" spans="1:44" x14ac:dyDescent="0.25">
      <c r="F909" t="e">
        <f t="array" ref="F909">SMALL(IF('Raw Data'!A:A=C899,ROW('Raw Data'!A:A)),ROW('Raw Data'!$10:$10))</f>
        <v>#NUM!</v>
      </c>
      <c r="G909" t="e">
        <f t="array" ref="G909">INDEX('Raw Data'!A:A,F909,9)</f>
        <v>#NUM!</v>
      </c>
      <c r="H909" t="e">
        <f t="array" ref="H909">INDEX('Raw Data'!A:A,F909,10)</f>
        <v>#NUM!</v>
      </c>
      <c r="I909" t="e">
        <f t="array" ref="I909">INDEX('Raw Data'!$A:A,$F909,11)</f>
        <v>#NUM!</v>
      </c>
      <c r="J909" t="e">
        <f t="array" ref="J909">INDEX('Raw Data'!$A:A,F909,12)</f>
        <v>#NUM!</v>
      </c>
      <c r="K909" t="e">
        <f t="array" ref="K909">(--INDEX('Raw Data'!$A$4:B$998,F909,4))</f>
        <v>#NUM!</v>
      </c>
      <c r="L909" t="e">
        <f t="array" ref="L909">(--INDEX('Raw Data'!$A$4:B$998,F909,5))</f>
        <v>#NUM!</v>
      </c>
      <c r="M909" t="e">
        <f t="array" ref="M909">(--INDEX('Raw Data'!$A$4:D$998,$F909,6))</f>
        <v>#NUM!</v>
      </c>
      <c r="N909" t="e">
        <f t="array" ref="N909">(--INDEX('Raw Data'!$A$4:D$998,$F909,7))</f>
        <v>#NUM!</v>
      </c>
      <c r="O909" t="e">
        <f t="array" ref="O909">IF(--INDEX('Raw Data'!$A$4:E$998,$F909,8)= 0, 1, 0)</f>
        <v>#NUM!</v>
      </c>
      <c r="P909" t="e">
        <f t="array" ref="P909">IF(--INDEX('Raw Data'!$A$4:F$998,$F909,8)= 1, 1, 0)</f>
        <v>#NUM!</v>
      </c>
      <c r="Q909" t="e">
        <f t="array" ref="Q909">IF(--INDEX('Raw Data'!$A$4:G$998,$F909,13)= 1, 1, 0)</f>
        <v>#NUM!</v>
      </c>
      <c r="R909" t="e">
        <f t="array" ref="R909">IF(--INDEX('Raw Data'!$A$4:H$998,$F909,14)= 1, 1, 0)</f>
        <v>#NUM!</v>
      </c>
      <c r="S909" t="e">
        <f t="array" ref="S909">IF(--INDEX('Raw Data'!$A$4:I$998,$F909,15)= 1, 1, 0)</f>
        <v>#NUM!</v>
      </c>
      <c r="T909" t="e">
        <f t="array" ref="T909">IF(--INDEX('Raw Data'!$A$4:I$998,$F909,15)= 1, 1, 0)</f>
        <v>#NUM!</v>
      </c>
      <c r="U909" t="e">
        <f t="array" ref="U909">IF(--INDEX('Raw Data'!$A$4:J$998,$F909,16)= 1, 1, 0)</f>
        <v>#NUM!</v>
      </c>
      <c r="V909" t="e">
        <f t="array" ref="V909">IF(--INDEX('Raw Data'!$A$4:K$998,$F909,17)= 1, 1, 0)</f>
        <v>#NUM!</v>
      </c>
      <c r="W909" t="e">
        <f t="array" ref="W909">INDEX('Raw Data'!$A:$O,$F909,19)</f>
        <v>#NUM!</v>
      </c>
      <c r="X909" t="e">
        <f t="array" ref="X909">INDEX('Raw Data'!$A:$O,$F909,20)</f>
        <v>#NUM!</v>
      </c>
      <c r="Y909" t="e">
        <f t="array" ref="Y909">INDEX('Raw Data'!$A:$O,F909,21)</f>
        <v>#NUM!</v>
      </c>
      <c r="Z909" t="e">
        <f t="array" ref="Z909">INDEX('Raw Data'!$A:$O,$F909,3)</f>
        <v>#NUM!</v>
      </c>
      <c r="AA909" t="e">
        <f t="array" ref="AA909">INDEX('Raw Data'!$A:$O,$F909,22)</f>
        <v>#NUM!</v>
      </c>
      <c r="AB909" t="e">
        <f t="array" ref="AB909">INDEX('Raw Data'!$A:$O,$F909,23)</f>
        <v>#NUM!</v>
      </c>
      <c r="AR909" s="25"/>
    </row>
    <row r="910" spans="1:44" x14ac:dyDescent="0.25">
      <c r="F910" t="e">
        <f t="array" ref="F910">SMALL(IF('Raw Data'!A:A=C899,ROW('Raw Data'!A:A)),ROW('Raw Data'!$11:$11))</f>
        <v>#NUM!</v>
      </c>
      <c r="G910" t="e">
        <f t="array" ref="G910">INDEX('Raw Data'!A:A,F910,9)</f>
        <v>#NUM!</v>
      </c>
      <c r="H910" t="e">
        <f t="array" ref="H910">INDEX('Raw Data'!A:A,F910,10)</f>
        <v>#NUM!</v>
      </c>
      <c r="I910" t="e">
        <f t="array" ref="I910">INDEX('Raw Data'!$A:A,$F910,11)</f>
        <v>#NUM!</v>
      </c>
      <c r="J910" t="e">
        <f t="array" ref="J910">INDEX('Raw Data'!$A:A,F910,12)</f>
        <v>#NUM!</v>
      </c>
      <c r="K910" t="e">
        <f t="array" ref="K910">(--INDEX('Raw Data'!$A$4:B$998,F910,4))</f>
        <v>#NUM!</v>
      </c>
      <c r="L910" t="e">
        <f t="array" ref="L910">(--INDEX('Raw Data'!$A$4:B$998,F910,5))</f>
        <v>#NUM!</v>
      </c>
      <c r="M910" t="e">
        <f t="array" ref="M910">(--INDEX('Raw Data'!$A$4:D$998,$F910,6))</f>
        <v>#NUM!</v>
      </c>
      <c r="N910" t="e">
        <f t="array" ref="N910">(--INDEX('Raw Data'!$A$4:D$998,$F910,7))</f>
        <v>#NUM!</v>
      </c>
      <c r="O910" t="e">
        <f t="array" ref="O910">IF(--INDEX('Raw Data'!$A$4:E$998,$F910,8)= 0, 1, 0)</f>
        <v>#NUM!</v>
      </c>
      <c r="P910" t="e">
        <f t="array" ref="P910">IF(--INDEX('Raw Data'!$A$4:F$998,$F910,8)= 1, 1, 0)</f>
        <v>#NUM!</v>
      </c>
      <c r="Q910" t="e">
        <f t="array" ref="Q910">IF(--INDEX('Raw Data'!$A$4:G$998,$F910,13)= 1, 1, 0)</f>
        <v>#NUM!</v>
      </c>
      <c r="R910" t="e">
        <f t="array" ref="R910">IF(--INDEX('Raw Data'!$A$4:H$998,$F910,14)= 1, 1, 0)</f>
        <v>#NUM!</v>
      </c>
      <c r="S910" t="e">
        <f t="array" ref="S910">IF(--INDEX('Raw Data'!$A$4:I$998,$F910,15)= 1, 1, 0)</f>
        <v>#NUM!</v>
      </c>
      <c r="T910" t="e">
        <f t="array" ref="T910">IF(--INDEX('Raw Data'!$A$4:I$998,$F910,15)= 1, 1, 0)</f>
        <v>#NUM!</v>
      </c>
      <c r="U910" t="e">
        <f t="array" ref="U910">IF(--INDEX('Raw Data'!$A$4:J$998,$F910,16)= 1, 1, 0)</f>
        <v>#NUM!</v>
      </c>
      <c r="V910" t="e">
        <f t="array" ref="V910">IF(--INDEX('Raw Data'!$A$4:K$998,$F910,17)= 1, 1, 0)</f>
        <v>#NUM!</v>
      </c>
      <c r="W910" t="e">
        <f t="array" ref="W910">INDEX('Raw Data'!$A:$O,$F910,19)</f>
        <v>#NUM!</v>
      </c>
      <c r="X910" t="e">
        <f t="array" ref="X910">INDEX('Raw Data'!$A:$O,$F910,20)</f>
        <v>#NUM!</v>
      </c>
      <c r="Y910" t="e">
        <f t="array" ref="Y910">INDEX('Raw Data'!$A:$O,F910,21)</f>
        <v>#NUM!</v>
      </c>
      <c r="Z910" t="e">
        <f t="array" ref="Z910">INDEX('Raw Data'!$A:$O,$F910,3)</f>
        <v>#NUM!</v>
      </c>
      <c r="AA910" t="e">
        <f t="array" ref="AA910">INDEX('Raw Data'!$A:$O,$F910,22)</f>
        <v>#NUM!</v>
      </c>
      <c r="AB910" t="e">
        <f t="array" ref="AB910">INDEX('Raw Data'!$A:$O,$F910,23)</f>
        <v>#NUM!</v>
      </c>
      <c r="AR910" s="25"/>
    </row>
    <row r="911" spans="1:44" x14ac:dyDescent="0.25">
      <c r="F911" t="e">
        <f t="array" ref="F911">SMALL(IF('Raw Data'!A:A=C899,ROW('Raw Data'!A:A)),ROW('Raw Data'!$12:$12))</f>
        <v>#NUM!</v>
      </c>
      <c r="G911" t="e">
        <f t="array" ref="G911">INDEX('Raw Data'!A:A,F911,9)</f>
        <v>#NUM!</v>
      </c>
      <c r="H911" t="e">
        <f t="array" ref="H911">INDEX('Raw Data'!A:A,F911,10)</f>
        <v>#NUM!</v>
      </c>
      <c r="I911" t="e">
        <f t="array" ref="I911">INDEX('Raw Data'!$A:A,$F911,11)</f>
        <v>#NUM!</v>
      </c>
      <c r="J911" t="e">
        <f t="array" ref="J911">INDEX('Raw Data'!$A:A,F911,12)</f>
        <v>#NUM!</v>
      </c>
      <c r="K911" t="e">
        <f t="array" ref="K911">(--INDEX('Raw Data'!$A$4:B$998,F911,4))</f>
        <v>#NUM!</v>
      </c>
      <c r="L911" t="e">
        <f t="array" ref="L911">(--INDEX('Raw Data'!$A$4:B$998,F911,5))</f>
        <v>#NUM!</v>
      </c>
      <c r="M911" t="e">
        <f t="array" ref="M911">(--INDEX('Raw Data'!$A$4:D$998,$F911,6))</f>
        <v>#NUM!</v>
      </c>
      <c r="N911" t="e">
        <f t="array" ref="N911">(--INDEX('Raw Data'!$A$4:D$998,$F911,7))</f>
        <v>#NUM!</v>
      </c>
      <c r="O911" t="e">
        <f t="array" ref="O911">IF(--INDEX('Raw Data'!$A$4:E$998,$F911,8)= 0, 1, 0)</f>
        <v>#NUM!</v>
      </c>
      <c r="P911" t="e">
        <f t="array" ref="P911">IF(--INDEX('Raw Data'!$A$4:F$998,$F911,8)= 1, 1, 0)</f>
        <v>#NUM!</v>
      </c>
      <c r="Q911" t="e">
        <f t="array" ref="Q911">IF(--INDEX('Raw Data'!$A$4:G$998,$F911,13)= 1, 1, 0)</f>
        <v>#NUM!</v>
      </c>
      <c r="R911" t="e">
        <f t="array" ref="R911">IF(--INDEX('Raw Data'!$A$4:H$998,$F911,14)= 1, 1, 0)</f>
        <v>#NUM!</v>
      </c>
      <c r="S911" t="e">
        <f t="array" ref="S911">IF(--INDEX('Raw Data'!$A$4:I$998,$F911,15)= 1, 1, 0)</f>
        <v>#NUM!</v>
      </c>
      <c r="T911" t="e">
        <f t="array" ref="T911">IF(--INDEX('Raw Data'!$A$4:I$998,$F911,15)= 1, 1, 0)</f>
        <v>#NUM!</v>
      </c>
      <c r="U911" t="e">
        <f t="array" ref="U911">IF(--INDEX('Raw Data'!$A$4:J$998,$F911,16)= 1, 1, 0)</f>
        <v>#NUM!</v>
      </c>
      <c r="V911" t="e">
        <f t="array" ref="V911">IF(--INDEX('Raw Data'!$A$4:K$998,$F911,17)= 1, 1, 0)</f>
        <v>#NUM!</v>
      </c>
      <c r="W911" t="e">
        <f t="array" ref="W911">INDEX('Raw Data'!$A:$O,$F911,19)</f>
        <v>#NUM!</v>
      </c>
      <c r="X911" t="e">
        <f t="array" ref="X911">INDEX('Raw Data'!$A:$O,$F911,20)</f>
        <v>#NUM!</v>
      </c>
      <c r="Y911" t="e">
        <f t="array" ref="Y911">INDEX('Raw Data'!$A:$O,F911,21)</f>
        <v>#NUM!</v>
      </c>
      <c r="Z911" t="e">
        <f t="array" ref="Z911">INDEX('Raw Data'!$A:$O,$F911,3)</f>
        <v>#NUM!</v>
      </c>
      <c r="AA911" t="e">
        <f t="array" ref="AA911">INDEX('Raw Data'!$A:$O,$F911,22)</f>
        <v>#NUM!</v>
      </c>
      <c r="AB911" t="e">
        <f t="array" ref="AB911">INDEX('Raw Data'!$A:$O,$F911,23)</f>
        <v>#NUM!</v>
      </c>
      <c r="AR911" s="25"/>
    </row>
    <row r="912" spans="1:44" x14ac:dyDescent="0.25">
      <c r="F912" t="e">
        <f t="array" ref="F912">SMALL(IF('Raw Data'!A:A=C899,ROW('Raw Data'!A:A)),ROW('Raw Data'!$13:$13))</f>
        <v>#NUM!</v>
      </c>
      <c r="G912" t="e">
        <f t="array" ref="G912">INDEX('Raw Data'!A:A,F912,9)</f>
        <v>#NUM!</v>
      </c>
      <c r="H912" t="e">
        <f t="array" ref="H912">INDEX('Raw Data'!A:A,F912,10)</f>
        <v>#NUM!</v>
      </c>
      <c r="I912" t="e">
        <f t="array" ref="I912">INDEX('Raw Data'!$A:A,$F912,11)</f>
        <v>#NUM!</v>
      </c>
      <c r="J912" t="e">
        <f t="array" ref="J912">INDEX('Raw Data'!$A:A,F912,12)</f>
        <v>#NUM!</v>
      </c>
      <c r="K912" t="e">
        <f t="array" ref="K912">(--INDEX('Raw Data'!$A$4:B$998,F912,4))</f>
        <v>#NUM!</v>
      </c>
      <c r="L912" t="e">
        <f t="array" ref="L912">(--INDEX('Raw Data'!$A$4:B$998,F912,5))</f>
        <v>#NUM!</v>
      </c>
      <c r="M912" t="e">
        <f t="array" ref="M912">(--INDEX('Raw Data'!$A$4:D$998,$F912,6))</f>
        <v>#NUM!</v>
      </c>
      <c r="N912" t="e">
        <f t="array" ref="N912">(--INDEX('Raw Data'!$A$4:D$998,$F912,7))</f>
        <v>#NUM!</v>
      </c>
      <c r="O912" t="e">
        <f t="array" ref="O912">IF(--INDEX('Raw Data'!$A$4:E$998,$F912,8)= 0, 1, 0)</f>
        <v>#NUM!</v>
      </c>
      <c r="P912" t="e">
        <f t="array" ref="P912">IF(--INDEX('Raw Data'!$A$4:F$998,$F912,8)= 1, 1, 0)</f>
        <v>#NUM!</v>
      </c>
      <c r="Q912" t="e">
        <f t="array" ref="Q912">IF(--INDEX('Raw Data'!$A$4:G$998,$F912,13)= 1, 1, 0)</f>
        <v>#NUM!</v>
      </c>
      <c r="R912" t="e">
        <f t="array" ref="R912">IF(--INDEX('Raw Data'!$A$4:H$998,$F912,14)= 1, 1, 0)</f>
        <v>#NUM!</v>
      </c>
      <c r="S912" t="e">
        <f t="array" ref="S912">IF(--INDEX('Raw Data'!$A$4:I$998,$F912,15)= 1, 1, 0)</f>
        <v>#NUM!</v>
      </c>
      <c r="T912" t="e">
        <f t="array" ref="T912">IF(--INDEX('Raw Data'!$A$4:I$998,$F912,15)= 1, 1, 0)</f>
        <v>#NUM!</v>
      </c>
      <c r="U912" t="e">
        <f t="array" ref="U912">IF(--INDEX('Raw Data'!$A$4:J$998,$F912,16)= 1, 1, 0)</f>
        <v>#NUM!</v>
      </c>
      <c r="V912" t="e">
        <f t="array" ref="V912">IF(--INDEX('Raw Data'!$A$4:K$998,$F912,17)= 1, 1, 0)</f>
        <v>#NUM!</v>
      </c>
      <c r="W912" t="e">
        <f t="array" ref="W912">INDEX('Raw Data'!$A:$O,$F912,19)</f>
        <v>#NUM!</v>
      </c>
      <c r="X912" t="e">
        <f t="array" ref="X912">INDEX('Raw Data'!$A:$O,$F912,20)</f>
        <v>#NUM!</v>
      </c>
      <c r="Y912" t="e">
        <f t="array" ref="Y912">INDEX('Raw Data'!$A:$O,F912,21)</f>
        <v>#NUM!</v>
      </c>
      <c r="Z912" t="e">
        <f t="array" ref="Z912">INDEX('Raw Data'!$A:$O,$F912,3)</f>
        <v>#NUM!</v>
      </c>
      <c r="AA912" t="e">
        <f t="array" ref="AA912">INDEX('Raw Data'!$A:$O,$F912,22)</f>
        <v>#NUM!</v>
      </c>
      <c r="AB912" t="e">
        <f t="array" ref="AB912">INDEX('Raw Data'!$A:$O,$F912,23)</f>
        <v>#NUM!</v>
      </c>
      <c r="AR912" s="25"/>
    </row>
    <row r="913" spans="1:44" x14ac:dyDescent="0.25">
      <c r="F913" t="e">
        <f t="array" ref="F913">SMALL(IF('Raw Data'!A:A=C899,ROW('Raw Data'!A:A)),ROW('Raw Data'!$14:$14))</f>
        <v>#NUM!</v>
      </c>
      <c r="G913" t="e">
        <f t="array" ref="G913">INDEX('Raw Data'!A:A,F913,9)</f>
        <v>#NUM!</v>
      </c>
      <c r="H913" t="e">
        <f t="array" ref="H913">INDEX('Raw Data'!A:A,F913,10)</f>
        <v>#NUM!</v>
      </c>
      <c r="I913" t="e">
        <f t="array" ref="I913">INDEX('Raw Data'!$A:A,$F913,11)</f>
        <v>#NUM!</v>
      </c>
      <c r="J913" t="e">
        <f t="array" ref="J913">INDEX('Raw Data'!$A:A,F913,12)</f>
        <v>#NUM!</v>
      </c>
      <c r="K913" t="e">
        <f t="array" ref="K913">(--INDEX('Raw Data'!$A$4:B$998,F913,4))</f>
        <v>#NUM!</v>
      </c>
      <c r="L913" t="e">
        <f t="array" ref="L913">(--INDEX('Raw Data'!$A$4:B$998,F913,5))</f>
        <v>#NUM!</v>
      </c>
      <c r="M913" t="e">
        <f t="array" ref="M913">(--INDEX('Raw Data'!$A$4:D$998,$F913,6))</f>
        <v>#NUM!</v>
      </c>
      <c r="N913" t="e">
        <f t="array" ref="N913">(--INDEX('Raw Data'!$A$4:D$998,$F913,7))</f>
        <v>#NUM!</v>
      </c>
      <c r="O913" t="e">
        <f t="array" ref="O913">IF(--INDEX('Raw Data'!$A$4:E$998,$F913,8)= 0, 1, 0)</f>
        <v>#NUM!</v>
      </c>
      <c r="P913" t="e">
        <f t="array" ref="P913">IF(--INDEX('Raw Data'!$A$4:F$998,$F913,8)= 1, 1, 0)</f>
        <v>#NUM!</v>
      </c>
      <c r="Q913" t="e">
        <f t="array" ref="Q913">IF(--INDEX('Raw Data'!$A$4:G$998,$F913,13)= 1, 1, 0)</f>
        <v>#NUM!</v>
      </c>
      <c r="R913" t="e">
        <f t="array" ref="R913">IF(--INDEX('Raw Data'!$A$4:H$998,$F913,14)= 1, 1, 0)</f>
        <v>#NUM!</v>
      </c>
      <c r="S913" t="e">
        <f t="array" ref="S913">IF(--INDEX('Raw Data'!$A$4:I$998,$F913,15)= 1, 1, 0)</f>
        <v>#NUM!</v>
      </c>
      <c r="T913" t="e">
        <f t="array" ref="T913">IF(--INDEX('Raw Data'!$A$4:I$998,$F913,15)= 1, 1, 0)</f>
        <v>#NUM!</v>
      </c>
      <c r="U913" t="e">
        <f t="array" ref="U913">IF(--INDEX('Raw Data'!$A$4:J$998,$F913,16)= 1, 1, 0)</f>
        <v>#NUM!</v>
      </c>
      <c r="V913" t="e">
        <f t="array" ref="V913">IF(--INDEX('Raw Data'!$A$4:K$998,$F913,17)= 1, 1, 0)</f>
        <v>#NUM!</v>
      </c>
      <c r="W913" t="e">
        <f t="array" ref="W913">INDEX('Raw Data'!$A:$O,$F913,19)</f>
        <v>#NUM!</v>
      </c>
      <c r="X913" t="e">
        <f t="array" ref="X913">INDEX('Raw Data'!$A:$O,$F913,20)</f>
        <v>#NUM!</v>
      </c>
      <c r="Y913" t="e">
        <f t="array" ref="Y913">INDEX('Raw Data'!$A:$O,F913,21)</f>
        <v>#NUM!</v>
      </c>
      <c r="Z913" t="e">
        <f t="array" ref="Z913">INDEX('Raw Data'!$A:$O,$F913,3)</f>
        <v>#NUM!</v>
      </c>
      <c r="AA913" t="e">
        <f t="array" ref="AA913">INDEX('Raw Data'!$A:$O,$F913,22)</f>
        <v>#NUM!</v>
      </c>
      <c r="AB913" t="e">
        <f t="array" ref="AB913">INDEX('Raw Data'!$A:$O,$F913,23)</f>
        <v>#NUM!</v>
      </c>
      <c r="AR913" s="25"/>
    </row>
    <row r="914" spans="1:44" x14ac:dyDescent="0.25">
      <c r="F914" t="e">
        <f t="array" ref="F914">SMALL(IF('Raw Data'!A:A=C899,ROW('Raw Data'!A:A)),ROW('Raw Data'!$15:$15))</f>
        <v>#NUM!</v>
      </c>
      <c r="G914" t="e">
        <f t="array" ref="G914">INDEX('Raw Data'!A:A,F914,9)</f>
        <v>#NUM!</v>
      </c>
      <c r="H914" t="e">
        <f t="array" ref="H914">INDEX('Raw Data'!A:A,F914,10)</f>
        <v>#NUM!</v>
      </c>
      <c r="I914" t="e">
        <f t="array" ref="I914">INDEX('Raw Data'!$A:A,$F914,11)</f>
        <v>#NUM!</v>
      </c>
      <c r="J914" t="e">
        <f t="array" ref="J914">INDEX('Raw Data'!$A:A,F914,12)</f>
        <v>#NUM!</v>
      </c>
      <c r="K914" t="e">
        <f t="array" ref="K914">(--INDEX('Raw Data'!$A$4:B$998,F914,4))</f>
        <v>#NUM!</v>
      </c>
      <c r="L914" t="e">
        <f t="array" ref="L914">(--INDEX('Raw Data'!$A$4:B$998,F914,5))</f>
        <v>#NUM!</v>
      </c>
      <c r="M914" t="e">
        <f t="array" ref="M914">(--INDEX('Raw Data'!$A$4:D$998,$F914,6))</f>
        <v>#NUM!</v>
      </c>
      <c r="N914" t="e">
        <f t="array" ref="N914">(--INDEX('Raw Data'!$A$4:D$998,$F914,7))</f>
        <v>#NUM!</v>
      </c>
      <c r="O914" t="e">
        <f t="array" ref="O914">IF(--INDEX('Raw Data'!$A$4:E$998,$F914,8)= 0, 1, 0)</f>
        <v>#NUM!</v>
      </c>
      <c r="P914" t="e">
        <f t="array" ref="P914">IF(--INDEX('Raw Data'!$A$4:F$998,$F914,8)= 1, 1, 0)</f>
        <v>#NUM!</v>
      </c>
      <c r="Q914" t="e">
        <f t="array" ref="Q914">IF(--INDEX('Raw Data'!$A$4:G$998,$F914,13)= 1, 1, 0)</f>
        <v>#NUM!</v>
      </c>
      <c r="R914" t="e">
        <f t="array" ref="R914">IF(--INDEX('Raw Data'!$A$4:H$998,$F914,14)= 1, 1, 0)</f>
        <v>#NUM!</v>
      </c>
      <c r="S914" t="e">
        <f t="array" ref="S914">IF(--INDEX('Raw Data'!$A$4:I$998,$F914,15)= 1, 1, 0)</f>
        <v>#NUM!</v>
      </c>
      <c r="T914" t="e">
        <f t="array" ref="T914">IF(--INDEX('Raw Data'!$A$4:I$998,$F914,15)= 1, 1, 0)</f>
        <v>#NUM!</v>
      </c>
      <c r="U914" t="e">
        <f t="array" ref="U914">IF(--INDEX('Raw Data'!$A$4:J$998,$F914,16)= 1, 1, 0)</f>
        <v>#NUM!</v>
      </c>
      <c r="V914" t="e">
        <f t="array" ref="V914">IF(--INDEX('Raw Data'!$A$4:K$998,$F914,17)= 1, 1, 0)</f>
        <v>#NUM!</v>
      </c>
      <c r="W914" t="e">
        <f t="array" ref="W914">INDEX('Raw Data'!$A:$O,$F914,19)</f>
        <v>#NUM!</v>
      </c>
      <c r="X914" t="e">
        <f t="array" ref="X914">INDEX('Raw Data'!$A:$O,$F914,20)</f>
        <v>#NUM!</v>
      </c>
      <c r="Y914" t="e">
        <f t="array" ref="Y914">INDEX('Raw Data'!$A:$O,F914,21)</f>
        <v>#NUM!</v>
      </c>
      <c r="Z914" t="e">
        <f t="array" ref="Z914">INDEX('Raw Data'!$A:$O,$F914,3)</f>
        <v>#NUM!</v>
      </c>
      <c r="AA914" t="e">
        <f t="array" ref="AA914">INDEX('Raw Data'!$A:$O,$F914,22)</f>
        <v>#NUM!</v>
      </c>
      <c r="AB914" t="e">
        <f t="array" ref="AB914">INDEX('Raw Data'!$A:$O,$F914,23)</f>
        <v>#NUM!</v>
      </c>
      <c r="AR914" s="25"/>
    </row>
    <row r="915" spans="1:44" x14ac:dyDescent="0.25">
      <c r="A915" t="s">
        <v>55</v>
      </c>
      <c r="C915" s="2" t="e">
        <f>B905/B904</f>
        <v>#DIV/0!</v>
      </c>
      <c r="F915">
        <f t="array" ref="F915">COUNTIF(F900:F914,"&gt;0")</f>
        <v>0</v>
      </c>
      <c r="G915">
        <f t="array" ref="G915">SUMIF(G900:G914,"&gt;0")</f>
        <v>0</v>
      </c>
      <c r="H915">
        <f t="array" ref="H915">SUMIF(H900:H914,"&gt;0")</f>
        <v>0</v>
      </c>
      <c r="I915">
        <f t="array" ref="I915">SUMIF(I900:I914,"&gt;0")</f>
        <v>0</v>
      </c>
      <c r="J915">
        <f t="array" ref="J915">SUMIF(J900:J914,"&gt;0")</f>
        <v>0</v>
      </c>
      <c r="K915">
        <f t="array" ref="K915">SUMIF(K900:K914,"&gt;0")</f>
        <v>0</v>
      </c>
      <c r="L915">
        <f t="array" ref="L915">SUMIF(L900:L914,"&gt;0")</f>
        <v>0</v>
      </c>
      <c r="M915">
        <f t="array" ref="M915">SUMIF(M900:M914,"&gt;0")</f>
        <v>0</v>
      </c>
      <c r="N915">
        <f t="array" ref="N915">SUMIF(N900:N914,"&gt;0")</f>
        <v>0</v>
      </c>
      <c r="O915">
        <f t="array" ref="O915">SUMIF(O900:O914,"&gt;0")</f>
        <v>0</v>
      </c>
      <c r="P915">
        <f t="array" ref="P915">SUMIF(P900:P914,"&gt;0")</f>
        <v>0</v>
      </c>
      <c r="Q915">
        <f t="array" ref="Q915">SUMIF(Q900:Q914,"&gt;0")</f>
        <v>0</v>
      </c>
      <c r="R915">
        <f t="array" ref="R915">SUMIF(R900:R914,"&gt;0")</f>
        <v>0</v>
      </c>
      <c r="S915">
        <f t="array" ref="S915">SUMIF(S900:S914,"&gt;0")</f>
        <v>0</v>
      </c>
      <c r="T915">
        <f t="array" ref="T915">SUMIF(T900:T914,"&gt;0")</f>
        <v>0</v>
      </c>
      <c r="U915">
        <f t="array" ref="U915">SUMIF(U900:U914,"&gt;0")</f>
        <v>0</v>
      </c>
      <c r="V915">
        <f t="array" ref="V915">SUMIF(V900:V914,"&gt;0")</f>
        <v>0</v>
      </c>
      <c r="W915">
        <f t="array" ref="W915">SUMIF(W900:W914,"&gt;0")</f>
        <v>0</v>
      </c>
      <c r="X915">
        <f t="array" ref="X915">SUMIF(X900:X914,"&gt;0")</f>
        <v>0</v>
      </c>
      <c r="Y915">
        <f t="array" ref="Y915">SUMIF(Y900:Y914,"&gt;0")</f>
        <v>0</v>
      </c>
      <c r="Z915">
        <f t="array" ref="Z915">SUMIF(Z900:Z914,"&gt;0")</f>
        <v>0</v>
      </c>
      <c r="AA915">
        <f t="array" ref="AA915">SUMIF(AA900:AA914,"&gt;0")</f>
        <v>0</v>
      </c>
      <c r="AB915">
        <f t="array" ref="AB915">SUMIF(AB900:AB914,"&gt;0")</f>
        <v>0</v>
      </c>
      <c r="AR915" s="25"/>
    </row>
    <row r="916" spans="1:44" x14ac:dyDescent="0.25">
      <c r="A916" t="s">
        <v>58</v>
      </c>
      <c r="C916" s="2">
        <f t="array" ref="C916">IF((K915+L915)&lt;&gt;0, (L915/(K915+L915)),0)</f>
        <v>0</v>
      </c>
      <c r="J916" s="6">
        <f t="array" ref="J916">J915*10</f>
        <v>0</v>
      </c>
      <c r="K916" s="6"/>
      <c r="P916" t="s">
        <v>95</v>
      </c>
      <c r="Q916" s="2" t="e">
        <f t="array" ref="Q916">Q915/$F915</f>
        <v>#DIV/0!</v>
      </c>
      <c r="R916" s="2" t="e">
        <f t="array" ref="R916">R915/$F915</f>
        <v>#DIV/0!</v>
      </c>
      <c r="S916" s="2" t="e">
        <f t="array" ref="S916">S915/$F915</f>
        <v>#DIV/0!</v>
      </c>
      <c r="T916" s="2" t="e">
        <f t="array" ref="T916">T915/$F915</f>
        <v>#DIV/0!</v>
      </c>
      <c r="U916" s="2" t="e">
        <f t="array" ref="U916">U915/$F915</f>
        <v>#DIV/0!</v>
      </c>
      <c r="V916" s="2" t="e">
        <f t="array" ref="V916">V915/$F915</f>
        <v>#DIV/0!</v>
      </c>
      <c r="W916" s="2" t="e">
        <f t="array" ref="W916">W915/$F915</f>
        <v>#DIV/0!</v>
      </c>
      <c r="X916" s="2" t="e">
        <f t="array" ref="X916">X915/$F915</f>
        <v>#DIV/0!</v>
      </c>
      <c r="Z916" s="2" t="e">
        <f t="array" ref="Z916">Z915/F915</f>
        <v>#DIV/0!</v>
      </c>
      <c r="AR916" s="25"/>
    </row>
    <row r="917" spans="1:44" x14ac:dyDescent="0.25">
      <c r="A917" t="s">
        <v>60</v>
      </c>
      <c r="C917" s="2">
        <f t="array" ref="C917">IF((M915+N915)&lt;&gt;0, (N915/(M915+N915)),0)</f>
        <v>0</v>
      </c>
      <c r="J917" s="6"/>
      <c r="K917" s="6"/>
      <c r="AR917" s="25"/>
    </row>
    <row r="918" spans="1:44" ht="28.5" x14ac:dyDescent="0.45">
      <c r="A918" t="s">
        <v>61</v>
      </c>
      <c r="C918" s="2">
        <f t="array" ref="C918">IF(((K915+N915+L915+M915)&lt;&gt;0), ((L915+N915)/(K915+N915+L915+M915)),0)</f>
        <v>0</v>
      </c>
      <c r="F918" s="17" t="s">
        <v>106</v>
      </c>
      <c r="G918" s="17" t="e">
        <f t="array" ref="G918">'Weighting &amp; Ranking Sheet'!$B$3*Math!$C916+'Weighting &amp; Ranking Sheet'!$B$4*Math!$C917+'Weighting &amp; Ranking Sheet'!$B$5*Math!$C918+'Weighting &amp; Ranking Sheet'!$B$6*Math!$C919+'Weighting &amp; Ranking Sheet'!$B$7*Math!$C903+'Weighting &amp; Ranking Sheet'!$B$8*Math!$C915+'Weighting &amp; Ranking Sheet'!$B$9*Math!$C922+'Weighting &amp; Ranking Sheet'!$B$10*Math!$C920+'Weighting &amp; Ranking Sheet'!$B$11*Math!$C921+'Weighting &amp; Ranking Sheet'!$B$12*Math!$C923*0.01+'Weighting &amp; Ranking Sheet'!$B$13*Math!$Q916+'Weighting &amp; Ranking Sheet'!$B$14*Math!$R916+'Weighting &amp; Ranking Sheet'!$B$15*Math!$S916+'Weighting &amp; Ranking Sheet'!$B$16*Math!$T916+'Weighting &amp; Ranking Sheet'!$B$17*Math!$U916+'Weighting &amp; Ranking Sheet'!$B$18*Math!$V916+'Weighting &amp; Ranking Sheet'!$B$2*Math!$Z916</f>
        <v>#DIV/0!</v>
      </c>
      <c r="J918"/>
      <c r="K918" s="6"/>
      <c r="AR918" s="25"/>
    </row>
    <row r="919" spans="1:44" x14ac:dyDescent="0.25">
      <c r="A919" t="s">
        <v>62</v>
      </c>
      <c r="C919" s="2">
        <f t="array" ref="C919">IF((O915+P915&lt;&gt;0),(P915/(O915+P915)), 0)</f>
        <v>0</v>
      </c>
      <c r="J919"/>
      <c r="K919" s="6"/>
      <c r="AR919" s="25"/>
    </row>
    <row r="920" spans="1:44" x14ac:dyDescent="0.25">
      <c r="A920" t="s">
        <v>77</v>
      </c>
      <c r="C920" s="8" t="e">
        <f t="array" ref="C920">W915/F915</f>
        <v>#DIV/0!</v>
      </c>
      <c r="J920"/>
      <c r="K920" s="6"/>
      <c r="AR920" s="23"/>
    </row>
    <row r="921" spans="1:44" x14ac:dyDescent="0.25">
      <c r="A921" t="s">
        <v>78</v>
      </c>
      <c r="C921" s="8" t="e">
        <f t="array" ref="C921">X915/F915</f>
        <v>#DIV/0!</v>
      </c>
      <c r="J921"/>
      <c r="K921" s="6"/>
    </row>
    <row r="922" spans="1:44" x14ac:dyDescent="0.25">
      <c r="A922" t="s">
        <v>91</v>
      </c>
      <c r="C922" s="2" t="e">
        <f t="array" ref="C922">(C903+C915)/2</f>
        <v>#DIV/0!</v>
      </c>
      <c r="J922"/>
      <c r="K922" s="6"/>
    </row>
    <row r="923" spans="1:44" x14ac:dyDescent="0.25">
      <c r="A923" t="s">
        <v>92</v>
      </c>
      <c r="C923" s="8" t="e">
        <f t="array" ref="C923">Y915/F915</f>
        <v>#DIV/0!</v>
      </c>
      <c r="J923"/>
      <c r="K923" s="6"/>
    </row>
    <row r="924" spans="1:44" x14ac:dyDescent="0.25">
      <c r="C924" s="8"/>
      <c r="J924"/>
      <c r="K924" s="6"/>
    </row>
    <row r="925" spans="1:44" x14ac:dyDescent="0.25">
      <c r="C925" s="8"/>
      <c r="J925"/>
      <c r="K925" s="6"/>
    </row>
    <row r="926" spans="1:44" x14ac:dyDescent="0.25">
      <c r="J926" s="6"/>
      <c r="K926" s="6"/>
    </row>
    <row r="927" spans="1:44" x14ac:dyDescent="0.25">
      <c r="A927" t="s">
        <v>3</v>
      </c>
      <c r="C927" s="5">
        <v>3929</v>
      </c>
      <c r="F927" t="s">
        <v>33</v>
      </c>
    </row>
    <row r="928" spans="1:44" x14ac:dyDescent="0.25">
      <c r="F928" t="e">
        <f t="array" ref="F928">SMALL(IF('Raw Data'!A:A=C927,ROW('Raw Data'!A:A)),ROW('Raw Data'!$1:$1))</f>
        <v>#NUM!</v>
      </c>
      <c r="G928" t="e">
        <f t="array" ref="G928">INDEX('Raw Data'!A:A,F928,9)</f>
        <v>#NUM!</v>
      </c>
      <c r="H928" t="e">
        <f t="array" ref="H928">INDEX('Raw Data'!A:A,F928,10)</f>
        <v>#NUM!</v>
      </c>
      <c r="I928" t="e">
        <f t="array" ref="I928">INDEX('Raw Data'!$A:A,$F928,11)</f>
        <v>#NUM!</v>
      </c>
      <c r="J928" t="e">
        <f t="array" ref="J928">INDEX('Raw Data'!$A:A,F928,12)</f>
        <v>#NUM!</v>
      </c>
      <c r="K928" t="e">
        <f>(--INDEX('Raw Data'!$A$4:B$993,F928,4))</f>
        <v>#NUM!</v>
      </c>
      <c r="L928" t="e">
        <f t="array" ref="L928">(--INDEX('Raw Data'!$A$4:B$993,F928,5))</f>
        <v>#NUM!</v>
      </c>
      <c r="M928" t="e">
        <f t="array" ref="M928">(--INDEX('Raw Data'!$A$4:D$993,$F928,6))</f>
        <v>#NUM!</v>
      </c>
      <c r="N928" t="e">
        <f t="array" ref="N928">(--INDEX('Raw Data'!$A$4:D$993,$F928,7))</f>
        <v>#NUM!</v>
      </c>
      <c r="O928" t="e">
        <f t="array" ref="O928">IF(--INDEX('Raw Data'!$A$4:E$993,$F928,8)= 0, 1, 0)</f>
        <v>#NUM!</v>
      </c>
      <c r="P928" t="e">
        <f t="array" ref="P928">IF(--INDEX('Raw Data'!$A$4:F$993,$F928,8)= 1, 1, 0)</f>
        <v>#NUM!</v>
      </c>
      <c r="Q928" t="e">
        <f t="array" ref="Q928">IF(--INDEX('Raw Data'!$A$4:G$993,$F928,13)= 1, 1, 0)</f>
        <v>#NUM!</v>
      </c>
      <c r="R928" t="e">
        <f t="array" ref="R928">IF(--INDEX('Raw Data'!$A$4:H$993,$F928,14)= 1, 1, 0)</f>
        <v>#NUM!</v>
      </c>
      <c r="S928" t="e">
        <f t="array" ref="S928">IF(--INDEX('Raw Data'!$A$4:I$993,$F928,15)= 1, 1, 0)</f>
        <v>#NUM!</v>
      </c>
      <c r="T928" t="e">
        <f t="array" ref="T928">IF(--INDEX('Raw Data'!$A$4:I$993,$F928,15)= 1, 1, 0)</f>
        <v>#NUM!</v>
      </c>
      <c r="U928" t="e">
        <f t="array" ref="U928">IF(--INDEX('Raw Data'!$A$4:J$993,$F928,16)= 1, 1, 0)</f>
        <v>#NUM!</v>
      </c>
      <c r="V928" t="e">
        <f t="array" ref="V928">IF(--INDEX('Raw Data'!$A$4:K$993,$F928,17)= 1, 1, 0)</f>
        <v>#NUM!</v>
      </c>
      <c r="W928" t="e">
        <f t="array" ref="W928">INDEX('Raw Data'!$A:$O,$F928,19)</f>
        <v>#NUM!</v>
      </c>
      <c r="X928" t="e">
        <f t="array" ref="X928">INDEX('Raw Data'!$A:$O,$F928,20)</f>
        <v>#NUM!</v>
      </c>
      <c r="Y928" t="e">
        <f t="array" ref="Y928">INDEX('Raw Data'!$A:$O,F928,21)</f>
        <v>#NUM!</v>
      </c>
      <c r="Z928" t="e">
        <f t="array" ref="Z928">INDEX('Raw Data'!$A:$O,$F928,3)</f>
        <v>#NUM!</v>
      </c>
      <c r="AA928" t="e">
        <f t="array" ref="AA928">INDEX('Raw Data'!$A:$O,$F928,22)</f>
        <v>#NUM!</v>
      </c>
      <c r="AB928" t="e">
        <f t="array" ref="AB928">INDEX('Raw Data'!$A:$O,$F928,23)</f>
        <v>#NUM!</v>
      </c>
    </row>
    <row r="929" spans="1:44" x14ac:dyDescent="0.25">
      <c r="A929" t="s">
        <v>0</v>
      </c>
      <c r="B929">
        <f>G943</f>
        <v>0</v>
      </c>
      <c r="F929" t="e">
        <f t="array" ref="F929">SMALL(IF('Raw Data'!A:A=C927,ROW('Raw Data'!A:A)),ROW('Raw Data'!$2:$2))</f>
        <v>#NUM!</v>
      </c>
      <c r="G929" t="e">
        <f t="array" ref="G929">INDEX('Raw Data'!A:A,F929,9)</f>
        <v>#NUM!</v>
      </c>
      <c r="H929" t="e">
        <f t="array" ref="H929">INDEX('Raw Data'!A:A,F929,10)</f>
        <v>#NUM!</v>
      </c>
      <c r="I929" t="e">
        <f t="array" ref="I929">INDEX('Raw Data'!$A:A,$F929,11)</f>
        <v>#NUM!</v>
      </c>
      <c r="J929" t="e">
        <f t="array" ref="J929">INDEX('Raw Data'!$A:A,F929,12)</f>
        <v>#NUM!</v>
      </c>
      <c r="K929" t="e">
        <f>(--INDEX('Raw Data'!$A$4:B$993,F929,4))</f>
        <v>#NUM!</v>
      </c>
      <c r="L929" t="e">
        <f t="array" ref="L929">(--INDEX('Raw Data'!$A$4:B$993,F929,5))</f>
        <v>#NUM!</v>
      </c>
      <c r="M929" t="e">
        <f t="array" ref="M929">(--INDEX('Raw Data'!$A$4:D$993,$F929,6))</f>
        <v>#NUM!</v>
      </c>
      <c r="N929" t="e">
        <f t="array" ref="N929">(--INDEX('Raw Data'!$A$4:D$993,$F929,7))</f>
        <v>#NUM!</v>
      </c>
      <c r="O929" t="e">
        <f t="array" ref="O929">IF(--INDEX('Raw Data'!$A$4:E$993,$F929,8)= 0, 1, 0)</f>
        <v>#NUM!</v>
      </c>
      <c r="P929" t="e">
        <f t="array" ref="P929">IF(--INDEX('Raw Data'!$A$4:F$993,$F929,8)= 1, 1, 0)</f>
        <v>#NUM!</v>
      </c>
      <c r="Q929" t="e">
        <f t="array" ref="Q929">IF(--INDEX('Raw Data'!$A$4:G$993,$F929,13)= 1, 1, 0)</f>
        <v>#NUM!</v>
      </c>
      <c r="R929" t="e">
        <f t="array" ref="R929">IF(--INDEX('Raw Data'!$A$4:H$993,$F929,14)= 1, 1, 0)</f>
        <v>#NUM!</v>
      </c>
      <c r="S929" t="e">
        <f t="array" ref="S929">IF(--INDEX('Raw Data'!$A$4:I$993,$F929,15)= 1, 1, 0)</f>
        <v>#NUM!</v>
      </c>
      <c r="T929" t="e">
        <f t="array" ref="T929">IF(--INDEX('Raw Data'!$A$4:I$993,$F929,15)= 1, 1, 0)</f>
        <v>#NUM!</v>
      </c>
      <c r="U929" t="e">
        <f t="array" ref="U929">IF(--INDEX('Raw Data'!$A$4:J$993,$F929,16)= 1, 1, 0)</f>
        <v>#NUM!</v>
      </c>
      <c r="V929" t="e">
        <f t="array" ref="V929">IF(--INDEX('Raw Data'!$A$4:K$993,$F929,17)= 1, 1, 0)</f>
        <v>#NUM!</v>
      </c>
      <c r="W929" t="e">
        <f t="array" ref="W929">INDEX('Raw Data'!$A:$O,$F929,19)</f>
        <v>#NUM!</v>
      </c>
      <c r="X929" t="e">
        <f t="array" ref="X929">INDEX('Raw Data'!$A:$O,$F929,20)</f>
        <v>#NUM!</v>
      </c>
      <c r="Y929" t="e">
        <f t="array" ref="Y929">INDEX('Raw Data'!$A:$O,F929,21)</f>
        <v>#NUM!</v>
      </c>
      <c r="Z929" t="e">
        <f t="array" ref="Z929">INDEX('Raw Data'!$A:$O,$F929,3)</f>
        <v>#NUM!</v>
      </c>
      <c r="AA929" t="e">
        <f t="array" ref="AA929">INDEX('Raw Data'!$A:$O,$F929,22)</f>
        <v>#NUM!</v>
      </c>
      <c r="AB929" t="e">
        <f t="array" ref="AB929">INDEX('Raw Data'!$A:$O,$F929,23)</f>
        <v>#NUM!</v>
      </c>
    </row>
    <row r="930" spans="1:44" x14ac:dyDescent="0.25">
      <c r="A930" t="s">
        <v>1</v>
      </c>
      <c r="B930">
        <f>H943</f>
        <v>0</v>
      </c>
      <c r="F930" t="e">
        <f t="array" ref="F930">SMALL(IF('Raw Data'!A:A=C927,ROW('Raw Data'!A:A)),ROW('Raw Data'!$3:$3))</f>
        <v>#NUM!</v>
      </c>
      <c r="G930" t="e">
        <f t="array" ref="G930">INDEX('Raw Data'!A:A,F930,9)</f>
        <v>#NUM!</v>
      </c>
      <c r="H930" t="e">
        <f t="array" ref="H930">INDEX('Raw Data'!A:A,F930,10)</f>
        <v>#NUM!</v>
      </c>
      <c r="I930" t="e">
        <f t="array" ref="I930">INDEX('Raw Data'!$A:A,$F930,11)</f>
        <v>#NUM!</v>
      </c>
      <c r="J930" t="e">
        <f t="array" ref="J930">INDEX('Raw Data'!$A:A,F930,12)</f>
        <v>#NUM!</v>
      </c>
      <c r="K930" t="e">
        <f>(--INDEX('Raw Data'!$A$4:B$993,F930,4))</f>
        <v>#NUM!</v>
      </c>
      <c r="L930" t="e">
        <f t="array" ref="L930">(--INDEX('Raw Data'!$A$4:B$993,F930,5))</f>
        <v>#NUM!</v>
      </c>
      <c r="M930" t="e">
        <f t="array" ref="M930">(--INDEX('Raw Data'!$A$4:D$993,$F930,6))</f>
        <v>#NUM!</v>
      </c>
      <c r="N930" t="e">
        <f t="array" ref="N930">(--INDEX('Raw Data'!$A$4:D$993,$F930,7))</f>
        <v>#NUM!</v>
      </c>
      <c r="O930" t="e">
        <f t="array" ref="O930">IF(--INDEX('Raw Data'!$A$4:E$993,$F930,8)= 0, 1, 0)</f>
        <v>#NUM!</v>
      </c>
      <c r="P930" t="e">
        <f t="array" ref="P930">IF(--INDEX('Raw Data'!$A$4:F$993,$F930,8)= 1, 1, 0)</f>
        <v>#NUM!</v>
      </c>
      <c r="Q930" t="e">
        <f t="array" ref="Q930">IF(--INDEX('Raw Data'!$A$4:G$993,$F930,13)= 1, 1, 0)</f>
        <v>#NUM!</v>
      </c>
      <c r="R930" t="e">
        <f t="array" ref="R930">IF(--INDEX('Raw Data'!$A$4:H$993,$F930,14)= 1, 1, 0)</f>
        <v>#NUM!</v>
      </c>
      <c r="S930" t="e">
        <f t="array" ref="S930">IF(--INDEX('Raw Data'!$A$4:I$993,$F930,15)= 1, 1, 0)</f>
        <v>#NUM!</v>
      </c>
      <c r="T930" t="e">
        <f t="array" ref="T930">IF(--INDEX('Raw Data'!$A$4:I$993,$F930,15)= 1, 1, 0)</f>
        <v>#NUM!</v>
      </c>
      <c r="U930" t="e">
        <f t="array" ref="U930">IF(--INDEX('Raw Data'!$A$4:J$993,$F930,16)= 1, 1, 0)</f>
        <v>#NUM!</v>
      </c>
      <c r="V930" t="e">
        <f t="array" ref="V930">IF(--INDEX('Raw Data'!$A$4:K$993,$F930,17)= 1, 1, 0)</f>
        <v>#NUM!</v>
      </c>
      <c r="W930" t="e">
        <f t="array" ref="W930">INDEX('Raw Data'!$A:$O,$F930,19)</f>
        <v>#NUM!</v>
      </c>
      <c r="X930" t="e">
        <f t="array" ref="X930">INDEX('Raw Data'!$A:$O,$F930,20)</f>
        <v>#NUM!</v>
      </c>
      <c r="Y930" t="e">
        <f t="array" ref="Y930">INDEX('Raw Data'!$A:$O,F930,21)</f>
        <v>#NUM!</v>
      </c>
      <c r="Z930" t="e">
        <f t="array" ref="Z930">INDEX('Raw Data'!$A:$O,$F930,3)</f>
        <v>#NUM!</v>
      </c>
      <c r="AA930" t="e">
        <f t="array" ref="AA930">INDEX('Raw Data'!$A:$O,$F930,22)</f>
        <v>#NUM!</v>
      </c>
      <c r="AB930" t="e">
        <f t="array" ref="AB930">INDEX('Raw Data'!$A:$O,$F930,23)</f>
        <v>#NUM!</v>
      </c>
    </row>
    <row r="931" spans="1:44" x14ac:dyDescent="0.25">
      <c r="A931" t="s">
        <v>2</v>
      </c>
      <c r="C931" s="3" t="e">
        <f>B930/B929</f>
        <v>#DIV/0!</v>
      </c>
      <c r="F931" t="e">
        <f t="array" ref="F931">SMALL(IF('Raw Data'!A:A=C927,ROW('Raw Data'!A:A)),ROW('Raw Data'!$4:$4))</f>
        <v>#NUM!</v>
      </c>
      <c r="G931" t="e">
        <f t="array" ref="G931">INDEX('Raw Data'!A:A,F931,9)</f>
        <v>#NUM!</v>
      </c>
      <c r="H931" t="e">
        <f t="array" ref="H931">INDEX('Raw Data'!A:A,F931,10)</f>
        <v>#NUM!</v>
      </c>
      <c r="I931" t="e">
        <f t="array" ref="I931">INDEX('Raw Data'!$A:A,$F931,11)</f>
        <v>#NUM!</v>
      </c>
      <c r="J931" t="e">
        <f t="array" ref="J931">INDEX('Raw Data'!$A:A,F931,12)</f>
        <v>#NUM!</v>
      </c>
      <c r="K931" t="e">
        <f>(--INDEX('Raw Data'!$A$4:B$993,F931,4))</f>
        <v>#NUM!</v>
      </c>
      <c r="L931" t="e">
        <f t="array" ref="L931">(--INDEX('Raw Data'!$A$4:B$993,F931,5))</f>
        <v>#NUM!</v>
      </c>
      <c r="M931" t="e">
        <f t="array" ref="M931">(--INDEX('Raw Data'!$A$4:D$993,$F931,6))</f>
        <v>#NUM!</v>
      </c>
      <c r="N931" t="e">
        <f t="array" ref="N931">(--INDEX('Raw Data'!$A$4:D$993,$F931,7))</f>
        <v>#NUM!</v>
      </c>
      <c r="O931" t="e">
        <f t="array" ref="O931">IF(--INDEX('Raw Data'!$A$4:E$993,$F931,8)= 0, 1, 0)</f>
        <v>#NUM!</v>
      </c>
      <c r="P931" t="e">
        <f t="array" ref="P931">IF(--INDEX('Raw Data'!$A$4:F$993,$F931,8)= 1, 1, 0)</f>
        <v>#NUM!</v>
      </c>
      <c r="Q931" t="e">
        <f t="array" ref="Q931">IF(--INDEX('Raw Data'!$A$4:G$993,$F931,13)= 1, 1, 0)</f>
        <v>#NUM!</v>
      </c>
      <c r="R931" t="e">
        <f t="array" ref="R931">IF(--INDEX('Raw Data'!$A$4:H$993,$F931,14)= 1, 1, 0)</f>
        <v>#NUM!</v>
      </c>
      <c r="S931" t="e">
        <f t="array" ref="S931">IF(--INDEX('Raw Data'!$A$4:I$993,$F931,15)= 1, 1, 0)</f>
        <v>#NUM!</v>
      </c>
      <c r="T931" t="e">
        <f t="array" ref="T931">IF(--INDEX('Raw Data'!$A$4:I$993,$F931,15)= 1, 1, 0)</f>
        <v>#NUM!</v>
      </c>
      <c r="U931" t="e">
        <f t="array" ref="U931">IF(--INDEX('Raw Data'!$A$4:J$993,$F931,16)= 1, 1, 0)</f>
        <v>#NUM!</v>
      </c>
      <c r="V931" t="e">
        <f t="array" ref="V931">IF(--INDEX('Raw Data'!$A$4:K$993,$F931,17)= 1, 1, 0)</f>
        <v>#NUM!</v>
      </c>
      <c r="W931" t="e">
        <f t="array" ref="W931">INDEX('Raw Data'!$A:$O,$F931,19)</f>
        <v>#NUM!</v>
      </c>
      <c r="X931" t="e">
        <f t="array" ref="X931">INDEX('Raw Data'!$A:$O,$F931,20)</f>
        <v>#NUM!</v>
      </c>
      <c r="Y931" t="e">
        <f t="array" ref="Y931">INDEX('Raw Data'!$A:$O,F931,21)</f>
        <v>#NUM!</v>
      </c>
      <c r="Z931" t="e">
        <f t="array" ref="Z931">INDEX('Raw Data'!$A:$O,$F931,3)</f>
        <v>#NUM!</v>
      </c>
      <c r="AA931" t="e">
        <f t="array" ref="AA931">INDEX('Raw Data'!$A:$O,$F931,22)</f>
        <v>#NUM!</v>
      </c>
      <c r="AB931" t="e">
        <f t="array" ref="AB931">INDEX('Raw Data'!$A:$O,$F931,23)</f>
        <v>#NUM!</v>
      </c>
    </row>
    <row r="932" spans="1:44" x14ac:dyDescent="0.25">
      <c r="A932" t="s">
        <v>54</v>
      </c>
      <c r="B932">
        <f>I943</f>
        <v>0</v>
      </c>
      <c r="F932" t="e">
        <f t="array" ref="F932">SMALL(IF('Raw Data'!A:A=C927,ROW('Raw Data'!A:A)),ROW('Raw Data'!$5:$5))</f>
        <v>#NUM!</v>
      </c>
      <c r="G932" t="e">
        <f t="array" ref="G932">INDEX('Raw Data'!A:A,F932,9)</f>
        <v>#NUM!</v>
      </c>
      <c r="H932" t="e">
        <f t="array" ref="H932">INDEX('Raw Data'!A:A,F932,10)</f>
        <v>#NUM!</v>
      </c>
      <c r="I932" t="e">
        <f t="array" ref="I932">INDEX('Raw Data'!$A:A,$F932,11)</f>
        <v>#NUM!</v>
      </c>
      <c r="J932" t="e">
        <f t="array" ref="J932">INDEX('Raw Data'!$A:A,F932,12)</f>
        <v>#NUM!</v>
      </c>
      <c r="K932" t="e">
        <f>(--INDEX('Raw Data'!$A$4:B$993,F932,4))</f>
        <v>#NUM!</v>
      </c>
      <c r="L932" t="e">
        <f t="array" ref="L932">(--INDEX('Raw Data'!$A$4:B$993,F932,5))</f>
        <v>#NUM!</v>
      </c>
      <c r="M932" t="e">
        <f t="array" ref="M932">(--INDEX('Raw Data'!$A$4:D$993,$F932,6))</f>
        <v>#NUM!</v>
      </c>
      <c r="N932" t="e">
        <f t="array" ref="N932">(--INDEX('Raw Data'!$A$4:D$993,$F932,7))</f>
        <v>#NUM!</v>
      </c>
      <c r="O932" t="e">
        <f t="array" ref="O932">IF(--INDEX('Raw Data'!$A$4:E$993,$F932,8)= 0, 1, 0)</f>
        <v>#NUM!</v>
      </c>
      <c r="P932" t="e">
        <f t="array" ref="P932">IF(--INDEX('Raw Data'!$A$4:F$993,$F932,8)= 1, 1, 0)</f>
        <v>#NUM!</v>
      </c>
      <c r="Q932" t="e">
        <f t="array" ref="Q932">IF(--INDEX('Raw Data'!$A$4:G$993,$F932,13)= 1, 1, 0)</f>
        <v>#NUM!</v>
      </c>
      <c r="R932" t="e">
        <f t="array" ref="R932">IF(--INDEX('Raw Data'!$A$4:H$993,$F932,14)= 1, 1, 0)</f>
        <v>#NUM!</v>
      </c>
      <c r="S932" t="e">
        <f t="array" ref="S932">IF(--INDEX('Raw Data'!$A$4:I$993,$F932,15)= 1, 1, 0)</f>
        <v>#NUM!</v>
      </c>
      <c r="T932" t="e">
        <f t="array" ref="T932">IF(--INDEX('Raw Data'!$A$4:I$993,$F932,15)= 1, 1, 0)</f>
        <v>#NUM!</v>
      </c>
      <c r="U932" t="e">
        <f t="array" ref="U932">IF(--INDEX('Raw Data'!$A$4:J$993,$F932,16)= 1, 1, 0)</f>
        <v>#NUM!</v>
      </c>
      <c r="V932" t="e">
        <f t="array" ref="V932">IF(--INDEX('Raw Data'!$A$4:K$993,$F932,17)= 1, 1, 0)</f>
        <v>#NUM!</v>
      </c>
      <c r="W932" t="e">
        <f t="array" ref="W932">INDEX('Raw Data'!$A:$O,$F932,19)</f>
        <v>#NUM!</v>
      </c>
      <c r="X932" t="e">
        <f t="array" ref="X932">INDEX('Raw Data'!$A:$O,$F932,20)</f>
        <v>#NUM!</v>
      </c>
      <c r="Y932" t="e">
        <f t="array" ref="Y932">INDEX('Raw Data'!$A:$O,F932,21)</f>
        <v>#NUM!</v>
      </c>
      <c r="Z932" t="e">
        <f t="array" ref="Z932">INDEX('Raw Data'!$A:$O,$F932,3)</f>
        <v>#NUM!</v>
      </c>
      <c r="AA932" t="e">
        <f t="array" ref="AA932">INDEX('Raw Data'!$A:$O,$F932,22)</f>
        <v>#NUM!</v>
      </c>
      <c r="AB932" t="e">
        <f t="array" ref="AB932">INDEX('Raw Data'!$A:$O,$F932,23)</f>
        <v>#NUM!</v>
      </c>
      <c r="AR932" s="25"/>
    </row>
    <row r="933" spans="1:44" x14ac:dyDescent="0.25">
      <c r="A933" t="s">
        <v>35</v>
      </c>
      <c r="B933">
        <f>J943</f>
        <v>0</v>
      </c>
      <c r="F933" t="e">
        <f t="array" ref="F933">SMALL(IF('Raw Data'!A:A=C927,ROW('Raw Data'!A:A)),ROW('Raw Data'!$6:$6))</f>
        <v>#NUM!</v>
      </c>
      <c r="G933" t="e">
        <f t="array" ref="G933">INDEX('Raw Data'!A:A,F933,9)</f>
        <v>#NUM!</v>
      </c>
      <c r="H933" t="e">
        <f t="array" ref="H933">INDEX('Raw Data'!A:A,F933,10)</f>
        <v>#NUM!</v>
      </c>
      <c r="I933" t="e">
        <f t="array" ref="I933">INDEX('Raw Data'!$A:A,$F933,11)</f>
        <v>#NUM!</v>
      </c>
      <c r="J933" t="e">
        <f t="array" ref="J933">INDEX('Raw Data'!$A:A,F933,12)</f>
        <v>#NUM!</v>
      </c>
      <c r="K933" t="e">
        <f>(--INDEX('Raw Data'!$A$4:B$993,F933,4))</f>
        <v>#NUM!</v>
      </c>
      <c r="L933" t="e">
        <f t="array" ref="L933">(--INDEX('Raw Data'!$A$4:B$998,F933,5))</f>
        <v>#NUM!</v>
      </c>
      <c r="M933" t="e">
        <f t="array" ref="M933">(--INDEX('Raw Data'!$A$4:D$998,$F933,6))</f>
        <v>#NUM!</v>
      </c>
      <c r="N933" t="e">
        <f t="array" ref="N933">(--INDEX('Raw Data'!$A$4:D$993,$F933,7))</f>
        <v>#NUM!</v>
      </c>
      <c r="O933" t="e">
        <f t="array" ref="O933">IF(--INDEX('Raw Data'!$A$4:E$993,$F933,8)= 0, 1, 0)</f>
        <v>#NUM!</v>
      </c>
      <c r="P933" t="e">
        <f t="array" ref="P933">IF(--INDEX('Raw Data'!$A$4:F$998,$F933,8)= 1, 1, 0)</f>
        <v>#NUM!</v>
      </c>
      <c r="Q933" t="e">
        <f t="array" ref="Q933">IF(--INDEX('Raw Data'!$A$4:G$998,$F933,13)= 1, 1, 0)</f>
        <v>#NUM!</v>
      </c>
      <c r="R933" t="e">
        <f t="array" ref="R933">IF(--INDEX('Raw Data'!$A$4:H$998,$F933,14)= 1, 1, 0)</f>
        <v>#NUM!</v>
      </c>
      <c r="S933" t="e">
        <f t="array" ref="S933">IF(--INDEX('Raw Data'!$A$4:I$993,$F933,15)= 1, 1, 0)</f>
        <v>#NUM!</v>
      </c>
      <c r="T933" t="e">
        <f t="array" ref="T933">IF(--INDEX('Raw Data'!$A$4:I$998,$F933,15)= 1, 1, 0)</f>
        <v>#NUM!</v>
      </c>
      <c r="U933" t="e">
        <f t="array" ref="U933">IF(--INDEX('Raw Data'!$A$4:J$998,$F933,16)= 1, 1, 0)</f>
        <v>#NUM!</v>
      </c>
      <c r="V933" t="e">
        <f t="array" ref="V933">IF(--INDEX('Raw Data'!$A$4:K$993,$F933,17)= 1, 1, 0)</f>
        <v>#NUM!</v>
      </c>
      <c r="W933" t="e">
        <f t="array" ref="W933">INDEX('Raw Data'!$A:$O,$F933,19)</f>
        <v>#NUM!</v>
      </c>
      <c r="X933" t="e">
        <f t="array" ref="X933">INDEX('Raw Data'!$A:$O,$F933,20)</f>
        <v>#NUM!</v>
      </c>
      <c r="Y933" t="e">
        <f t="array" ref="Y933">INDEX('Raw Data'!$A:$O,F933,21)</f>
        <v>#NUM!</v>
      </c>
      <c r="Z933" t="e">
        <f t="array" ref="Z933">INDEX('Raw Data'!$A:$O,$F933,3)</f>
        <v>#NUM!</v>
      </c>
      <c r="AA933" t="e">
        <f t="array" ref="AA933">INDEX('Raw Data'!$A:$O,$F933,22)</f>
        <v>#NUM!</v>
      </c>
      <c r="AB933" t="e">
        <f t="array" ref="AB933">INDEX('Raw Data'!$A:$O,$F933,23)</f>
        <v>#NUM!</v>
      </c>
      <c r="AR933" s="25"/>
    </row>
    <row r="934" spans="1:44" ht="28.5" x14ac:dyDescent="0.45">
      <c r="F934" t="e">
        <f t="array" ref="F934">SMALL(IF('Raw Data'!A:A=C927,ROW('Raw Data'!A:A)),ROW('Raw Data'!$7:$7))</f>
        <v>#NUM!</v>
      </c>
      <c r="G934" t="e">
        <f t="array" ref="G934">INDEX('Raw Data'!A:A,F934,9)</f>
        <v>#NUM!</v>
      </c>
      <c r="H934" t="e">
        <f t="array" ref="H934">INDEX('Raw Data'!A:A,F934,10)</f>
        <v>#NUM!</v>
      </c>
      <c r="I934" t="e">
        <f t="array" ref="I934">INDEX('Raw Data'!$A:A,$F934,11)</f>
        <v>#NUM!</v>
      </c>
      <c r="J934" t="e">
        <f t="array" ref="J934">INDEX('Raw Data'!$A:A,F934,12)</f>
        <v>#NUM!</v>
      </c>
      <c r="K934" t="e">
        <f t="array" ref="K934">(--INDEX('Raw Data'!$A$4:B$998,F934,4))</f>
        <v>#NUM!</v>
      </c>
      <c r="L934" t="e">
        <f t="array" ref="L934">(--INDEX('Raw Data'!$A$4:B$998,F934,5))</f>
        <v>#NUM!</v>
      </c>
      <c r="M934" t="e">
        <f t="array" ref="M934">(--INDEX('Raw Data'!$A$4:D$998,$F934,6))</f>
        <v>#NUM!</v>
      </c>
      <c r="N934" t="e">
        <f t="array" ref="N934">(--INDEX('Raw Data'!$A$4:D$998,$F934,7))</f>
        <v>#NUM!</v>
      </c>
      <c r="O934" t="e">
        <f t="array" ref="O934">IF(--INDEX('Raw Data'!$A$4:E$998,$F934,8)= 0, 1, 0)</f>
        <v>#NUM!</v>
      </c>
      <c r="P934" t="e">
        <f t="array" ref="P934">IF(--INDEX('Raw Data'!$A$4:F$998,$F934,8)= 1, 1, 0)</f>
        <v>#NUM!</v>
      </c>
      <c r="Q934" t="e">
        <f t="array" ref="Q934">IF(--INDEX('Raw Data'!$A$4:G$998,$F934,13)= 1, 1, 0)</f>
        <v>#NUM!</v>
      </c>
      <c r="R934" t="e">
        <f t="array" ref="R934">IF(--INDEX('Raw Data'!$A$4:H$998,$F934,14)= 1, 1, 0)</f>
        <v>#NUM!</v>
      </c>
      <c r="S934" t="e">
        <f t="array" ref="S934">IF(--INDEX('Raw Data'!$A$4:I$998,$F934,15)= 1, 1, 0)</f>
        <v>#NUM!</v>
      </c>
      <c r="T934" t="e">
        <f t="array" ref="T934">IF(--INDEX('Raw Data'!$A$4:I$998,$F934,15)= 1, 1, 0)</f>
        <v>#NUM!</v>
      </c>
      <c r="U934" t="e">
        <f t="array" ref="U934">IF(--INDEX('Raw Data'!$A$4:J$998,$F934,16)= 1, 1, 0)</f>
        <v>#NUM!</v>
      </c>
      <c r="V934" t="e">
        <f t="array" ref="V934">IF(--INDEX('Raw Data'!$A$4:K$998,$F934,17)= 1, 1, 0)</f>
        <v>#NUM!</v>
      </c>
      <c r="W934" t="e">
        <f t="array" ref="W934">INDEX('Raw Data'!$A:$O,$F934,19)</f>
        <v>#NUM!</v>
      </c>
      <c r="X934" t="e">
        <f t="array" ref="X934">INDEX('Raw Data'!$A:$O,$F934,20)</f>
        <v>#NUM!</v>
      </c>
      <c r="Y934" t="e">
        <f t="array" ref="Y934">INDEX('Raw Data'!$A:$O,F934,21)</f>
        <v>#NUM!</v>
      </c>
      <c r="Z934" t="e">
        <f t="array" ref="Z934">INDEX('Raw Data'!$A:$O,$F934,3)</f>
        <v>#NUM!</v>
      </c>
      <c r="AA934" t="e">
        <f t="array" ref="AA934">INDEX('Raw Data'!$A:$O,$F934,22)</f>
        <v>#NUM!</v>
      </c>
      <c r="AB934" t="e">
        <f t="array" ref="AB934">INDEX('Raw Data'!$A:$O,$F934,23)</f>
        <v>#NUM!</v>
      </c>
      <c r="AM934" s="21"/>
      <c r="AR934" s="25"/>
    </row>
    <row r="935" spans="1:44" x14ac:dyDescent="0.25">
      <c r="F935" t="e">
        <f t="array" ref="F935">SMALL(IF('Raw Data'!A:A=C927,ROW('Raw Data'!A:A)),ROW('Raw Data'!$8:$8))</f>
        <v>#NUM!</v>
      </c>
      <c r="G935" t="e">
        <f t="array" ref="G935">INDEX('Raw Data'!A:A,F935,9)</f>
        <v>#NUM!</v>
      </c>
      <c r="H935" t="e">
        <f t="array" ref="H935">INDEX('Raw Data'!A:A,F935,10)</f>
        <v>#NUM!</v>
      </c>
      <c r="I935" t="e">
        <f t="array" ref="I935">INDEX('Raw Data'!$A:A,$F935,11)</f>
        <v>#NUM!</v>
      </c>
      <c r="J935" t="e">
        <f t="array" ref="J935">INDEX('Raw Data'!$A:A,F935,12)</f>
        <v>#NUM!</v>
      </c>
      <c r="K935" t="e">
        <f t="array" ref="K935">(--INDEX('Raw Data'!$A$4:B$998,F935,4))</f>
        <v>#NUM!</v>
      </c>
      <c r="L935" t="e">
        <f t="array" ref="L935">(--INDEX('Raw Data'!$A$4:B$998,F935,5))</f>
        <v>#NUM!</v>
      </c>
      <c r="M935" t="e">
        <f t="array" ref="M935">(--INDEX('Raw Data'!$A$4:D$998,$F935,6))</f>
        <v>#NUM!</v>
      </c>
      <c r="N935" t="e">
        <f t="array" ref="N935">(--INDEX('Raw Data'!$A$4:D$998,$F935,7))</f>
        <v>#NUM!</v>
      </c>
      <c r="O935" t="e">
        <f t="array" ref="O935">IF(--INDEX('Raw Data'!$A$4:E$998,$F935,8)= 0, 1, 0)</f>
        <v>#NUM!</v>
      </c>
      <c r="P935" t="e">
        <f t="array" ref="P935">IF(--INDEX('Raw Data'!$A$4:F$998,$F935,8)= 1, 1, 0)</f>
        <v>#NUM!</v>
      </c>
      <c r="Q935" t="e">
        <f t="array" ref="Q935">IF(--INDEX('Raw Data'!$A$4:G$998,$F935,13)= 1, 1, 0)</f>
        <v>#NUM!</v>
      </c>
      <c r="R935" t="e">
        <f t="array" ref="R935">IF(--INDEX('Raw Data'!$A$4:H$998,$F935,14)= 1, 1, 0)</f>
        <v>#NUM!</v>
      </c>
      <c r="S935" t="e">
        <f t="array" ref="S935">IF(--INDEX('Raw Data'!$A$4:I$998,$F935,15)= 1, 1, 0)</f>
        <v>#NUM!</v>
      </c>
      <c r="T935" t="e">
        <f t="array" ref="T935">IF(--INDEX('Raw Data'!$A$4:I$998,$F935,15)= 1, 1, 0)</f>
        <v>#NUM!</v>
      </c>
      <c r="U935" t="e">
        <f t="array" ref="U935">IF(--INDEX('Raw Data'!$A$4:J$998,$F935,16)= 1, 1, 0)</f>
        <v>#NUM!</v>
      </c>
      <c r="V935" t="e">
        <f t="array" ref="V935">IF(--INDEX('Raw Data'!$A$4:K$998,$F935,17)= 1, 1, 0)</f>
        <v>#NUM!</v>
      </c>
      <c r="W935" t="e">
        <f t="array" ref="W935">INDEX('Raw Data'!$A:$O,$F935,19)</f>
        <v>#NUM!</v>
      </c>
      <c r="X935" t="e">
        <f t="array" ref="X935">INDEX('Raw Data'!$A:$O,$F935,20)</f>
        <v>#NUM!</v>
      </c>
      <c r="Y935" t="e">
        <f t="array" ref="Y935">INDEX('Raw Data'!$A:$O,F935,21)</f>
        <v>#NUM!</v>
      </c>
      <c r="Z935" t="e">
        <f t="array" ref="Z935">INDEX('Raw Data'!$A:$O,$F935,3)</f>
        <v>#NUM!</v>
      </c>
      <c r="AA935" t="e">
        <f t="array" ref="AA935">INDEX('Raw Data'!$A:$O,$F935,22)</f>
        <v>#NUM!</v>
      </c>
      <c r="AB935" t="e">
        <f t="array" ref="AB935">INDEX('Raw Data'!$A:$O,$F935,23)</f>
        <v>#NUM!</v>
      </c>
      <c r="AR935" s="25"/>
    </row>
    <row r="936" spans="1:44" x14ac:dyDescent="0.25">
      <c r="F936" t="e">
        <f t="array" ref="F936">SMALL(IF('Raw Data'!A:A=C927,ROW('Raw Data'!A:A)),ROW('Raw Data'!$9:$9))</f>
        <v>#NUM!</v>
      </c>
      <c r="G936" t="e">
        <f t="array" ref="G936">INDEX('Raw Data'!A:A,F936,9)</f>
        <v>#NUM!</v>
      </c>
      <c r="H936" t="e">
        <f t="array" ref="H936">INDEX('Raw Data'!A:A,F936,10)</f>
        <v>#NUM!</v>
      </c>
      <c r="I936" t="e">
        <f t="array" ref="I936">INDEX('Raw Data'!$A:A,$F936,11)</f>
        <v>#NUM!</v>
      </c>
      <c r="J936" t="e">
        <f t="array" ref="J936">INDEX('Raw Data'!$A:A,F936,12)</f>
        <v>#NUM!</v>
      </c>
      <c r="K936" t="e">
        <f t="array" ref="K936">(--INDEX('Raw Data'!$A$4:B$998,F936,4))</f>
        <v>#NUM!</v>
      </c>
      <c r="L936" t="e">
        <f t="array" ref="L936">(--INDEX('Raw Data'!$A$4:B$998,F936,5))</f>
        <v>#NUM!</v>
      </c>
      <c r="M936" t="e">
        <f t="array" ref="M936">(--INDEX('Raw Data'!$A$4:D$998,$F936,6))</f>
        <v>#NUM!</v>
      </c>
      <c r="N936" t="e">
        <f t="array" ref="N936">(--INDEX('Raw Data'!$A$4:D$998,$F936,7))</f>
        <v>#NUM!</v>
      </c>
      <c r="O936" t="e">
        <f t="array" ref="O936">IF(--INDEX('Raw Data'!$A$4:E$998,$F936,8)= 0, 1, 0)</f>
        <v>#NUM!</v>
      </c>
      <c r="P936" t="e">
        <f t="array" ref="P936">IF(--INDEX('Raw Data'!$A$4:F$998,$F936,8)= 1, 1, 0)</f>
        <v>#NUM!</v>
      </c>
      <c r="Q936" t="e">
        <f t="array" ref="Q936">IF(--INDEX('Raw Data'!$A$4:G$998,$F936,13)= 1, 1, 0)</f>
        <v>#NUM!</v>
      </c>
      <c r="R936" t="e">
        <f t="array" ref="R936">IF(--INDEX('Raw Data'!$A$4:H$998,$F936,14)= 1, 1, 0)</f>
        <v>#NUM!</v>
      </c>
      <c r="S936" t="e">
        <f t="array" ref="S936">IF(--INDEX('Raw Data'!$A$4:I$998,$F936,15)= 1, 1, 0)</f>
        <v>#NUM!</v>
      </c>
      <c r="T936" t="e">
        <f t="array" ref="T936">IF(--INDEX('Raw Data'!$A$4:I$998,$F936,15)= 1, 1, 0)</f>
        <v>#NUM!</v>
      </c>
      <c r="U936" t="e">
        <f t="array" ref="U936">IF(--INDEX('Raw Data'!$A$4:J$998,$F936,16)= 1, 1, 0)</f>
        <v>#NUM!</v>
      </c>
      <c r="V936" t="e">
        <f t="array" ref="V936">IF(--INDEX('Raw Data'!$A$4:K$998,$F936,17)= 1, 1, 0)</f>
        <v>#NUM!</v>
      </c>
      <c r="W936" t="e">
        <f t="array" ref="W936">INDEX('Raw Data'!$A:$O,$F936,19)</f>
        <v>#NUM!</v>
      </c>
      <c r="X936" t="e">
        <f t="array" ref="X936">INDEX('Raw Data'!$A:$O,$F936,20)</f>
        <v>#NUM!</v>
      </c>
      <c r="Y936" t="e">
        <f t="array" ref="Y936">INDEX('Raw Data'!$A:$O,F936,21)</f>
        <v>#NUM!</v>
      </c>
      <c r="Z936" t="e">
        <f t="array" ref="Z936">INDEX('Raw Data'!$A:$O,$F936,3)</f>
        <v>#NUM!</v>
      </c>
      <c r="AA936" t="e">
        <f t="array" ref="AA936">INDEX('Raw Data'!$A:$O,$F936,22)</f>
        <v>#NUM!</v>
      </c>
      <c r="AB936" t="e">
        <f t="array" ref="AB936">INDEX('Raw Data'!$A:$O,$F936,23)</f>
        <v>#NUM!</v>
      </c>
      <c r="AR936" s="25"/>
    </row>
    <row r="937" spans="1:44" x14ac:dyDescent="0.25">
      <c r="F937" t="e">
        <f t="array" ref="F937">SMALL(IF('Raw Data'!A:A=C927,ROW('Raw Data'!A:A)),ROW('Raw Data'!$10:$10))</f>
        <v>#NUM!</v>
      </c>
      <c r="G937" t="e">
        <f t="array" ref="G937">INDEX('Raw Data'!A:A,F937,9)</f>
        <v>#NUM!</v>
      </c>
      <c r="H937" t="e">
        <f t="array" ref="H937">INDEX('Raw Data'!A:A,F937,10)</f>
        <v>#NUM!</v>
      </c>
      <c r="I937" t="e">
        <f t="array" ref="I937">INDEX('Raw Data'!$A:A,$F937,11)</f>
        <v>#NUM!</v>
      </c>
      <c r="J937" t="e">
        <f t="array" ref="J937">INDEX('Raw Data'!$A:A,F937,12)</f>
        <v>#NUM!</v>
      </c>
      <c r="K937" t="e">
        <f t="array" ref="K937">(--INDEX('Raw Data'!$A$4:B$998,F937,4))</f>
        <v>#NUM!</v>
      </c>
      <c r="L937" t="e">
        <f t="array" ref="L937">(--INDEX('Raw Data'!$A$4:B$998,F937,5))</f>
        <v>#NUM!</v>
      </c>
      <c r="M937" t="e">
        <f t="array" ref="M937">(--INDEX('Raw Data'!$A$4:D$998,$F937,6))</f>
        <v>#NUM!</v>
      </c>
      <c r="N937" t="e">
        <f t="array" ref="N937">(--INDEX('Raw Data'!$A$4:D$998,$F937,7))</f>
        <v>#NUM!</v>
      </c>
      <c r="O937" t="e">
        <f t="array" ref="O937">IF(--INDEX('Raw Data'!$A$4:E$998,$F937,8)= 0, 1, 0)</f>
        <v>#NUM!</v>
      </c>
      <c r="P937" t="e">
        <f t="array" ref="P937">IF(--INDEX('Raw Data'!$A$4:F$998,$F937,8)= 1, 1, 0)</f>
        <v>#NUM!</v>
      </c>
      <c r="Q937" t="e">
        <f t="array" ref="Q937">IF(--INDEX('Raw Data'!$A$4:G$998,$F937,13)= 1, 1, 0)</f>
        <v>#NUM!</v>
      </c>
      <c r="R937" t="e">
        <f t="array" ref="R937">IF(--INDEX('Raw Data'!$A$4:H$998,$F937,14)= 1, 1, 0)</f>
        <v>#NUM!</v>
      </c>
      <c r="S937" t="e">
        <f t="array" ref="S937">IF(--INDEX('Raw Data'!$A$4:I$998,$F937,15)= 1, 1, 0)</f>
        <v>#NUM!</v>
      </c>
      <c r="T937" t="e">
        <f t="array" ref="T937">IF(--INDEX('Raw Data'!$A$4:I$998,$F937,15)= 1, 1, 0)</f>
        <v>#NUM!</v>
      </c>
      <c r="U937" t="e">
        <f t="array" ref="U937">IF(--INDEX('Raw Data'!$A$4:J$998,$F937,16)= 1, 1, 0)</f>
        <v>#NUM!</v>
      </c>
      <c r="V937" t="e">
        <f t="array" ref="V937">IF(--INDEX('Raw Data'!$A$4:K$998,$F937,17)= 1, 1, 0)</f>
        <v>#NUM!</v>
      </c>
      <c r="W937" t="e">
        <f t="array" ref="W937">INDEX('Raw Data'!$A:$O,$F937,19)</f>
        <v>#NUM!</v>
      </c>
      <c r="X937" t="e">
        <f t="array" ref="X937">INDEX('Raw Data'!$A:$O,$F937,20)</f>
        <v>#NUM!</v>
      </c>
      <c r="Y937" t="e">
        <f t="array" ref="Y937">INDEX('Raw Data'!$A:$O,F937,21)</f>
        <v>#NUM!</v>
      </c>
      <c r="Z937" t="e">
        <f t="array" ref="Z937">INDEX('Raw Data'!$A:$O,$F937,3)</f>
        <v>#NUM!</v>
      </c>
      <c r="AA937" t="e">
        <f t="array" ref="AA937">INDEX('Raw Data'!$A:$O,$F937,22)</f>
        <v>#NUM!</v>
      </c>
      <c r="AB937" t="e">
        <f t="array" ref="AB937">INDEX('Raw Data'!$A:$O,$F937,23)</f>
        <v>#NUM!</v>
      </c>
      <c r="AR937" s="25"/>
    </row>
    <row r="938" spans="1:44" x14ac:dyDescent="0.25">
      <c r="F938" t="e">
        <f t="array" ref="F938">SMALL(IF('Raw Data'!A:A=C927,ROW('Raw Data'!A:A)),ROW('Raw Data'!$11:$11))</f>
        <v>#NUM!</v>
      </c>
      <c r="G938" t="e">
        <f t="array" ref="G938">INDEX('Raw Data'!A:A,F938,9)</f>
        <v>#NUM!</v>
      </c>
      <c r="H938" t="e">
        <f t="array" ref="H938">INDEX('Raw Data'!A:A,F938,10)</f>
        <v>#NUM!</v>
      </c>
      <c r="I938" t="e">
        <f t="array" ref="I938">INDEX('Raw Data'!$A:A,$F938,11)</f>
        <v>#NUM!</v>
      </c>
      <c r="J938" t="e">
        <f t="array" ref="J938">INDEX('Raw Data'!$A:A,F938,12)</f>
        <v>#NUM!</v>
      </c>
      <c r="K938" t="e">
        <f t="array" ref="K938">(--INDEX('Raw Data'!$A$4:B$998,F938,4))</f>
        <v>#NUM!</v>
      </c>
      <c r="L938" t="e">
        <f t="array" ref="L938">(--INDEX('Raw Data'!$A$4:B$998,F938,5))</f>
        <v>#NUM!</v>
      </c>
      <c r="M938" t="e">
        <f t="array" ref="M938">(--INDEX('Raw Data'!$A$4:D$998,$F938,6))</f>
        <v>#NUM!</v>
      </c>
      <c r="N938" t="e">
        <f t="array" ref="N938">(--INDEX('Raw Data'!$A$4:D$998,$F938,7))</f>
        <v>#NUM!</v>
      </c>
      <c r="O938" t="e">
        <f t="array" ref="O938">IF(--INDEX('Raw Data'!$A$4:E$998,$F938,8)= 0, 1, 0)</f>
        <v>#NUM!</v>
      </c>
      <c r="P938" t="e">
        <f t="array" ref="P938">IF(--INDEX('Raw Data'!$A$4:F$998,$F938,8)= 1, 1, 0)</f>
        <v>#NUM!</v>
      </c>
      <c r="Q938" t="e">
        <f t="array" ref="Q938">IF(--INDEX('Raw Data'!$A$4:G$998,$F938,13)= 1, 1, 0)</f>
        <v>#NUM!</v>
      </c>
      <c r="R938" t="e">
        <f t="array" ref="R938">IF(--INDEX('Raw Data'!$A$4:H$998,$F938,14)= 1, 1, 0)</f>
        <v>#NUM!</v>
      </c>
      <c r="S938" t="e">
        <f t="array" ref="S938">IF(--INDEX('Raw Data'!$A$4:I$998,$F938,15)= 1, 1, 0)</f>
        <v>#NUM!</v>
      </c>
      <c r="T938" t="e">
        <f t="array" ref="T938">IF(--INDEX('Raw Data'!$A$4:I$998,$F938,15)= 1, 1, 0)</f>
        <v>#NUM!</v>
      </c>
      <c r="U938" t="e">
        <f t="array" ref="U938">IF(--INDEX('Raw Data'!$A$4:J$998,$F938,16)= 1, 1, 0)</f>
        <v>#NUM!</v>
      </c>
      <c r="V938" t="e">
        <f t="array" ref="V938">IF(--INDEX('Raw Data'!$A$4:K$998,$F938,17)= 1, 1, 0)</f>
        <v>#NUM!</v>
      </c>
      <c r="W938" t="e">
        <f t="array" ref="W938">INDEX('Raw Data'!$A:$O,$F938,19)</f>
        <v>#NUM!</v>
      </c>
      <c r="X938" t="e">
        <f t="array" ref="X938">INDEX('Raw Data'!$A:$O,$F938,20)</f>
        <v>#NUM!</v>
      </c>
      <c r="Y938" t="e">
        <f t="array" ref="Y938">INDEX('Raw Data'!$A:$O,F938,21)</f>
        <v>#NUM!</v>
      </c>
      <c r="Z938" t="e">
        <f t="array" ref="Z938">INDEX('Raw Data'!$A:$O,$F938,3)</f>
        <v>#NUM!</v>
      </c>
      <c r="AA938" t="e">
        <f t="array" ref="AA938">INDEX('Raw Data'!$A:$O,$F938,22)</f>
        <v>#NUM!</v>
      </c>
      <c r="AB938" t="e">
        <f t="array" ref="AB938">INDEX('Raw Data'!$A:$O,$F938,23)</f>
        <v>#NUM!</v>
      </c>
      <c r="AR938" s="25"/>
    </row>
    <row r="939" spans="1:44" x14ac:dyDescent="0.25">
      <c r="F939" t="e">
        <f t="array" ref="F939">SMALL(IF('Raw Data'!A:A=C927,ROW('Raw Data'!A:A)),ROW('Raw Data'!$12:$12))</f>
        <v>#NUM!</v>
      </c>
      <c r="G939" t="e">
        <f t="array" ref="G939">INDEX('Raw Data'!A:A,F939,9)</f>
        <v>#NUM!</v>
      </c>
      <c r="H939" t="e">
        <f t="array" ref="H939">INDEX('Raw Data'!A:A,F939,10)</f>
        <v>#NUM!</v>
      </c>
      <c r="I939" t="e">
        <f t="array" ref="I939">INDEX('Raw Data'!$A:A,$F939,11)</f>
        <v>#NUM!</v>
      </c>
      <c r="J939" t="e">
        <f t="array" ref="J939">INDEX('Raw Data'!$A:A,F939,12)</f>
        <v>#NUM!</v>
      </c>
      <c r="K939" t="e">
        <f t="array" ref="K939">(--INDEX('Raw Data'!$A$4:B$998,F939,4))</f>
        <v>#NUM!</v>
      </c>
      <c r="L939" t="e">
        <f t="array" ref="L939">(--INDEX('Raw Data'!$A$4:B$998,F939,5))</f>
        <v>#NUM!</v>
      </c>
      <c r="M939" t="e">
        <f t="array" ref="M939">(--INDEX('Raw Data'!$A$4:D$998,$F939,6))</f>
        <v>#NUM!</v>
      </c>
      <c r="N939" t="e">
        <f t="array" ref="N939">(--INDEX('Raw Data'!$A$4:D$998,$F939,7))</f>
        <v>#NUM!</v>
      </c>
      <c r="O939" t="e">
        <f t="array" ref="O939">IF(--INDEX('Raw Data'!$A$4:E$998,$F939,8)= 0, 1, 0)</f>
        <v>#NUM!</v>
      </c>
      <c r="P939" t="e">
        <f t="array" ref="P939">IF(--INDEX('Raw Data'!$A$4:F$998,$F939,8)= 1, 1, 0)</f>
        <v>#NUM!</v>
      </c>
      <c r="Q939" t="e">
        <f t="array" ref="Q939">IF(--INDEX('Raw Data'!$A$4:G$998,$F939,13)= 1, 1, 0)</f>
        <v>#NUM!</v>
      </c>
      <c r="R939" t="e">
        <f t="array" ref="R939">IF(--INDEX('Raw Data'!$A$4:H$998,$F939,14)= 1, 1, 0)</f>
        <v>#NUM!</v>
      </c>
      <c r="S939" t="e">
        <f t="array" ref="S939">IF(--INDEX('Raw Data'!$A$4:I$998,$F939,15)= 1, 1, 0)</f>
        <v>#NUM!</v>
      </c>
      <c r="T939" t="e">
        <f t="array" ref="T939">IF(--INDEX('Raw Data'!$A$4:I$998,$F939,15)= 1, 1, 0)</f>
        <v>#NUM!</v>
      </c>
      <c r="U939" t="e">
        <f t="array" ref="U939">IF(--INDEX('Raw Data'!$A$4:J$998,$F939,16)= 1, 1, 0)</f>
        <v>#NUM!</v>
      </c>
      <c r="V939" t="e">
        <f t="array" ref="V939">IF(--INDEX('Raw Data'!$A$4:K$998,$F939,17)= 1, 1, 0)</f>
        <v>#NUM!</v>
      </c>
      <c r="W939" t="e">
        <f t="array" ref="W939">INDEX('Raw Data'!$A:$O,$F939,19)</f>
        <v>#NUM!</v>
      </c>
      <c r="X939" t="e">
        <f t="array" ref="X939">INDEX('Raw Data'!$A:$O,$F939,20)</f>
        <v>#NUM!</v>
      </c>
      <c r="Y939" t="e">
        <f t="array" ref="Y939">INDEX('Raw Data'!$A:$O,F939,21)</f>
        <v>#NUM!</v>
      </c>
      <c r="Z939" t="e">
        <f t="array" ref="Z939">INDEX('Raw Data'!$A:$O,$F939,3)</f>
        <v>#NUM!</v>
      </c>
      <c r="AA939" t="e">
        <f t="array" ref="AA939">INDEX('Raw Data'!$A:$O,$F939,22)</f>
        <v>#NUM!</v>
      </c>
      <c r="AB939" t="e">
        <f t="array" ref="AB939">INDEX('Raw Data'!$A:$O,$F939,23)</f>
        <v>#NUM!</v>
      </c>
      <c r="AR939" s="25"/>
    </row>
    <row r="940" spans="1:44" x14ac:dyDescent="0.25">
      <c r="F940" t="e">
        <f t="array" ref="F940">SMALL(IF('Raw Data'!A:A=C927,ROW('Raw Data'!A:A)),ROW('Raw Data'!$13:$13))</f>
        <v>#NUM!</v>
      </c>
      <c r="G940" t="e">
        <f t="array" ref="G940">INDEX('Raw Data'!A:A,F940,9)</f>
        <v>#NUM!</v>
      </c>
      <c r="H940" t="e">
        <f t="array" ref="H940">INDEX('Raw Data'!A:A,F940,10)</f>
        <v>#NUM!</v>
      </c>
      <c r="I940" t="e">
        <f t="array" ref="I940">INDEX('Raw Data'!$A:A,$F940,11)</f>
        <v>#NUM!</v>
      </c>
      <c r="J940" t="e">
        <f t="array" ref="J940">INDEX('Raw Data'!$A:A,F940,12)</f>
        <v>#NUM!</v>
      </c>
      <c r="K940" t="e">
        <f t="array" ref="K940">(--INDEX('Raw Data'!$A$4:B$998,F940,4))</f>
        <v>#NUM!</v>
      </c>
      <c r="L940" t="e">
        <f t="array" ref="L940">(--INDEX('Raw Data'!$A$4:B$998,F940,5))</f>
        <v>#NUM!</v>
      </c>
      <c r="M940" t="e">
        <f t="array" ref="M940">(--INDEX('Raw Data'!$A$4:D$998,$F940,6))</f>
        <v>#NUM!</v>
      </c>
      <c r="N940" t="e">
        <f t="array" ref="N940">(--INDEX('Raw Data'!$A$4:D$998,$F940,7))</f>
        <v>#NUM!</v>
      </c>
      <c r="O940" t="e">
        <f t="array" ref="O940">IF(--INDEX('Raw Data'!$A$4:E$998,$F940,8)= 0, 1, 0)</f>
        <v>#NUM!</v>
      </c>
      <c r="P940" t="e">
        <f t="array" ref="P940">IF(--INDEX('Raw Data'!$A$4:F$998,$F940,8)= 1, 1, 0)</f>
        <v>#NUM!</v>
      </c>
      <c r="Q940" t="e">
        <f t="array" ref="Q940">IF(--INDEX('Raw Data'!$A$4:G$998,$F940,13)= 1, 1, 0)</f>
        <v>#NUM!</v>
      </c>
      <c r="R940" t="e">
        <f t="array" ref="R940">IF(--INDEX('Raw Data'!$A$4:H$998,$F940,14)= 1, 1, 0)</f>
        <v>#NUM!</v>
      </c>
      <c r="S940" t="e">
        <f t="array" ref="S940">IF(--INDEX('Raw Data'!$A$4:I$998,$F940,15)= 1, 1, 0)</f>
        <v>#NUM!</v>
      </c>
      <c r="T940" t="e">
        <f t="array" ref="T940">IF(--INDEX('Raw Data'!$A$4:I$998,$F940,15)= 1, 1, 0)</f>
        <v>#NUM!</v>
      </c>
      <c r="U940" t="e">
        <f t="array" ref="U940">IF(--INDEX('Raw Data'!$A$4:J$998,$F940,16)= 1, 1, 0)</f>
        <v>#NUM!</v>
      </c>
      <c r="V940" t="e">
        <f t="array" ref="V940">IF(--INDEX('Raw Data'!$A$4:K$998,$F940,17)= 1, 1, 0)</f>
        <v>#NUM!</v>
      </c>
      <c r="W940" t="e">
        <f t="array" ref="W940">INDEX('Raw Data'!$A:$O,$F940,19)</f>
        <v>#NUM!</v>
      </c>
      <c r="X940" t="e">
        <f t="array" ref="X940">INDEX('Raw Data'!$A:$O,$F940,20)</f>
        <v>#NUM!</v>
      </c>
      <c r="Y940" t="e">
        <f t="array" ref="Y940">INDEX('Raw Data'!$A:$O,F940,21)</f>
        <v>#NUM!</v>
      </c>
      <c r="Z940" t="e">
        <f t="array" ref="Z940">INDEX('Raw Data'!$A:$O,$F940,3)</f>
        <v>#NUM!</v>
      </c>
      <c r="AA940" t="e">
        <f t="array" ref="AA940">INDEX('Raw Data'!$A:$O,$F940,22)</f>
        <v>#NUM!</v>
      </c>
      <c r="AB940" t="e">
        <f t="array" ref="AB940">INDEX('Raw Data'!$A:$O,$F940,23)</f>
        <v>#NUM!</v>
      </c>
      <c r="AR940" s="25"/>
    </row>
    <row r="941" spans="1:44" x14ac:dyDescent="0.25">
      <c r="F941" t="e">
        <f t="array" ref="F941">SMALL(IF('Raw Data'!A:A=C927,ROW('Raw Data'!A:A)),ROW('Raw Data'!$14:$14))</f>
        <v>#NUM!</v>
      </c>
      <c r="G941" t="e">
        <f t="array" ref="G941">INDEX('Raw Data'!A:A,F941,9)</f>
        <v>#NUM!</v>
      </c>
      <c r="H941" t="e">
        <f t="array" ref="H941">INDEX('Raw Data'!A:A,F941,10)</f>
        <v>#NUM!</v>
      </c>
      <c r="I941" t="e">
        <f t="array" ref="I941">INDEX('Raw Data'!$A:A,$F941,11)</f>
        <v>#NUM!</v>
      </c>
      <c r="J941" t="e">
        <f t="array" ref="J941">INDEX('Raw Data'!$A:A,F941,12)</f>
        <v>#NUM!</v>
      </c>
      <c r="K941" t="e">
        <f t="array" ref="K941">(--INDEX('Raw Data'!$A$4:B$998,F941,4))</f>
        <v>#NUM!</v>
      </c>
      <c r="L941" t="e">
        <f t="array" ref="L941">(--INDEX('Raw Data'!$A$4:B$998,F941,5))</f>
        <v>#NUM!</v>
      </c>
      <c r="M941" t="e">
        <f t="array" ref="M941">(--INDEX('Raw Data'!$A$4:D$998,$F941,6))</f>
        <v>#NUM!</v>
      </c>
      <c r="N941" t="e">
        <f t="array" ref="N941">(--INDEX('Raw Data'!$A$4:D$998,$F941,7))</f>
        <v>#NUM!</v>
      </c>
      <c r="O941" t="e">
        <f t="array" ref="O941">IF(--INDEX('Raw Data'!$A$4:E$998,$F941,8)= 0, 1, 0)</f>
        <v>#NUM!</v>
      </c>
      <c r="P941" t="e">
        <f t="array" ref="P941">IF(--INDEX('Raw Data'!$A$4:F$998,$F941,8)= 1, 1, 0)</f>
        <v>#NUM!</v>
      </c>
      <c r="Q941" t="e">
        <f t="array" ref="Q941">IF(--INDEX('Raw Data'!$A$4:G$998,$F941,13)= 1, 1, 0)</f>
        <v>#NUM!</v>
      </c>
      <c r="R941" t="e">
        <f t="array" ref="R941">IF(--INDEX('Raw Data'!$A$4:H$998,$F941,14)= 1, 1, 0)</f>
        <v>#NUM!</v>
      </c>
      <c r="S941" t="e">
        <f t="array" ref="S941">IF(--INDEX('Raw Data'!$A$4:I$998,$F941,15)= 1, 1, 0)</f>
        <v>#NUM!</v>
      </c>
      <c r="T941" t="e">
        <f t="array" ref="T941">IF(--INDEX('Raw Data'!$A$4:I$998,$F941,15)= 1, 1, 0)</f>
        <v>#NUM!</v>
      </c>
      <c r="U941" t="e">
        <f t="array" ref="U941">IF(--INDEX('Raw Data'!$A$4:J$998,$F941,16)= 1, 1, 0)</f>
        <v>#NUM!</v>
      </c>
      <c r="V941" t="e">
        <f t="array" ref="V941">IF(--INDEX('Raw Data'!$A$4:K$998,$F941,17)= 1, 1, 0)</f>
        <v>#NUM!</v>
      </c>
      <c r="W941" t="e">
        <f t="array" ref="W941">INDEX('Raw Data'!$A:$O,$F941,19)</f>
        <v>#NUM!</v>
      </c>
      <c r="X941" t="e">
        <f t="array" ref="X941">INDEX('Raw Data'!$A:$O,$F941,20)</f>
        <v>#NUM!</v>
      </c>
      <c r="Y941" t="e">
        <f t="array" ref="Y941">INDEX('Raw Data'!$A:$O,F941,21)</f>
        <v>#NUM!</v>
      </c>
      <c r="Z941" t="e">
        <f t="array" ref="Z941">INDEX('Raw Data'!$A:$O,$F941,3)</f>
        <v>#NUM!</v>
      </c>
      <c r="AA941" t="e">
        <f t="array" ref="AA941">INDEX('Raw Data'!$A:$O,$F941,22)</f>
        <v>#NUM!</v>
      </c>
      <c r="AB941" t="e">
        <f t="array" ref="AB941">INDEX('Raw Data'!$A:$O,$F941,23)</f>
        <v>#NUM!</v>
      </c>
      <c r="AR941" s="25"/>
    </row>
    <row r="942" spans="1:44" x14ac:dyDescent="0.25">
      <c r="F942" t="e">
        <f t="array" ref="F942">SMALL(IF('Raw Data'!A:A=C927,ROW('Raw Data'!A:A)),ROW('Raw Data'!$15:$15))</f>
        <v>#NUM!</v>
      </c>
      <c r="G942" t="e">
        <f t="array" ref="G942">INDEX('Raw Data'!A:A,F942,9)</f>
        <v>#NUM!</v>
      </c>
      <c r="H942" t="e">
        <f t="array" ref="H942">INDEX('Raw Data'!A:A,F942,10)</f>
        <v>#NUM!</v>
      </c>
      <c r="I942" t="e">
        <f t="array" ref="I942">INDEX('Raw Data'!$A:A,$F942,11)</f>
        <v>#NUM!</v>
      </c>
      <c r="J942" t="e">
        <f t="array" ref="J942">INDEX('Raw Data'!$A:A,F942,12)</f>
        <v>#NUM!</v>
      </c>
      <c r="K942" t="e">
        <f t="array" ref="K942">(--INDEX('Raw Data'!$A$4:B$998,F942,4))</f>
        <v>#NUM!</v>
      </c>
      <c r="L942" t="e">
        <f t="array" ref="L942">(--INDEX('Raw Data'!$A$4:B$998,F942,5))</f>
        <v>#NUM!</v>
      </c>
      <c r="M942" t="e">
        <f t="array" ref="M942">(--INDEX('Raw Data'!$A$4:D$998,$F942,6))</f>
        <v>#NUM!</v>
      </c>
      <c r="N942" t="e">
        <f t="array" ref="N942">(--INDEX('Raw Data'!$A$4:D$998,$F942,7))</f>
        <v>#NUM!</v>
      </c>
      <c r="O942" t="e">
        <f t="array" ref="O942">IF(--INDEX('Raw Data'!$A$4:E$998,$F942,8)= 0, 1, 0)</f>
        <v>#NUM!</v>
      </c>
      <c r="P942" t="e">
        <f t="array" ref="P942">IF(--INDEX('Raw Data'!$A$4:F$998,$F942,8)= 1, 1, 0)</f>
        <v>#NUM!</v>
      </c>
      <c r="Q942" t="e">
        <f t="array" ref="Q942">IF(--INDEX('Raw Data'!$A$4:G$998,$F942,13)= 1, 1, 0)</f>
        <v>#NUM!</v>
      </c>
      <c r="R942" t="e">
        <f t="array" ref="R942">IF(--INDEX('Raw Data'!$A$4:H$998,$F942,14)= 1, 1, 0)</f>
        <v>#NUM!</v>
      </c>
      <c r="S942" t="e">
        <f t="array" ref="S942">IF(--INDEX('Raw Data'!$A$4:I$998,$F942,15)= 1, 1, 0)</f>
        <v>#NUM!</v>
      </c>
      <c r="T942" t="e">
        <f t="array" ref="T942">IF(--INDEX('Raw Data'!$A$4:I$998,$F942,15)= 1, 1, 0)</f>
        <v>#NUM!</v>
      </c>
      <c r="U942" t="e">
        <f t="array" ref="U942">IF(--INDEX('Raw Data'!$A$4:J$998,$F942,16)= 1, 1, 0)</f>
        <v>#NUM!</v>
      </c>
      <c r="V942" t="e">
        <f t="array" ref="V942">IF(--INDEX('Raw Data'!$A$4:K$998,$F942,17)= 1, 1, 0)</f>
        <v>#NUM!</v>
      </c>
      <c r="W942" t="e">
        <f t="array" ref="W942">INDEX('Raw Data'!$A:$O,$F942,19)</f>
        <v>#NUM!</v>
      </c>
      <c r="X942" t="e">
        <f t="array" ref="X942">INDEX('Raw Data'!$A:$O,$F942,20)</f>
        <v>#NUM!</v>
      </c>
      <c r="Y942" t="e">
        <f t="array" ref="Y942">INDEX('Raw Data'!$A:$O,F942,21)</f>
        <v>#NUM!</v>
      </c>
      <c r="Z942" t="e">
        <f t="array" ref="Z942">INDEX('Raw Data'!$A:$O,$F942,3)</f>
        <v>#NUM!</v>
      </c>
      <c r="AA942" t="e">
        <f t="array" ref="AA942">INDEX('Raw Data'!$A:$O,$F942,22)</f>
        <v>#NUM!</v>
      </c>
      <c r="AB942" t="e">
        <f t="array" ref="AB942">INDEX('Raw Data'!$A:$O,$F942,23)</f>
        <v>#NUM!</v>
      </c>
      <c r="AR942" s="25"/>
    </row>
    <row r="943" spans="1:44" x14ac:dyDescent="0.25">
      <c r="A943" t="s">
        <v>55</v>
      </c>
      <c r="C943" s="2" t="e">
        <f>B933/B932</f>
        <v>#DIV/0!</v>
      </c>
      <c r="F943">
        <f t="array" ref="F943">COUNTIF(F928:F942,"&gt;0")</f>
        <v>0</v>
      </c>
      <c r="G943">
        <f t="array" ref="G943">SUMIF(G928:G942,"&gt;0")</f>
        <v>0</v>
      </c>
      <c r="H943">
        <f t="array" ref="H943">SUMIF(H928:H942,"&gt;0")</f>
        <v>0</v>
      </c>
      <c r="I943">
        <f t="array" ref="I943">SUMIF(I928:I942,"&gt;0")</f>
        <v>0</v>
      </c>
      <c r="J943">
        <f t="array" ref="J943">SUMIF(J928:J942,"&gt;0")</f>
        <v>0</v>
      </c>
      <c r="K943">
        <f t="array" ref="K943">SUMIF(K928:K942,"&gt;0")</f>
        <v>0</v>
      </c>
      <c r="L943">
        <f t="array" ref="L943">SUMIF(L928:L942,"&gt;0")</f>
        <v>0</v>
      </c>
      <c r="M943">
        <f t="array" ref="M943">SUMIF(M928:M942,"&gt;0")</f>
        <v>0</v>
      </c>
      <c r="N943">
        <f t="array" ref="N943">SUMIF(N928:N942,"&gt;0")</f>
        <v>0</v>
      </c>
      <c r="O943">
        <f t="array" ref="O943">SUMIF(O928:O942,"&gt;0")</f>
        <v>0</v>
      </c>
      <c r="P943">
        <f t="array" ref="P943">SUMIF(P928:P942,"&gt;0")</f>
        <v>0</v>
      </c>
      <c r="Q943">
        <f t="array" ref="Q943">SUMIF(Q928:Q942,"&gt;0")</f>
        <v>0</v>
      </c>
      <c r="R943">
        <f t="array" ref="R943">SUMIF(R928:R942,"&gt;0")</f>
        <v>0</v>
      </c>
      <c r="S943">
        <f t="array" ref="S943">SUMIF(S928:S942,"&gt;0")</f>
        <v>0</v>
      </c>
      <c r="T943">
        <f t="array" ref="T943">SUMIF(T928:T942,"&gt;0")</f>
        <v>0</v>
      </c>
      <c r="U943">
        <f t="array" ref="U943">SUMIF(U928:U942,"&gt;0")</f>
        <v>0</v>
      </c>
      <c r="V943">
        <f t="array" ref="V943">SUMIF(V928:V942,"&gt;0")</f>
        <v>0</v>
      </c>
      <c r="W943">
        <f t="array" ref="W943">SUMIF(W928:W942,"&gt;0")</f>
        <v>0</v>
      </c>
      <c r="X943">
        <f t="array" ref="X943">SUMIF(X928:X942,"&gt;0")</f>
        <v>0</v>
      </c>
      <c r="Y943">
        <f t="array" ref="Y943">SUMIF(Y928:Y942,"&gt;0")</f>
        <v>0</v>
      </c>
      <c r="Z943">
        <f t="array" ref="Z943">SUMIF(Z928:Z942,"&gt;0")</f>
        <v>0</v>
      </c>
      <c r="AA943">
        <f t="array" ref="AA943">SUMIF(AA928:AA942,"&gt;0")</f>
        <v>0</v>
      </c>
      <c r="AB943">
        <f t="array" ref="AB943">SUMIF(AB928:AB942,"&gt;0")</f>
        <v>0</v>
      </c>
      <c r="AR943" s="25"/>
    </row>
    <row r="944" spans="1:44" x14ac:dyDescent="0.25">
      <c r="A944" t="s">
        <v>58</v>
      </c>
      <c r="C944" s="2">
        <f t="array" ref="C944">IF((K943+L943)&lt;&gt;0, (L943/(K943+L943)),0)</f>
        <v>0</v>
      </c>
      <c r="J944" s="6">
        <f t="array" ref="J944">J943*10</f>
        <v>0</v>
      </c>
      <c r="K944" s="6"/>
      <c r="P944" t="s">
        <v>95</v>
      </c>
      <c r="Q944" s="2" t="e">
        <f t="array" ref="Q944">Q943/$F943</f>
        <v>#DIV/0!</v>
      </c>
      <c r="R944" s="2" t="e">
        <f t="array" ref="R944">R943/$F943</f>
        <v>#DIV/0!</v>
      </c>
      <c r="S944" s="2" t="e">
        <f t="array" ref="S944">S943/$F943</f>
        <v>#DIV/0!</v>
      </c>
      <c r="T944" s="2" t="e">
        <f t="array" ref="T944">T943/$F943</f>
        <v>#DIV/0!</v>
      </c>
      <c r="U944" s="2" t="e">
        <f t="array" ref="U944">U943/$F943</f>
        <v>#DIV/0!</v>
      </c>
      <c r="V944" s="2" t="e">
        <f t="array" ref="V944">V943/$F943</f>
        <v>#DIV/0!</v>
      </c>
      <c r="Z944" s="2" t="e">
        <f t="array" ref="Z944">Z943/F943</f>
        <v>#DIV/0!</v>
      </c>
      <c r="AR944" s="25"/>
    </row>
    <row r="945" spans="1:44" x14ac:dyDescent="0.25">
      <c r="A945" t="s">
        <v>60</v>
      </c>
      <c r="C945" s="2">
        <f t="array" ref="C945">IF((M943+N943)&lt;&gt;0, (N943/(M943+N943)),0)</f>
        <v>0</v>
      </c>
      <c r="J945" s="6"/>
      <c r="K945" s="6"/>
      <c r="AR945" s="25"/>
    </row>
    <row r="946" spans="1:44" ht="28.5" x14ac:dyDescent="0.45">
      <c r="A946" t="s">
        <v>61</v>
      </c>
      <c r="C946" s="2">
        <f t="array" ref="C946">IF(((K943+N943+L943+M943)&lt;&gt;0), ((L943+N943)/(K943+N943+L943+M943)),0)</f>
        <v>0</v>
      </c>
      <c r="F946" s="17" t="s">
        <v>106</v>
      </c>
      <c r="G946" s="17" t="e">
        <f t="array" ref="G946">'Weighting &amp; Ranking Sheet'!$B$3*Math!$C944+'Weighting &amp; Ranking Sheet'!$B$4*Math!$C945+'Weighting &amp; Ranking Sheet'!$B$5*Math!$C946+'Weighting &amp; Ranking Sheet'!$B$6*Math!$C947+'Weighting &amp; Ranking Sheet'!$B$7*Math!$C931+'Weighting &amp; Ranking Sheet'!$B$8*Math!$C943+'Weighting &amp; Ranking Sheet'!$B$9*Math!$C950+'Weighting &amp; Ranking Sheet'!$B$10*Math!$C948+'Weighting &amp; Ranking Sheet'!$B$11*Math!$C949+'Weighting &amp; Ranking Sheet'!$B$12*Math!$C951*0.01+'Weighting &amp; Ranking Sheet'!$B$13*Math!$Q944+'Weighting &amp; Ranking Sheet'!$B$14*Math!$R944+'Weighting &amp; Ranking Sheet'!$B$15*Math!$S944+'Weighting &amp; Ranking Sheet'!$B$16*Math!$T944+'Weighting &amp; Ranking Sheet'!$B$17*Math!$U944+'Weighting &amp; Ranking Sheet'!$B$18*Math!$V944+'Weighting &amp; Ranking Sheet'!$B$2*Math!$Z944</f>
        <v>#DIV/0!</v>
      </c>
      <c r="J946"/>
      <c r="K946" s="6"/>
      <c r="AR946" s="25"/>
    </row>
    <row r="947" spans="1:44" x14ac:dyDescent="0.25">
      <c r="A947" t="s">
        <v>62</v>
      </c>
      <c r="C947" s="2">
        <f t="array" ref="C947">IF((O943+P943&lt;&gt;0),(P943/(O943+P943)), 0)</f>
        <v>0</v>
      </c>
      <c r="J947"/>
      <c r="K947" s="6"/>
      <c r="AR947" s="25"/>
    </row>
    <row r="948" spans="1:44" x14ac:dyDescent="0.25">
      <c r="A948" t="s">
        <v>77</v>
      </c>
      <c r="C948" s="8" t="e">
        <f t="array" ref="C948">W943/F943</f>
        <v>#DIV/0!</v>
      </c>
      <c r="J948"/>
      <c r="K948" s="6"/>
      <c r="AR948" s="23"/>
    </row>
    <row r="949" spans="1:44" x14ac:dyDescent="0.25">
      <c r="A949" t="s">
        <v>78</v>
      </c>
      <c r="C949" s="8" t="e">
        <f t="array" ref="C949">X943/F943</f>
        <v>#DIV/0!</v>
      </c>
      <c r="J949"/>
      <c r="K949" s="6"/>
    </row>
    <row r="950" spans="1:44" x14ac:dyDescent="0.25">
      <c r="A950" t="s">
        <v>91</v>
      </c>
      <c r="C950" s="2" t="e">
        <f t="array" ref="C950">(C931+C943)/2</f>
        <v>#DIV/0!</v>
      </c>
      <c r="J950"/>
      <c r="K950" s="6"/>
    </row>
    <row r="951" spans="1:44" x14ac:dyDescent="0.25">
      <c r="A951" t="s">
        <v>92</v>
      </c>
      <c r="C951" s="8" t="e">
        <f t="array" ref="C951">Y943/F943</f>
        <v>#DIV/0!</v>
      </c>
      <c r="J951"/>
      <c r="K951" s="6"/>
    </row>
    <row r="952" spans="1:44" x14ac:dyDescent="0.25">
      <c r="C952" s="8"/>
      <c r="J952"/>
      <c r="K952" s="6"/>
    </row>
    <row r="953" spans="1:44" x14ac:dyDescent="0.25">
      <c r="C953" s="8"/>
      <c r="J953" s="6"/>
      <c r="K953" s="6"/>
    </row>
    <row r="954" spans="1:44" x14ac:dyDescent="0.25">
      <c r="J954" s="6"/>
      <c r="K954" s="6"/>
    </row>
    <row r="955" spans="1:44" x14ac:dyDescent="0.25">
      <c r="A955" t="s">
        <v>3</v>
      </c>
      <c r="C955" s="5">
        <v>4454</v>
      </c>
      <c r="F955" t="s">
        <v>33</v>
      </c>
    </row>
    <row r="956" spans="1:44" x14ac:dyDescent="0.25">
      <c r="F956" t="e">
        <f t="array" ref="F956">SMALL(IF('Raw Data'!A:A=C955,ROW('Raw Data'!A:A)),ROW('Raw Data'!$1:$1))</f>
        <v>#NUM!</v>
      </c>
      <c r="G956" t="e">
        <f t="array" ref="G956">INDEX('Raw Data'!A:A,F956,9)</f>
        <v>#NUM!</v>
      </c>
      <c r="H956" t="e">
        <f t="array" ref="H956">INDEX('Raw Data'!A:A,F956,10)</f>
        <v>#NUM!</v>
      </c>
      <c r="I956" t="e">
        <f t="array" ref="I956">INDEX('Raw Data'!$A:A,$F956,11)</f>
        <v>#NUM!</v>
      </c>
      <c r="J956" t="e">
        <f t="array" ref="J956">INDEX('Raw Data'!$A:A,F956,12)</f>
        <v>#NUM!</v>
      </c>
      <c r="K956" t="e">
        <f>(--INDEX('Raw Data'!$A$4:B$993,F956,4))</f>
        <v>#NUM!</v>
      </c>
      <c r="L956" t="e">
        <f t="array" ref="L956">(--INDEX('Raw Data'!$A$4:B$993,F956,5))</f>
        <v>#NUM!</v>
      </c>
      <c r="M956" t="e">
        <f t="array" ref="M956">(--INDEX('Raw Data'!$A$4:D$993,$F956,6))</f>
        <v>#NUM!</v>
      </c>
      <c r="N956" t="e">
        <f t="array" ref="N956">(--INDEX('Raw Data'!$A$4:D$993,$F956,7))</f>
        <v>#NUM!</v>
      </c>
      <c r="O956" t="e">
        <f t="array" ref="O956">IF(--INDEX('Raw Data'!$A$4:E$993,$F956,8)= 0, 1, 0)</f>
        <v>#NUM!</v>
      </c>
      <c r="P956" t="e">
        <f t="array" ref="P956">IF(--INDEX('Raw Data'!$A$4:F$993,$F956,8)= 1, 1, 0)</f>
        <v>#NUM!</v>
      </c>
      <c r="Q956" t="e">
        <f t="array" ref="Q956">IF(--INDEX('Raw Data'!$A$4:G$993,$F956,13)= 1, 1, 0)</f>
        <v>#NUM!</v>
      </c>
      <c r="R956" t="e">
        <f t="array" ref="R956">IF(--INDEX('Raw Data'!$A$4:H$993,$F956,14)= 1, 1, 0)</f>
        <v>#NUM!</v>
      </c>
      <c r="S956" t="e">
        <f t="array" ref="S956">IF(--INDEX('Raw Data'!$A$4:I$993,$F956,15)= 1, 1, 0)</f>
        <v>#NUM!</v>
      </c>
      <c r="T956" t="e">
        <f t="array" ref="T956">IF(--INDEX('Raw Data'!$A$4:I$993,$F956,15)= 1, 1, 0)</f>
        <v>#NUM!</v>
      </c>
      <c r="U956" t="e">
        <f t="array" ref="U956">IF(--INDEX('Raw Data'!$A$4:J$993,$F956,16)= 1, 1, 0)</f>
        <v>#NUM!</v>
      </c>
      <c r="V956" t="e">
        <f t="array" ref="V956">IF(--INDEX('Raw Data'!$A$4:K$993,$F956,17)= 1, 1, 0)</f>
        <v>#NUM!</v>
      </c>
      <c r="W956" t="e">
        <f t="array" ref="W956">INDEX('Raw Data'!$A:$O,$F956,19)</f>
        <v>#NUM!</v>
      </c>
      <c r="X956" t="e">
        <f t="array" ref="X956">INDEX('Raw Data'!$A:$O,$F956,20)</f>
        <v>#NUM!</v>
      </c>
      <c r="Y956" t="e">
        <f t="array" ref="Y956">INDEX('Raw Data'!$A:$O,F956,21)</f>
        <v>#NUM!</v>
      </c>
      <c r="Z956" t="e">
        <f t="array" ref="Z956">INDEX('Raw Data'!$A:$O,$F956,3)</f>
        <v>#NUM!</v>
      </c>
      <c r="AA956" t="e">
        <f t="array" ref="AA956">INDEX('Raw Data'!$A:$O,$F956,22)</f>
        <v>#NUM!</v>
      </c>
      <c r="AB956" t="e">
        <f t="array" ref="AB956">INDEX('Raw Data'!$A:$O,$F956,23)</f>
        <v>#NUM!</v>
      </c>
    </row>
    <row r="957" spans="1:44" x14ac:dyDescent="0.25">
      <c r="A957" t="s">
        <v>0</v>
      </c>
      <c r="B957">
        <f>G971</f>
        <v>0</v>
      </c>
      <c r="F957" t="e">
        <f t="array" ref="F957">SMALL(IF('Raw Data'!A:A=C955,ROW('Raw Data'!A:A)),ROW('Raw Data'!$2:$2))</f>
        <v>#NUM!</v>
      </c>
      <c r="G957" t="e">
        <f t="array" ref="G957">INDEX('Raw Data'!A:A,F957,9)</f>
        <v>#NUM!</v>
      </c>
      <c r="H957" t="e">
        <f t="array" ref="H957">INDEX('Raw Data'!A:A,F957,10)</f>
        <v>#NUM!</v>
      </c>
      <c r="I957" t="e">
        <f t="array" ref="I957">INDEX('Raw Data'!$A:A,$F957,11)</f>
        <v>#NUM!</v>
      </c>
      <c r="J957" t="e">
        <f t="array" ref="J957">INDEX('Raw Data'!$A:A,F957,12)</f>
        <v>#NUM!</v>
      </c>
      <c r="K957" t="e">
        <f>(--INDEX('Raw Data'!$A$4:B$993,F957,4))</f>
        <v>#NUM!</v>
      </c>
      <c r="L957" t="e">
        <f t="array" ref="L957">(--INDEX('Raw Data'!$A$4:B$993,F957,5))</f>
        <v>#NUM!</v>
      </c>
      <c r="M957" t="e">
        <f t="array" ref="M957">(--INDEX('Raw Data'!$A$4:D$993,$F957,6))</f>
        <v>#NUM!</v>
      </c>
      <c r="N957" t="e">
        <f t="array" ref="N957">(--INDEX('Raw Data'!$A$4:D$993,$F957,7))</f>
        <v>#NUM!</v>
      </c>
      <c r="O957" t="e">
        <f t="array" ref="O957">IF(--INDEX('Raw Data'!$A$4:E$993,$F957,8)= 0, 1, 0)</f>
        <v>#NUM!</v>
      </c>
      <c r="P957" t="e">
        <f t="array" ref="P957">IF(--INDEX('Raw Data'!$A$4:F$993,$F957,8)= 1, 1, 0)</f>
        <v>#NUM!</v>
      </c>
      <c r="Q957" t="e">
        <f t="array" ref="Q957">IF(--INDEX('Raw Data'!$A$4:G$993,$F957,13)= 1, 1, 0)</f>
        <v>#NUM!</v>
      </c>
      <c r="R957" t="e">
        <f t="array" ref="R957">IF(--INDEX('Raw Data'!$A$4:H$993,$F957,14)= 1, 1, 0)</f>
        <v>#NUM!</v>
      </c>
      <c r="S957" t="e">
        <f t="array" ref="S957">IF(--INDEX('Raw Data'!$A$4:I$993,$F957,15)= 1, 1, 0)</f>
        <v>#NUM!</v>
      </c>
      <c r="T957" t="e">
        <f t="array" ref="T957">IF(--INDEX('Raw Data'!$A$4:I$993,$F957,15)= 1, 1, 0)</f>
        <v>#NUM!</v>
      </c>
      <c r="U957" t="e">
        <f t="array" ref="U957">IF(--INDEX('Raw Data'!$A$4:J$993,$F957,16)= 1, 1, 0)</f>
        <v>#NUM!</v>
      </c>
      <c r="V957" t="e">
        <f t="array" ref="V957">IF(--INDEX('Raw Data'!$A$4:K$993,$F957,17)= 1, 1, 0)</f>
        <v>#NUM!</v>
      </c>
      <c r="W957" t="e">
        <f t="array" ref="W957">INDEX('Raw Data'!$A:$O,$F957,19)</f>
        <v>#NUM!</v>
      </c>
      <c r="X957" t="e">
        <f t="array" ref="X957">INDEX('Raw Data'!$A:$O,$F957,20)</f>
        <v>#NUM!</v>
      </c>
      <c r="Y957" t="e">
        <f t="array" ref="Y957">INDEX('Raw Data'!$A:$O,F957,21)</f>
        <v>#NUM!</v>
      </c>
      <c r="Z957" t="e">
        <f t="array" ref="Z957">INDEX('Raw Data'!$A:$O,$F957,3)</f>
        <v>#NUM!</v>
      </c>
      <c r="AA957" t="e">
        <f t="array" ref="AA957">INDEX('Raw Data'!$A:$O,$F957,22)</f>
        <v>#NUM!</v>
      </c>
      <c r="AB957" t="e">
        <f t="array" ref="AB957">INDEX('Raw Data'!$A:$O,$F957,23)</f>
        <v>#NUM!</v>
      </c>
    </row>
    <row r="958" spans="1:44" x14ac:dyDescent="0.25">
      <c r="A958" t="s">
        <v>1</v>
      </c>
      <c r="B958">
        <f>H971</f>
        <v>0</v>
      </c>
      <c r="F958" t="e">
        <f t="array" ref="F958">SMALL(IF('Raw Data'!A:A=C955,ROW('Raw Data'!A:A)),ROW('Raw Data'!$3:$3))</f>
        <v>#NUM!</v>
      </c>
      <c r="G958" t="e">
        <f t="array" ref="G958">INDEX('Raw Data'!A:A,F958,9)</f>
        <v>#NUM!</v>
      </c>
      <c r="H958" t="e">
        <f t="array" ref="H958">INDEX('Raw Data'!A:A,F958,10)</f>
        <v>#NUM!</v>
      </c>
      <c r="I958" t="e">
        <f t="array" ref="I958">INDEX('Raw Data'!$A:A,$F958,11)</f>
        <v>#NUM!</v>
      </c>
      <c r="J958" t="e">
        <f t="array" ref="J958">INDEX('Raw Data'!$A:A,F958,12)</f>
        <v>#NUM!</v>
      </c>
      <c r="K958" t="e">
        <f>(--INDEX('Raw Data'!$A$4:B$993,F958,4))</f>
        <v>#NUM!</v>
      </c>
      <c r="L958" t="e">
        <f t="array" ref="L958">(--INDEX('Raw Data'!$A$4:B$993,F958,5))</f>
        <v>#NUM!</v>
      </c>
      <c r="M958" t="e">
        <f t="array" ref="M958">(--INDEX('Raw Data'!$A$4:D$993,$F958,6))</f>
        <v>#NUM!</v>
      </c>
      <c r="N958" t="e">
        <f t="array" ref="N958">(--INDEX('Raw Data'!$A$4:D$993,$F958,7))</f>
        <v>#NUM!</v>
      </c>
      <c r="O958" t="e">
        <f t="array" ref="O958">IF(--INDEX('Raw Data'!$A$4:E$993,$F958,8)= 0, 1, 0)</f>
        <v>#NUM!</v>
      </c>
      <c r="P958" t="e">
        <f t="array" ref="P958">IF(--INDEX('Raw Data'!$A$4:F$993,$F958,8)= 1, 1, 0)</f>
        <v>#NUM!</v>
      </c>
      <c r="Q958" t="e">
        <f t="array" ref="Q958">IF(--INDEX('Raw Data'!$A$4:G$993,$F958,13)= 1, 1, 0)</f>
        <v>#NUM!</v>
      </c>
      <c r="R958" t="e">
        <f t="array" ref="R958">IF(--INDEX('Raw Data'!$A$4:H$993,$F958,14)= 1, 1, 0)</f>
        <v>#NUM!</v>
      </c>
      <c r="S958" t="e">
        <f t="array" ref="S958">IF(--INDEX('Raw Data'!$A$4:I$993,$F958,15)= 1, 1, 0)</f>
        <v>#NUM!</v>
      </c>
      <c r="T958" t="e">
        <f t="array" ref="T958">IF(--INDEX('Raw Data'!$A$4:I$993,$F958,15)= 1, 1, 0)</f>
        <v>#NUM!</v>
      </c>
      <c r="U958" t="e">
        <f t="array" ref="U958">IF(--INDEX('Raw Data'!$A$4:J$993,$F958,16)= 1, 1, 0)</f>
        <v>#NUM!</v>
      </c>
      <c r="V958" t="e">
        <f t="array" ref="V958">IF(--INDEX('Raw Data'!$A$4:K$993,$F958,17)= 1, 1, 0)</f>
        <v>#NUM!</v>
      </c>
      <c r="W958" t="e">
        <f t="array" ref="W958">INDEX('Raw Data'!$A:$O,$F958,19)</f>
        <v>#NUM!</v>
      </c>
      <c r="X958" t="e">
        <f t="array" ref="X958">INDEX('Raw Data'!$A:$O,$F958,20)</f>
        <v>#NUM!</v>
      </c>
      <c r="Y958" t="e">
        <f t="array" ref="Y958">INDEX('Raw Data'!$A:$O,F958,21)</f>
        <v>#NUM!</v>
      </c>
      <c r="Z958" t="e">
        <f t="array" ref="Z958">INDEX('Raw Data'!$A:$O,$F958,3)</f>
        <v>#NUM!</v>
      </c>
      <c r="AA958" t="e">
        <f t="array" ref="AA958">INDEX('Raw Data'!$A:$O,$F958,22)</f>
        <v>#NUM!</v>
      </c>
      <c r="AB958" t="e">
        <f t="array" ref="AB958">INDEX('Raw Data'!$A:$O,$F958,23)</f>
        <v>#NUM!</v>
      </c>
    </row>
    <row r="959" spans="1:44" x14ac:dyDescent="0.25">
      <c r="A959" t="s">
        <v>2</v>
      </c>
      <c r="C959" s="3" t="e">
        <f>B958/B957</f>
        <v>#DIV/0!</v>
      </c>
      <c r="F959" t="e">
        <f t="array" ref="F959">SMALL(IF('Raw Data'!A:A=C955,ROW('Raw Data'!A:A)),ROW('Raw Data'!$4:$4))</f>
        <v>#NUM!</v>
      </c>
      <c r="G959" t="e">
        <f t="array" ref="G959">INDEX('Raw Data'!A:A,F959,9)</f>
        <v>#NUM!</v>
      </c>
      <c r="H959" t="e">
        <f t="array" ref="H959">INDEX('Raw Data'!A:A,F959,10)</f>
        <v>#NUM!</v>
      </c>
      <c r="I959" t="e">
        <f t="array" ref="I959">INDEX('Raw Data'!$A:A,$F959,11)</f>
        <v>#NUM!</v>
      </c>
      <c r="J959" t="e">
        <f t="array" ref="J959">INDEX('Raw Data'!$A:A,F959,12)</f>
        <v>#NUM!</v>
      </c>
      <c r="K959" t="e">
        <f>(--INDEX('Raw Data'!$A$4:B$993,F959,4))</f>
        <v>#NUM!</v>
      </c>
      <c r="L959" t="e">
        <f t="array" ref="L959">(--INDEX('Raw Data'!$A$4:B$993,F959,5))</f>
        <v>#NUM!</v>
      </c>
      <c r="M959" t="e">
        <f t="array" ref="M959">(--INDEX('Raw Data'!$A$4:D$993,$F959,6))</f>
        <v>#NUM!</v>
      </c>
      <c r="N959" t="e">
        <f t="array" ref="N959">(--INDEX('Raw Data'!$A$4:D$993,$F959,7))</f>
        <v>#NUM!</v>
      </c>
      <c r="O959" t="e">
        <f t="array" ref="O959">IF(--INDEX('Raw Data'!$A$4:E$993,$F959,8)= 0, 1, 0)</f>
        <v>#NUM!</v>
      </c>
      <c r="P959" t="e">
        <f t="array" ref="P959">IF(--INDEX('Raw Data'!$A$4:F$993,$F959,8)= 1, 1, 0)</f>
        <v>#NUM!</v>
      </c>
      <c r="Q959" t="e">
        <f t="array" ref="Q959">IF(--INDEX('Raw Data'!$A$4:G$993,$F959,13)= 1, 1, 0)</f>
        <v>#NUM!</v>
      </c>
      <c r="R959" t="e">
        <f t="array" ref="R959">IF(--INDEX('Raw Data'!$A$4:H$993,$F959,14)= 1, 1, 0)</f>
        <v>#NUM!</v>
      </c>
      <c r="S959" t="e">
        <f t="array" ref="S959">IF(--INDEX('Raw Data'!$A$4:I$993,$F959,15)= 1, 1, 0)</f>
        <v>#NUM!</v>
      </c>
      <c r="T959" t="e">
        <f t="array" ref="T959">IF(--INDEX('Raw Data'!$A$4:I$993,$F959,15)= 1, 1, 0)</f>
        <v>#NUM!</v>
      </c>
      <c r="U959" t="e">
        <f t="array" ref="U959">IF(--INDEX('Raw Data'!$A$4:J$993,$F959,16)= 1, 1, 0)</f>
        <v>#NUM!</v>
      </c>
      <c r="V959" t="e">
        <f t="array" ref="V959">IF(--INDEX('Raw Data'!$A$4:K$993,$F959,17)= 1, 1, 0)</f>
        <v>#NUM!</v>
      </c>
      <c r="W959" t="e">
        <f t="array" ref="W959">INDEX('Raw Data'!$A:$O,$F959,19)</f>
        <v>#NUM!</v>
      </c>
      <c r="X959" t="e">
        <f t="array" ref="X959">INDEX('Raw Data'!$A:$O,$F959,20)</f>
        <v>#NUM!</v>
      </c>
      <c r="Y959" t="e">
        <f t="array" ref="Y959">INDEX('Raw Data'!$A:$O,F959,21)</f>
        <v>#NUM!</v>
      </c>
      <c r="Z959" t="e">
        <f t="array" ref="Z959">INDEX('Raw Data'!$A:$O,$F959,3)</f>
        <v>#NUM!</v>
      </c>
      <c r="AA959" t="e">
        <f t="array" ref="AA959">INDEX('Raw Data'!$A:$O,$F959,22)</f>
        <v>#NUM!</v>
      </c>
      <c r="AB959" t="e">
        <f t="array" ref="AB959">INDEX('Raw Data'!$A:$O,$F959,23)</f>
        <v>#NUM!</v>
      </c>
    </row>
    <row r="960" spans="1:44" x14ac:dyDescent="0.25">
      <c r="A960" t="s">
        <v>54</v>
      </c>
      <c r="B960">
        <f>I971</f>
        <v>0</v>
      </c>
      <c r="F960" t="e">
        <f t="array" ref="F960">SMALL(IF('Raw Data'!A:A=C955,ROW('Raw Data'!A:A)),ROW('Raw Data'!$5:$5))</f>
        <v>#NUM!</v>
      </c>
      <c r="G960" t="e">
        <f t="array" ref="G960">INDEX('Raw Data'!A:A,F960,9)</f>
        <v>#NUM!</v>
      </c>
      <c r="H960" t="e">
        <f t="array" ref="H960">INDEX('Raw Data'!A:A,F960,10)</f>
        <v>#NUM!</v>
      </c>
      <c r="I960" t="e">
        <f t="array" ref="I960">INDEX('Raw Data'!$A:A,$F960,11)</f>
        <v>#NUM!</v>
      </c>
      <c r="J960" t="e">
        <f t="array" ref="J960">INDEX('Raw Data'!$A:A,F960,12)</f>
        <v>#NUM!</v>
      </c>
      <c r="K960" t="e">
        <f>(--INDEX('Raw Data'!$A$4:B$993,F960,4))</f>
        <v>#NUM!</v>
      </c>
      <c r="L960" t="e">
        <f t="array" ref="L960">(--INDEX('Raw Data'!$A$4:B$993,F960,5))</f>
        <v>#NUM!</v>
      </c>
      <c r="M960" t="e">
        <f t="array" ref="M960">(--INDEX('Raw Data'!$A$4:D$993,$F960,6))</f>
        <v>#NUM!</v>
      </c>
      <c r="N960" t="e">
        <f t="array" ref="N960">(--INDEX('Raw Data'!$A$4:D$993,$F960,7))</f>
        <v>#NUM!</v>
      </c>
      <c r="O960" t="e">
        <f t="array" ref="O960">IF(--INDEX('Raw Data'!$A$4:E$993,$F960,8)= 0, 1, 0)</f>
        <v>#NUM!</v>
      </c>
      <c r="P960" t="e">
        <f t="array" ref="P960">IF(--INDEX('Raw Data'!$A$4:F$993,$F960,8)= 1, 1, 0)</f>
        <v>#NUM!</v>
      </c>
      <c r="Q960" t="e">
        <f t="array" ref="Q960">IF(--INDEX('Raw Data'!$A$4:G$993,$F960,13)= 1, 1, 0)</f>
        <v>#NUM!</v>
      </c>
      <c r="R960" t="e">
        <f t="array" ref="R960">IF(--INDEX('Raw Data'!$A$4:H$993,$F960,14)= 1, 1, 0)</f>
        <v>#NUM!</v>
      </c>
      <c r="S960" t="e">
        <f t="array" ref="S960">IF(--INDEX('Raw Data'!$A$4:I$993,$F960,15)= 1, 1, 0)</f>
        <v>#NUM!</v>
      </c>
      <c r="T960" t="e">
        <f t="array" ref="T960">IF(--INDEX('Raw Data'!$A$4:I$993,$F960,15)= 1, 1, 0)</f>
        <v>#NUM!</v>
      </c>
      <c r="U960" t="e">
        <f t="array" ref="U960">IF(--INDEX('Raw Data'!$A$4:J$993,$F960,16)= 1, 1, 0)</f>
        <v>#NUM!</v>
      </c>
      <c r="V960" t="e">
        <f t="array" ref="V960">IF(--INDEX('Raw Data'!$A$4:K$993,$F960,17)= 1, 1, 0)</f>
        <v>#NUM!</v>
      </c>
      <c r="W960" t="e">
        <f t="array" ref="W960">INDEX('Raw Data'!$A:$O,$F960,19)</f>
        <v>#NUM!</v>
      </c>
      <c r="X960" t="e">
        <f t="array" ref="X960">INDEX('Raw Data'!$A:$O,$F960,20)</f>
        <v>#NUM!</v>
      </c>
      <c r="Y960" t="e">
        <f t="array" ref="Y960">INDEX('Raw Data'!$A:$O,F960,21)</f>
        <v>#NUM!</v>
      </c>
      <c r="Z960" t="e">
        <f t="array" ref="Z960">INDEX('Raw Data'!$A:$O,$F960,3)</f>
        <v>#NUM!</v>
      </c>
      <c r="AA960" t="e">
        <f t="array" ref="AA960">INDEX('Raw Data'!$A:$O,$F960,22)</f>
        <v>#NUM!</v>
      </c>
      <c r="AB960" t="e">
        <f t="array" ref="AB960">INDEX('Raw Data'!$A:$O,$F960,23)</f>
        <v>#NUM!</v>
      </c>
      <c r="AR960" s="25"/>
    </row>
    <row r="961" spans="1:44" x14ac:dyDescent="0.25">
      <c r="A961" t="s">
        <v>35</v>
      </c>
      <c r="B961">
        <f>J971</f>
        <v>0</v>
      </c>
      <c r="F961" t="e">
        <f t="array" ref="F961">SMALL(IF('Raw Data'!A:A=C955,ROW('Raw Data'!A:A)),ROW('Raw Data'!$6:$6))</f>
        <v>#NUM!</v>
      </c>
      <c r="G961" t="e">
        <f t="array" ref="G961">INDEX('Raw Data'!A:A,F961,9)</f>
        <v>#NUM!</v>
      </c>
      <c r="H961" t="e">
        <f t="array" ref="H961">INDEX('Raw Data'!A:A,F961,10)</f>
        <v>#NUM!</v>
      </c>
      <c r="I961" t="e">
        <f t="array" ref="I961">INDEX('Raw Data'!$A:A,$F961,11)</f>
        <v>#NUM!</v>
      </c>
      <c r="J961" t="e">
        <f t="array" ref="J961">INDEX('Raw Data'!$A:A,F961,12)</f>
        <v>#NUM!</v>
      </c>
      <c r="K961" t="e">
        <f>(--INDEX('Raw Data'!$A$4:B$993,F961,4))</f>
        <v>#NUM!</v>
      </c>
      <c r="L961" t="e">
        <f t="array" ref="L961">(--INDEX('Raw Data'!$A$4:B$998,F961,5))</f>
        <v>#NUM!</v>
      </c>
      <c r="M961" t="e">
        <f t="array" ref="M961">(--INDEX('Raw Data'!$A$4:D$998,$F961,6))</f>
        <v>#NUM!</v>
      </c>
      <c r="N961" t="e">
        <f t="array" ref="N961">(--INDEX('Raw Data'!$A$4:D$993,$F961,7))</f>
        <v>#NUM!</v>
      </c>
      <c r="O961" t="e">
        <f t="array" ref="O961">IF(--INDEX('Raw Data'!$A$4:E$993,$F961,8)= 0, 1, 0)</f>
        <v>#NUM!</v>
      </c>
      <c r="P961" t="e">
        <f t="array" ref="P961">IF(--INDEX('Raw Data'!$A$4:F$998,$F961,8)= 1, 1, 0)</f>
        <v>#NUM!</v>
      </c>
      <c r="Q961" t="e">
        <f t="array" ref="Q961">IF(--INDEX('Raw Data'!$A$4:G$998,$F961,13)= 1, 1, 0)</f>
        <v>#NUM!</v>
      </c>
      <c r="R961" t="e">
        <f t="array" ref="R961">IF(--INDEX('Raw Data'!$A$4:H$998,$F961,14)= 1, 1, 0)</f>
        <v>#NUM!</v>
      </c>
      <c r="S961" t="e">
        <f t="array" ref="S961">IF(--INDEX('Raw Data'!$A$4:I$993,$F961,15)= 1, 1, 0)</f>
        <v>#NUM!</v>
      </c>
      <c r="T961" t="e">
        <f t="array" ref="T961">IF(--INDEX('Raw Data'!$A$4:I$998,$F961,15)= 1, 1, 0)</f>
        <v>#NUM!</v>
      </c>
      <c r="U961" t="e">
        <f t="array" ref="U961">IF(--INDEX('Raw Data'!$A$4:J$998,$F961,16)= 1, 1, 0)</f>
        <v>#NUM!</v>
      </c>
      <c r="V961" t="e">
        <f t="array" ref="V961">IF(--INDEX('Raw Data'!$A$4:K$993,$F961,17)= 1, 1, 0)</f>
        <v>#NUM!</v>
      </c>
      <c r="W961" t="e">
        <f t="array" ref="W961">INDEX('Raw Data'!$A:$O,$F961,19)</f>
        <v>#NUM!</v>
      </c>
      <c r="X961" t="e">
        <f t="array" ref="X961">INDEX('Raw Data'!$A:$O,$F961,20)</f>
        <v>#NUM!</v>
      </c>
      <c r="Y961" t="e">
        <f t="array" ref="Y961">INDEX('Raw Data'!$A:$O,F961,21)</f>
        <v>#NUM!</v>
      </c>
      <c r="Z961" t="e">
        <f t="array" ref="Z961">INDEX('Raw Data'!$A:$O,$F961,3)</f>
        <v>#NUM!</v>
      </c>
      <c r="AA961" t="e">
        <f t="array" ref="AA961">INDEX('Raw Data'!$A:$O,$F961,22)</f>
        <v>#NUM!</v>
      </c>
      <c r="AB961" t="e">
        <f t="array" ref="AB961">INDEX('Raw Data'!$A:$O,$F961,23)</f>
        <v>#NUM!</v>
      </c>
      <c r="AR961" s="25"/>
    </row>
    <row r="962" spans="1:44" ht="28.5" x14ac:dyDescent="0.45">
      <c r="F962" t="e">
        <f t="array" ref="F962">SMALL(IF('Raw Data'!A:A=C955,ROW('Raw Data'!A:A)),ROW('Raw Data'!$7:$7))</f>
        <v>#NUM!</v>
      </c>
      <c r="G962" t="e">
        <f t="array" ref="G962">INDEX('Raw Data'!A:A,F962,9)</f>
        <v>#NUM!</v>
      </c>
      <c r="H962" t="e">
        <f t="array" ref="H962">INDEX('Raw Data'!A:A,F962,10)</f>
        <v>#NUM!</v>
      </c>
      <c r="I962" t="e">
        <f t="array" ref="I962">INDEX('Raw Data'!$A:A,$F962,11)</f>
        <v>#NUM!</v>
      </c>
      <c r="J962" t="e">
        <f t="array" ref="J962">INDEX('Raw Data'!$A:A,F962,12)</f>
        <v>#NUM!</v>
      </c>
      <c r="K962" t="e">
        <f t="array" ref="K962">(--INDEX('Raw Data'!$A$4:B$998,F962,4))</f>
        <v>#NUM!</v>
      </c>
      <c r="L962" t="e">
        <f t="array" ref="L962">(--INDEX('Raw Data'!$A$4:B$998,F962,5))</f>
        <v>#NUM!</v>
      </c>
      <c r="M962" t="e">
        <f t="array" ref="M962">(--INDEX('Raw Data'!$A$4:D$998,$F962,6))</f>
        <v>#NUM!</v>
      </c>
      <c r="N962" t="e">
        <f t="array" ref="N962">(--INDEX('Raw Data'!$A$4:D$998,$F962,7))</f>
        <v>#NUM!</v>
      </c>
      <c r="O962" t="e">
        <f t="array" ref="O962">IF(--INDEX('Raw Data'!$A$4:E$998,$F962,8)= 0, 1, 0)</f>
        <v>#NUM!</v>
      </c>
      <c r="P962" t="e">
        <f t="array" ref="P962">IF(--INDEX('Raw Data'!$A$4:F$998,$F962,8)= 1, 1, 0)</f>
        <v>#NUM!</v>
      </c>
      <c r="Q962" t="e">
        <f t="array" ref="Q962">IF(--INDEX('Raw Data'!$A$4:G$998,$F962,13)= 1, 1, 0)</f>
        <v>#NUM!</v>
      </c>
      <c r="R962" t="e">
        <f t="array" ref="R962">IF(--INDEX('Raw Data'!$A$4:H$998,$F962,14)= 1, 1, 0)</f>
        <v>#NUM!</v>
      </c>
      <c r="S962" t="e">
        <f t="array" ref="S962">IF(--INDEX('Raw Data'!$A$4:I$998,$F962,15)= 1, 1, 0)</f>
        <v>#NUM!</v>
      </c>
      <c r="T962" t="e">
        <f t="array" ref="T962">IF(--INDEX('Raw Data'!$A$4:I$998,$F962,15)= 1, 1, 0)</f>
        <v>#NUM!</v>
      </c>
      <c r="U962" t="e">
        <f t="array" ref="U962">IF(--INDEX('Raw Data'!$A$4:J$998,$F962,16)= 1, 1, 0)</f>
        <v>#NUM!</v>
      </c>
      <c r="V962" t="e">
        <f t="array" ref="V962">IF(--INDEX('Raw Data'!$A$4:K$998,$F962,17)= 1, 1, 0)</f>
        <v>#NUM!</v>
      </c>
      <c r="W962" t="e">
        <f t="array" ref="W962">INDEX('Raw Data'!$A:$O,$F962,19)</f>
        <v>#NUM!</v>
      </c>
      <c r="X962" t="e">
        <f t="array" ref="X962">INDEX('Raw Data'!$A:$O,$F962,20)</f>
        <v>#NUM!</v>
      </c>
      <c r="Y962" t="e">
        <f t="array" ref="Y962">INDEX('Raw Data'!$A:$O,F962,21)</f>
        <v>#NUM!</v>
      </c>
      <c r="Z962" t="e">
        <f t="array" ref="Z962">INDEX('Raw Data'!$A:$O,$F962,3)</f>
        <v>#NUM!</v>
      </c>
      <c r="AA962" t="e">
        <f t="array" ref="AA962">INDEX('Raw Data'!$A:$O,$F962,22)</f>
        <v>#NUM!</v>
      </c>
      <c r="AB962" t="e">
        <f t="array" ref="AB962">INDEX('Raw Data'!$A:$O,$F962,23)</f>
        <v>#NUM!</v>
      </c>
      <c r="AM962" s="21"/>
      <c r="AR962" s="25"/>
    </row>
    <row r="963" spans="1:44" x14ac:dyDescent="0.25">
      <c r="F963" t="e">
        <f t="array" ref="F963">SMALL(IF('Raw Data'!A:A=C955,ROW('Raw Data'!A:A)),ROW('Raw Data'!$8:$8))</f>
        <v>#NUM!</v>
      </c>
      <c r="G963" t="e">
        <f t="array" ref="G963">INDEX('Raw Data'!A:A,F963,9)</f>
        <v>#NUM!</v>
      </c>
      <c r="H963" t="e">
        <f t="array" ref="H963">INDEX('Raw Data'!A:A,F963,10)</f>
        <v>#NUM!</v>
      </c>
      <c r="I963" t="e">
        <f t="array" ref="I963">INDEX('Raw Data'!$A:A,$F963,11)</f>
        <v>#NUM!</v>
      </c>
      <c r="J963" t="e">
        <f t="array" ref="J963">INDEX('Raw Data'!$A:A,F963,12)</f>
        <v>#NUM!</v>
      </c>
      <c r="K963" t="e">
        <f t="array" ref="K963">(--INDEX('Raw Data'!$A$4:B$998,F963,4))</f>
        <v>#NUM!</v>
      </c>
      <c r="L963" t="e">
        <f t="array" ref="L963">(--INDEX('Raw Data'!$A$4:B$998,F963,5))</f>
        <v>#NUM!</v>
      </c>
      <c r="M963" t="e">
        <f t="array" ref="M963">(--INDEX('Raw Data'!$A$4:D$998,$F963,6))</f>
        <v>#NUM!</v>
      </c>
      <c r="N963" t="e">
        <f t="array" ref="N963">(--INDEX('Raw Data'!$A$4:D$998,$F963,7))</f>
        <v>#NUM!</v>
      </c>
      <c r="O963" t="e">
        <f t="array" ref="O963">IF(--INDEX('Raw Data'!$A$4:E$998,$F963,8)= 0, 1, 0)</f>
        <v>#NUM!</v>
      </c>
      <c r="P963" t="e">
        <f t="array" ref="P963">IF(--INDEX('Raw Data'!$A$4:F$998,$F963,8)= 1, 1, 0)</f>
        <v>#NUM!</v>
      </c>
      <c r="Q963" t="e">
        <f t="array" ref="Q963">IF(--INDEX('Raw Data'!$A$4:G$998,$F963,13)= 1, 1, 0)</f>
        <v>#NUM!</v>
      </c>
      <c r="R963" t="e">
        <f t="array" ref="R963">IF(--INDEX('Raw Data'!$A$4:H$998,$F963,14)= 1, 1, 0)</f>
        <v>#NUM!</v>
      </c>
      <c r="S963" t="e">
        <f t="array" ref="S963">IF(--INDEX('Raw Data'!$A$4:I$998,$F963,15)= 1, 1, 0)</f>
        <v>#NUM!</v>
      </c>
      <c r="T963" t="e">
        <f t="array" ref="T963">IF(--INDEX('Raw Data'!$A$4:I$998,$F963,15)= 1, 1, 0)</f>
        <v>#NUM!</v>
      </c>
      <c r="U963" t="e">
        <f t="array" ref="U963">IF(--INDEX('Raw Data'!$A$4:J$998,$F963,16)= 1, 1, 0)</f>
        <v>#NUM!</v>
      </c>
      <c r="V963" t="e">
        <f t="array" ref="V963">IF(--INDEX('Raw Data'!$A$4:K$998,$F963,17)= 1, 1, 0)</f>
        <v>#NUM!</v>
      </c>
      <c r="W963" t="e">
        <f t="array" ref="W963">INDEX('Raw Data'!$A:$O,$F963,19)</f>
        <v>#NUM!</v>
      </c>
      <c r="X963" t="e">
        <f t="array" ref="X963">INDEX('Raw Data'!$A:$O,$F963,20)</f>
        <v>#NUM!</v>
      </c>
      <c r="Y963" t="e">
        <f t="array" ref="Y963">INDEX('Raw Data'!$A:$O,F963,21)</f>
        <v>#NUM!</v>
      </c>
      <c r="Z963" t="e">
        <f t="array" ref="Z963">INDEX('Raw Data'!$A:$O,$F963,3)</f>
        <v>#NUM!</v>
      </c>
      <c r="AA963" t="e">
        <f t="array" ref="AA963">INDEX('Raw Data'!$A:$O,$F963,22)</f>
        <v>#NUM!</v>
      </c>
      <c r="AB963" t="e">
        <f t="array" ref="AB963">INDEX('Raw Data'!$A:$O,$F963,23)</f>
        <v>#NUM!</v>
      </c>
      <c r="AR963" s="25"/>
    </row>
    <row r="964" spans="1:44" x14ac:dyDescent="0.25">
      <c r="F964" t="e">
        <f t="array" ref="F964">SMALL(IF('Raw Data'!A:A=C955,ROW('Raw Data'!A:A)),ROW('Raw Data'!$9:$9))</f>
        <v>#NUM!</v>
      </c>
      <c r="G964" t="e">
        <f t="array" ref="G964">INDEX('Raw Data'!A:A,F964,9)</f>
        <v>#NUM!</v>
      </c>
      <c r="H964" t="e">
        <f t="array" ref="H964">INDEX('Raw Data'!A:A,F964,10)</f>
        <v>#NUM!</v>
      </c>
      <c r="I964" t="e">
        <f t="array" ref="I964">INDEX('Raw Data'!$A:A,$F964,11)</f>
        <v>#NUM!</v>
      </c>
      <c r="J964" t="e">
        <f t="array" ref="J964">INDEX('Raw Data'!$A:A,F964,12)</f>
        <v>#NUM!</v>
      </c>
      <c r="K964" t="e">
        <f t="array" ref="K964">(--INDEX('Raw Data'!$A$4:B$998,F964,4))</f>
        <v>#NUM!</v>
      </c>
      <c r="L964" t="e">
        <f t="array" ref="L964">(--INDEX('Raw Data'!$A$4:B$998,F964,5))</f>
        <v>#NUM!</v>
      </c>
      <c r="M964" t="e">
        <f t="array" ref="M964">(--INDEX('Raw Data'!$A$4:D$998,$F964,6))</f>
        <v>#NUM!</v>
      </c>
      <c r="N964" t="e">
        <f t="array" ref="N964">(--INDEX('Raw Data'!$A$4:D$998,$F964,7))</f>
        <v>#NUM!</v>
      </c>
      <c r="O964" t="e">
        <f t="array" ref="O964">IF(--INDEX('Raw Data'!$A$4:E$998,$F964,8)= 0, 1, 0)</f>
        <v>#NUM!</v>
      </c>
      <c r="P964" t="e">
        <f t="array" ref="P964">IF(--INDEX('Raw Data'!$A$4:F$998,$F964,8)= 1, 1, 0)</f>
        <v>#NUM!</v>
      </c>
      <c r="Q964" t="e">
        <f t="array" ref="Q964">IF(--INDEX('Raw Data'!$A$4:G$998,$F964,13)= 1, 1, 0)</f>
        <v>#NUM!</v>
      </c>
      <c r="R964" t="e">
        <f t="array" ref="R964">IF(--INDEX('Raw Data'!$A$4:H$998,$F964,14)= 1, 1, 0)</f>
        <v>#NUM!</v>
      </c>
      <c r="S964" t="e">
        <f t="array" ref="S964">IF(--INDEX('Raw Data'!$A$4:I$998,$F964,15)= 1, 1, 0)</f>
        <v>#NUM!</v>
      </c>
      <c r="T964" t="e">
        <f t="array" ref="T964">IF(--INDEX('Raw Data'!$A$4:I$998,$F964,15)= 1, 1, 0)</f>
        <v>#NUM!</v>
      </c>
      <c r="U964" t="e">
        <f t="array" ref="U964">IF(--INDEX('Raw Data'!$A$4:J$998,$F964,16)= 1, 1, 0)</f>
        <v>#NUM!</v>
      </c>
      <c r="V964" t="e">
        <f t="array" ref="V964">IF(--INDEX('Raw Data'!$A$4:K$998,$F964,17)= 1, 1, 0)</f>
        <v>#NUM!</v>
      </c>
      <c r="W964" t="e">
        <f t="array" ref="W964">INDEX('Raw Data'!$A:$O,$F964,19)</f>
        <v>#NUM!</v>
      </c>
      <c r="X964" t="e">
        <f t="array" ref="X964">INDEX('Raw Data'!$A:$O,$F964,20)</f>
        <v>#NUM!</v>
      </c>
      <c r="Y964" t="e">
        <f t="array" ref="Y964">INDEX('Raw Data'!$A:$O,F964,21)</f>
        <v>#NUM!</v>
      </c>
      <c r="Z964" t="e">
        <f t="array" ref="Z964">INDEX('Raw Data'!$A:$O,$F964,3)</f>
        <v>#NUM!</v>
      </c>
      <c r="AA964" t="e">
        <f t="array" ref="AA964">INDEX('Raw Data'!$A:$O,$F964,22)</f>
        <v>#NUM!</v>
      </c>
      <c r="AB964" t="e">
        <f t="array" ref="AB964">INDEX('Raw Data'!$A:$O,$F964,23)</f>
        <v>#NUM!</v>
      </c>
      <c r="AR964" s="25"/>
    </row>
    <row r="965" spans="1:44" x14ac:dyDescent="0.25">
      <c r="F965" t="e">
        <f t="array" ref="F965">SMALL(IF('Raw Data'!A:A=C955,ROW('Raw Data'!A:A)),ROW('Raw Data'!$10:$10))</f>
        <v>#NUM!</v>
      </c>
      <c r="G965" t="e">
        <f t="array" ref="G965">INDEX('Raw Data'!A:A,F965,9)</f>
        <v>#NUM!</v>
      </c>
      <c r="H965" t="e">
        <f t="array" ref="H965">INDEX('Raw Data'!A:A,F965,10)</f>
        <v>#NUM!</v>
      </c>
      <c r="I965" t="e">
        <f t="array" ref="I965">INDEX('Raw Data'!$A:A,$F965,11)</f>
        <v>#NUM!</v>
      </c>
      <c r="J965" t="e">
        <f t="array" ref="J965">INDEX('Raw Data'!$A:A,F965,12)</f>
        <v>#NUM!</v>
      </c>
      <c r="K965" t="e">
        <f t="array" ref="K965">(--INDEX('Raw Data'!$A$4:B$998,F965,4))</f>
        <v>#NUM!</v>
      </c>
      <c r="L965" t="e">
        <f t="array" ref="L965">(--INDEX('Raw Data'!$A$4:B$998,F965,5))</f>
        <v>#NUM!</v>
      </c>
      <c r="M965" t="e">
        <f t="array" ref="M965">(--INDEX('Raw Data'!$A$4:D$998,$F965,6))</f>
        <v>#NUM!</v>
      </c>
      <c r="N965" t="e">
        <f t="array" ref="N965">(--INDEX('Raw Data'!$A$4:D$998,$F965,7))</f>
        <v>#NUM!</v>
      </c>
      <c r="O965" t="e">
        <f t="array" ref="O965">IF(--INDEX('Raw Data'!$A$4:E$998,$F965,8)= 0, 1, 0)</f>
        <v>#NUM!</v>
      </c>
      <c r="P965" t="e">
        <f t="array" ref="P965">IF(--INDEX('Raw Data'!$A$4:F$998,$F965,8)= 1, 1, 0)</f>
        <v>#NUM!</v>
      </c>
      <c r="Q965" t="e">
        <f t="array" ref="Q965">IF(--INDEX('Raw Data'!$A$4:G$998,$F965,13)= 1, 1, 0)</f>
        <v>#NUM!</v>
      </c>
      <c r="R965" t="e">
        <f t="array" ref="R965">IF(--INDEX('Raw Data'!$A$4:H$998,$F965,14)= 1, 1, 0)</f>
        <v>#NUM!</v>
      </c>
      <c r="S965" t="e">
        <f t="array" ref="S965">IF(--INDEX('Raw Data'!$A$4:I$998,$F965,15)= 1, 1, 0)</f>
        <v>#NUM!</v>
      </c>
      <c r="T965" t="e">
        <f t="array" ref="T965">IF(--INDEX('Raw Data'!$A$4:I$998,$F965,15)= 1, 1, 0)</f>
        <v>#NUM!</v>
      </c>
      <c r="U965" t="e">
        <f t="array" ref="U965">IF(--INDEX('Raw Data'!$A$4:J$998,$F965,16)= 1, 1, 0)</f>
        <v>#NUM!</v>
      </c>
      <c r="V965" t="e">
        <f t="array" ref="V965">IF(--INDEX('Raw Data'!$A$4:K$998,$F965,17)= 1, 1, 0)</f>
        <v>#NUM!</v>
      </c>
      <c r="W965" t="e">
        <f t="array" ref="W965">INDEX('Raw Data'!$A:$O,$F965,19)</f>
        <v>#NUM!</v>
      </c>
      <c r="X965" t="e">
        <f t="array" ref="X965">INDEX('Raw Data'!$A:$O,$F965,20)</f>
        <v>#NUM!</v>
      </c>
      <c r="Y965" t="e">
        <f t="array" ref="Y965">INDEX('Raw Data'!$A:$O,F965,21)</f>
        <v>#NUM!</v>
      </c>
      <c r="Z965" t="e">
        <f t="array" ref="Z965">INDEX('Raw Data'!$A:$O,$F965,3)</f>
        <v>#NUM!</v>
      </c>
      <c r="AA965" t="e">
        <f t="array" ref="AA965">INDEX('Raw Data'!$A:$O,$F965,22)</f>
        <v>#NUM!</v>
      </c>
      <c r="AB965" t="e">
        <f t="array" ref="AB965">INDEX('Raw Data'!$A:$O,$F965,23)</f>
        <v>#NUM!</v>
      </c>
      <c r="AR965" s="25"/>
    </row>
    <row r="966" spans="1:44" x14ac:dyDescent="0.25">
      <c r="F966" t="e">
        <f t="array" ref="F966">SMALL(IF('Raw Data'!A:A=C955,ROW('Raw Data'!A:A)),ROW('Raw Data'!$11:$11))</f>
        <v>#NUM!</v>
      </c>
      <c r="G966" t="e">
        <f t="array" ref="G966">INDEX('Raw Data'!A:A,F966,9)</f>
        <v>#NUM!</v>
      </c>
      <c r="H966" t="e">
        <f t="array" ref="H966">INDEX('Raw Data'!A:A,F966,10)</f>
        <v>#NUM!</v>
      </c>
      <c r="I966" t="e">
        <f t="array" ref="I966">INDEX('Raw Data'!$A:A,$F966,11)</f>
        <v>#NUM!</v>
      </c>
      <c r="J966" t="e">
        <f t="array" ref="J966">INDEX('Raw Data'!$A:A,F966,12)</f>
        <v>#NUM!</v>
      </c>
      <c r="K966" t="e">
        <f t="array" ref="K966">(--INDEX('Raw Data'!$A$4:B$998,F966,4))</f>
        <v>#NUM!</v>
      </c>
      <c r="L966" t="e">
        <f t="array" ref="L966">(--INDEX('Raw Data'!$A$4:B$998,F966,5))</f>
        <v>#NUM!</v>
      </c>
      <c r="M966" t="e">
        <f t="array" ref="M966">(--INDEX('Raw Data'!$A$4:D$998,$F966,6))</f>
        <v>#NUM!</v>
      </c>
      <c r="N966" t="e">
        <f t="array" ref="N966">(--INDEX('Raw Data'!$A$4:D$998,$F966,7))</f>
        <v>#NUM!</v>
      </c>
      <c r="O966" t="e">
        <f t="array" ref="O966">IF(--INDEX('Raw Data'!$A$4:E$998,$F966,8)= 0, 1, 0)</f>
        <v>#NUM!</v>
      </c>
      <c r="P966" t="e">
        <f t="array" ref="P966">IF(--INDEX('Raw Data'!$A$4:F$998,$F966,8)= 1, 1, 0)</f>
        <v>#NUM!</v>
      </c>
      <c r="Q966" t="e">
        <f t="array" ref="Q966">IF(--INDEX('Raw Data'!$A$4:G$998,$F966,13)= 1, 1, 0)</f>
        <v>#NUM!</v>
      </c>
      <c r="R966" t="e">
        <f t="array" ref="R966">IF(--INDEX('Raw Data'!$A$4:H$998,$F966,14)= 1, 1, 0)</f>
        <v>#NUM!</v>
      </c>
      <c r="S966" t="e">
        <f t="array" ref="S966">IF(--INDEX('Raw Data'!$A$4:I$998,$F966,15)= 1, 1, 0)</f>
        <v>#NUM!</v>
      </c>
      <c r="T966" t="e">
        <f t="array" ref="T966">IF(--INDEX('Raw Data'!$A$4:I$998,$F966,15)= 1, 1, 0)</f>
        <v>#NUM!</v>
      </c>
      <c r="U966" t="e">
        <f t="array" ref="U966">IF(--INDEX('Raw Data'!$A$4:J$998,$F966,16)= 1, 1, 0)</f>
        <v>#NUM!</v>
      </c>
      <c r="V966" t="e">
        <f t="array" ref="V966">IF(--INDEX('Raw Data'!$A$4:K$998,$F966,17)= 1, 1, 0)</f>
        <v>#NUM!</v>
      </c>
      <c r="W966" t="e">
        <f t="array" ref="W966">INDEX('Raw Data'!$A:$O,$F966,19)</f>
        <v>#NUM!</v>
      </c>
      <c r="X966" t="e">
        <f t="array" ref="X966">INDEX('Raw Data'!$A:$O,$F966,20)</f>
        <v>#NUM!</v>
      </c>
      <c r="Y966" t="e">
        <f t="array" ref="Y966">INDEX('Raw Data'!$A:$O,F966,21)</f>
        <v>#NUM!</v>
      </c>
      <c r="Z966" t="e">
        <f t="array" ref="Z966">INDEX('Raw Data'!$A:$O,$F966,3)</f>
        <v>#NUM!</v>
      </c>
      <c r="AA966" t="e">
        <f t="array" ref="AA966">INDEX('Raw Data'!$A:$O,$F966,22)</f>
        <v>#NUM!</v>
      </c>
      <c r="AB966" t="e">
        <f t="array" ref="AB966">INDEX('Raw Data'!$A:$O,$F966,23)</f>
        <v>#NUM!</v>
      </c>
      <c r="AR966" s="25"/>
    </row>
    <row r="967" spans="1:44" x14ac:dyDescent="0.25">
      <c r="F967" t="e">
        <f t="array" ref="F967">SMALL(IF('Raw Data'!A:A=C955,ROW('Raw Data'!A:A)),ROW('Raw Data'!$12:$12))</f>
        <v>#NUM!</v>
      </c>
      <c r="G967" t="e">
        <f t="array" ref="G967">INDEX('Raw Data'!A:A,F967,9)</f>
        <v>#NUM!</v>
      </c>
      <c r="H967" t="e">
        <f t="array" ref="H967">INDEX('Raw Data'!A:A,F967,10)</f>
        <v>#NUM!</v>
      </c>
      <c r="I967" t="e">
        <f t="array" ref="I967">INDEX('Raw Data'!$A:A,$F967,11)</f>
        <v>#NUM!</v>
      </c>
      <c r="J967" t="e">
        <f t="array" ref="J967">INDEX('Raw Data'!$A:A,F967,12)</f>
        <v>#NUM!</v>
      </c>
      <c r="K967" t="e">
        <f t="array" ref="K967">(--INDEX('Raw Data'!$A$4:B$998,F967,4))</f>
        <v>#NUM!</v>
      </c>
      <c r="L967" t="e">
        <f t="array" ref="L967">(--INDEX('Raw Data'!$A$4:B$998,F967,5))</f>
        <v>#NUM!</v>
      </c>
      <c r="M967" t="e">
        <f t="array" ref="M967">(--INDEX('Raw Data'!$A$4:D$998,$F967,6))</f>
        <v>#NUM!</v>
      </c>
      <c r="N967" t="e">
        <f t="array" ref="N967">(--INDEX('Raw Data'!$A$4:D$998,$F967,7))</f>
        <v>#NUM!</v>
      </c>
      <c r="O967" t="e">
        <f t="array" ref="O967">IF(--INDEX('Raw Data'!$A$4:E$998,$F967,8)= 0, 1, 0)</f>
        <v>#NUM!</v>
      </c>
      <c r="P967" t="e">
        <f t="array" ref="P967">IF(--INDEX('Raw Data'!$A$4:F$998,$F967,8)= 1, 1, 0)</f>
        <v>#NUM!</v>
      </c>
      <c r="Q967" t="e">
        <f t="array" ref="Q967">IF(--INDEX('Raw Data'!$A$4:G$998,$F967,13)= 1, 1, 0)</f>
        <v>#NUM!</v>
      </c>
      <c r="R967" t="e">
        <f t="array" ref="R967">IF(--INDEX('Raw Data'!$A$4:H$998,$F967,14)= 1, 1, 0)</f>
        <v>#NUM!</v>
      </c>
      <c r="S967" t="e">
        <f t="array" ref="S967">IF(--INDEX('Raw Data'!$A$4:I$998,$F967,15)= 1, 1, 0)</f>
        <v>#NUM!</v>
      </c>
      <c r="T967" t="e">
        <f t="array" ref="T967">IF(--INDEX('Raw Data'!$A$4:I$998,$F967,15)= 1, 1, 0)</f>
        <v>#NUM!</v>
      </c>
      <c r="U967" t="e">
        <f t="array" ref="U967">IF(--INDEX('Raw Data'!$A$4:J$998,$F967,16)= 1, 1, 0)</f>
        <v>#NUM!</v>
      </c>
      <c r="V967" t="e">
        <f t="array" ref="V967">IF(--INDEX('Raw Data'!$A$4:K$998,$F967,17)= 1, 1, 0)</f>
        <v>#NUM!</v>
      </c>
      <c r="W967" t="e">
        <f t="array" ref="W967">INDEX('Raw Data'!$A:$O,$F967,19)</f>
        <v>#NUM!</v>
      </c>
      <c r="X967" t="e">
        <f t="array" ref="X967">INDEX('Raw Data'!$A:$O,$F967,20)</f>
        <v>#NUM!</v>
      </c>
      <c r="Y967" t="e">
        <f t="array" ref="Y967">INDEX('Raw Data'!$A:$O,F967,21)</f>
        <v>#NUM!</v>
      </c>
      <c r="Z967" t="e">
        <f t="array" ref="Z967">INDEX('Raw Data'!$A:$O,$F967,3)</f>
        <v>#NUM!</v>
      </c>
      <c r="AA967" t="e">
        <f t="array" ref="AA967">INDEX('Raw Data'!$A:$O,$F967,22)</f>
        <v>#NUM!</v>
      </c>
      <c r="AB967" t="e">
        <f t="array" ref="AB967">INDEX('Raw Data'!$A:$O,$F967,23)</f>
        <v>#NUM!</v>
      </c>
      <c r="AR967" s="25"/>
    </row>
    <row r="968" spans="1:44" x14ac:dyDescent="0.25">
      <c r="F968" t="e">
        <f t="array" ref="F968">SMALL(IF('Raw Data'!A:A=C955,ROW('Raw Data'!A:A)),ROW('Raw Data'!$13:$13))</f>
        <v>#NUM!</v>
      </c>
      <c r="G968" t="e">
        <f t="array" ref="G968">INDEX('Raw Data'!A:A,F968,9)</f>
        <v>#NUM!</v>
      </c>
      <c r="H968" t="e">
        <f t="array" ref="H968">INDEX('Raw Data'!A:A,F968,10)</f>
        <v>#NUM!</v>
      </c>
      <c r="I968" t="e">
        <f t="array" ref="I968">INDEX('Raw Data'!$A:A,$F968,11)</f>
        <v>#NUM!</v>
      </c>
      <c r="J968" t="e">
        <f t="array" ref="J968">INDEX('Raw Data'!$A:A,F968,12)</f>
        <v>#NUM!</v>
      </c>
      <c r="K968" t="e">
        <f t="array" ref="K968">(--INDEX('Raw Data'!$A$4:B$998,F968,4))</f>
        <v>#NUM!</v>
      </c>
      <c r="L968" t="e">
        <f t="array" ref="L968">(--INDEX('Raw Data'!$A$4:B$998,F968,5))</f>
        <v>#NUM!</v>
      </c>
      <c r="M968" t="e">
        <f t="array" ref="M968">(--INDEX('Raw Data'!$A$4:D$998,$F968,6))</f>
        <v>#NUM!</v>
      </c>
      <c r="N968" t="e">
        <f t="array" ref="N968">(--INDEX('Raw Data'!$A$4:D$998,$F968,7))</f>
        <v>#NUM!</v>
      </c>
      <c r="O968" t="e">
        <f t="array" ref="O968">IF(--INDEX('Raw Data'!$A$4:E$998,$F968,8)= 0, 1, 0)</f>
        <v>#NUM!</v>
      </c>
      <c r="P968" t="e">
        <f t="array" ref="P968">IF(--INDEX('Raw Data'!$A$4:F$998,$F968,8)= 1, 1, 0)</f>
        <v>#NUM!</v>
      </c>
      <c r="Q968" t="e">
        <f t="array" ref="Q968">IF(--INDEX('Raw Data'!$A$4:G$998,$F968,13)= 1, 1, 0)</f>
        <v>#NUM!</v>
      </c>
      <c r="R968" t="e">
        <f t="array" ref="R968">IF(--INDEX('Raw Data'!$A$4:H$998,$F968,14)= 1, 1, 0)</f>
        <v>#NUM!</v>
      </c>
      <c r="S968" t="e">
        <f t="array" ref="S968">IF(--INDEX('Raw Data'!$A$4:I$998,$F968,15)= 1, 1, 0)</f>
        <v>#NUM!</v>
      </c>
      <c r="T968" t="e">
        <f t="array" ref="T968">IF(--INDEX('Raw Data'!$A$4:I$998,$F968,15)= 1, 1, 0)</f>
        <v>#NUM!</v>
      </c>
      <c r="U968" t="e">
        <f t="array" ref="U968">IF(--INDEX('Raw Data'!$A$4:J$998,$F968,16)= 1, 1, 0)</f>
        <v>#NUM!</v>
      </c>
      <c r="V968" t="e">
        <f t="array" ref="V968">IF(--INDEX('Raw Data'!$A$4:K$998,$F968,17)= 1, 1, 0)</f>
        <v>#NUM!</v>
      </c>
      <c r="W968" t="e">
        <f t="array" ref="W968">INDEX('Raw Data'!$A:$O,$F968,19)</f>
        <v>#NUM!</v>
      </c>
      <c r="X968" t="e">
        <f t="array" ref="X968">INDEX('Raw Data'!$A:$O,$F968,20)</f>
        <v>#NUM!</v>
      </c>
      <c r="Y968" t="e">
        <f t="array" ref="Y968">INDEX('Raw Data'!$A:$O,F968,21)</f>
        <v>#NUM!</v>
      </c>
      <c r="Z968" t="e">
        <f t="array" ref="Z968">INDEX('Raw Data'!$A:$O,$F968,3)</f>
        <v>#NUM!</v>
      </c>
      <c r="AA968" t="e">
        <f t="array" ref="AA968">INDEX('Raw Data'!$A:$O,$F968,22)</f>
        <v>#NUM!</v>
      </c>
      <c r="AB968" t="e">
        <f t="array" ref="AB968">INDEX('Raw Data'!$A:$O,$F968,23)</f>
        <v>#NUM!</v>
      </c>
      <c r="AR968" s="25"/>
    </row>
    <row r="969" spans="1:44" x14ac:dyDescent="0.25">
      <c r="F969" t="e">
        <f t="array" ref="F969">SMALL(IF('Raw Data'!A:A=C955,ROW('Raw Data'!A:A)),ROW('Raw Data'!$14:$14))</f>
        <v>#NUM!</v>
      </c>
      <c r="G969" t="e">
        <f t="array" ref="G969">INDEX('Raw Data'!A:A,F969,9)</f>
        <v>#NUM!</v>
      </c>
      <c r="H969" t="e">
        <f t="array" ref="H969">INDEX('Raw Data'!A:A,F969,10)</f>
        <v>#NUM!</v>
      </c>
      <c r="I969" t="e">
        <f t="array" ref="I969">INDEX('Raw Data'!$A:A,$F969,11)</f>
        <v>#NUM!</v>
      </c>
      <c r="J969" t="e">
        <f t="array" ref="J969">INDEX('Raw Data'!$A:A,F969,12)</f>
        <v>#NUM!</v>
      </c>
      <c r="K969" t="e">
        <f t="array" ref="K969">(--INDEX('Raw Data'!$A$4:B$998,F969,4))</f>
        <v>#NUM!</v>
      </c>
      <c r="L969" t="e">
        <f t="array" ref="L969">(--INDEX('Raw Data'!$A$4:B$998,F969,5))</f>
        <v>#NUM!</v>
      </c>
      <c r="M969" t="e">
        <f t="array" ref="M969">(--INDEX('Raw Data'!$A$4:D$998,$F969,6))</f>
        <v>#NUM!</v>
      </c>
      <c r="N969" t="e">
        <f t="array" ref="N969">(--INDEX('Raw Data'!$A$4:D$998,$F969,7))</f>
        <v>#NUM!</v>
      </c>
      <c r="O969" t="e">
        <f t="array" ref="O969">IF(--INDEX('Raw Data'!$A$4:E$998,$F969,8)= 0, 1, 0)</f>
        <v>#NUM!</v>
      </c>
      <c r="P969" t="e">
        <f t="array" ref="P969">IF(--INDEX('Raw Data'!$A$4:F$998,$F969,8)= 1, 1, 0)</f>
        <v>#NUM!</v>
      </c>
      <c r="Q969" t="e">
        <f t="array" ref="Q969">IF(--INDEX('Raw Data'!$A$4:G$998,$F969,13)= 1, 1, 0)</f>
        <v>#NUM!</v>
      </c>
      <c r="R969" t="e">
        <f t="array" ref="R969">IF(--INDEX('Raw Data'!$A$4:H$998,$F969,14)= 1, 1, 0)</f>
        <v>#NUM!</v>
      </c>
      <c r="S969" t="e">
        <f t="array" ref="S969">IF(--INDEX('Raw Data'!$A$4:I$998,$F969,15)= 1, 1, 0)</f>
        <v>#NUM!</v>
      </c>
      <c r="T969" t="e">
        <f t="array" ref="T969">IF(--INDEX('Raw Data'!$A$4:I$998,$F969,15)= 1, 1, 0)</f>
        <v>#NUM!</v>
      </c>
      <c r="U969" t="e">
        <f t="array" ref="U969">IF(--INDEX('Raw Data'!$A$4:J$998,$F969,16)= 1, 1, 0)</f>
        <v>#NUM!</v>
      </c>
      <c r="V969" t="e">
        <f t="array" ref="V969">IF(--INDEX('Raw Data'!$A$4:K$998,$F969,17)= 1, 1, 0)</f>
        <v>#NUM!</v>
      </c>
      <c r="W969" t="e">
        <f t="array" ref="W969">INDEX('Raw Data'!$A:$O,$F969,19)</f>
        <v>#NUM!</v>
      </c>
      <c r="X969" t="e">
        <f t="array" ref="X969">INDEX('Raw Data'!$A:$O,$F969,20)</f>
        <v>#NUM!</v>
      </c>
      <c r="Y969" t="e">
        <f t="array" ref="Y969">INDEX('Raw Data'!$A:$O,F969,21)</f>
        <v>#NUM!</v>
      </c>
      <c r="Z969" t="e">
        <f t="array" ref="Z969">INDEX('Raw Data'!$A:$O,$F969,3)</f>
        <v>#NUM!</v>
      </c>
      <c r="AA969" t="e">
        <f t="array" ref="AA969">INDEX('Raw Data'!$A:$O,$F969,22)</f>
        <v>#NUM!</v>
      </c>
      <c r="AB969" t="e">
        <f t="array" ref="AB969">INDEX('Raw Data'!$A:$O,$F969,23)</f>
        <v>#NUM!</v>
      </c>
      <c r="AR969" s="25"/>
    </row>
    <row r="970" spans="1:44" x14ac:dyDescent="0.25">
      <c r="F970" t="e">
        <f t="array" ref="F970">SMALL(IF('Raw Data'!A:A=C955,ROW('Raw Data'!A:A)),ROW('Raw Data'!$15:$15))</f>
        <v>#NUM!</v>
      </c>
      <c r="G970" t="e">
        <f t="array" ref="G970">INDEX('Raw Data'!A:A,F970,9)</f>
        <v>#NUM!</v>
      </c>
      <c r="H970" t="e">
        <f t="array" ref="H970">INDEX('Raw Data'!A:A,F970,10)</f>
        <v>#NUM!</v>
      </c>
      <c r="I970" t="e">
        <f t="array" ref="I970">INDEX('Raw Data'!$A:A,$F970,11)</f>
        <v>#NUM!</v>
      </c>
      <c r="J970" t="e">
        <f t="array" ref="J970">INDEX('Raw Data'!$A:A,F970,12)</f>
        <v>#NUM!</v>
      </c>
      <c r="K970" t="e">
        <f t="array" ref="K970">(--INDEX('Raw Data'!$A$4:B$998,F970,4))</f>
        <v>#NUM!</v>
      </c>
      <c r="L970" t="e">
        <f t="array" ref="L970">(--INDEX('Raw Data'!$A$4:B$998,F970,5))</f>
        <v>#NUM!</v>
      </c>
      <c r="M970" t="e">
        <f t="array" ref="M970">(--INDEX('Raw Data'!$A$4:D$998,$F970,6))</f>
        <v>#NUM!</v>
      </c>
      <c r="N970" t="e">
        <f t="array" ref="N970">(--INDEX('Raw Data'!$A$4:D$998,$F970,7))</f>
        <v>#NUM!</v>
      </c>
      <c r="O970" t="e">
        <f t="array" ref="O970">IF(--INDEX('Raw Data'!$A$4:E$998,$F970,8)= 0, 1, 0)</f>
        <v>#NUM!</v>
      </c>
      <c r="P970" t="e">
        <f t="array" ref="P970">IF(--INDEX('Raw Data'!$A$4:F$998,$F970,8)= 1, 1, 0)</f>
        <v>#NUM!</v>
      </c>
      <c r="Q970" t="e">
        <f t="array" ref="Q970">IF(--INDEX('Raw Data'!$A$4:G$998,$F970,13)= 1, 1, 0)</f>
        <v>#NUM!</v>
      </c>
      <c r="R970" t="e">
        <f t="array" ref="R970">IF(--INDEX('Raw Data'!$A$4:H$998,$F970,14)= 1, 1, 0)</f>
        <v>#NUM!</v>
      </c>
      <c r="S970" t="e">
        <f t="array" ref="S970">IF(--INDEX('Raw Data'!$A$4:I$998,$F970,15)= 1, 1, 0)</f>
        <v>#NUM!</v>
      </c>
      <c r="T970" t="e">
        <f t="array" ref="T970">IF(--INDEX('Raw Data'!$A$4:I$998,$F970,15)= 1, 1, 0)</f>
        <v>#NUM!</v>
      </c>
      <c r="U970" t="e">
        <f t="array" ref="U970">IF(--INDEX('Raw Data'!$A$4:J$998,$F970,16)= 1, 1, 0)</f>
        <v>#NUM!</v>
      </c>
      <c r="V970" t="e">
        <f t="array" ref="V970">IF(--INDEX('Raw Data'!$A$4:K$998,$F970,17)= 1, 1, 0)</f>
        <v>#NUM!</v>
      </c>
      <c r="W970" t="e">
        <f t="array" ref="W970">INDEX('Raw Data'!$A:$O,$F970,19)</f>
        <v>#NUM!</v>
      </c>
      <c r="X970" t="e">
        <f t="array" ref="X970">INDEX('Raw Data'!$A:$O,$F970,20)</f>
        <v>#NUM!</v>
      </c>
      <c r="Y970" t="e">
        <f t="array" ref="Y970">INDEX('Raw Data'!$A:$O,F970,21)</f>
        <v>#NUM!</v>
      </c>
      <c r="Z970" t="e">
        <f t="array" ref="Z970">INDEX('Raw Data'!$A:$O,$F970,3)</f>
        <v>#NUM!</v>
      </c>
      <c r="AA970" t="e">
        <f t="array" ref="AA970">INDEX('Raw Data'!$A:$O,$F970,22)</f>
        <v>#NUM!</v>
      </c>
      <c r="AB970" t="e">
        <f t="array" ref="AB970">INDEX('Raw Data'!$A:$O,$F970,23)</f>
        <v>#NUM!</v>
      </c>
      <c r="AR970" s="25"/>
    </row>
    <row r="971" spans="1:44" x14ac:dyDescent="0.25">
      <c r="A971" t="s">
        <v>55</v>
      </c>
      <c r="C971" s="2" t="e">
        <f>B961/B960</f>
        <v>#DIV/0!</v>
      </c>
      <c r="F971">
        <f t="array" ref="F971">COUNTIF(F956:F970,"&gt;0")</f>
        <v>0</v>
      </c>
      <c r="G971">
        <f t="array" ref="G971">SUMIF(G956:G970,"&gt;0")</f>
        <v>0</v>
      </c>
      <c r="H971">
        <f t="array" ref="H971">SUMIF(H956:H970,"&gt;0")</f>
        <v>0</v>
      </c>
      <c r="I971">
        <f t="array" ref="I971">SUMIF(I956:I970,"&gt;0")</f>
        <v>0</v>
      </c>
      <c r="J971">
        <f t="array" ref="J971">SUMIF(J956:J970,"&gt;0")</f>
        <v>0</v>
      </c>
      <c r="K971">
        <f t="array" ref="K971">SUMIF(K956:K970,"&gt;0")</f>
        <v>0</v>
      </c>
      <c r="L971">
        <f t="array" ref="L971">SUMIF(L956:L970,"&gt;0")</f>
        <v>0</v>
      </c>
      <c r="M971">
        <f t="array" ref="M971">SUMIF(M956:M970,"&gt;0")</f>
        <v>0</v>
      </c>
      <c r="N971">
        <f t="array" ref="N971">SUMIF(N956:N970,"&gt;0")</f>
        <v>0</v>
      </c>
      <c r="O971">
        <f t="array" ref="O971">SUMIF(O956:O970,"&gt;0")</f>
        <v>0</v>
      </c>
      <c r="P971">
        <f t="array" ref="P971">SUMIF(P956:P970,"&gt;0")</f>
        <v>0</v>
      </c>
      <c r="Q971">
        <f t="array" ref="Q971">SUMIF(Q956:Q970,"&gt;0")</f>
        <v>0</v>
      </c>
      <c r="R971">
        <f t="array" ref="R971">SUMIF(R956:R970,"&gt;0")</f>
        <v>0</v>
      </c>
      <c r="S971">
        <f t="array" ref="S971">SUMIF(S956:S970,"&gt;0")</f>
        <v>0</v>
      </c>
      <c r="T971">
        <f t="array" ref="T971">SUMIF(T956:T970,"&gt;0")</f>
        <v>0</v>
      </c>
      <c r="U971">
        <f t="array" ref="U971">SUMIF(U956:U970,"&gt;0")</f>
        <v>0</v>
      </c>
      <c r="V971">
        <f t="array" ref="V971">SUMIF(V956:V970,"&gt;0")</f>
        <v>0</v>
      </c>
      <c r="W971">
        <f t="array" ref="W971">SUMIF(W956:W970,"&gt;0")</f>
        <v>0</v>
      </c>
      <c r="X971">
        <f t="array" ref="X971">SUMIF(X956:X970,"&gt;0")</f>
        <v>0</v>
      </c>
      <c r="Y971">
        <f t="array" ref="Y971">SUMIF(Y956:Y970,"&gt;0")</f>
        <v>0</v>
      </c>
      <c r="Z971">
        <f t="array" ref="Z971">SUMIF(Z956:Z970,"&gt;0")</f>
        <v>0</v>
      </c>
      <c r="AA971">
        <f t="array" ref="AA971">SUMIF(AA956:AA970,"&gt;0")</f>
        <v>0</v>
      </c>
      <c r="AB971">
        <f t="array" ref="AB971">SUMIF(AB956:AB970,"&gt;0")</f>
        <v>0</v>
      </c>
      <c r="AR971" s="25"/>
    </row>
    <row r="972" spans="1:44" x14ac:dyDescent="0.25">
      <c r="A972" t="s">
        <v>58</v>
      </c>
      <c r="C972" s="2">
        <f t="array" ref="C972">IF((K971+L971)&lt;&gt;0, (L971/(K971+L971)),0)</f>
        <v>0</v>
      </c>
      <c r="J972" s="6">
        <f t="array" ref="J972">J971*10</f>
        <v>0</v>
      </c>
      <c r="K972" s="6"/>
      <c r="P972" t="s">
        <v>95</v>
      </c>
      <c r="Q972" s="2" t="e">
        <f t="array" ref="Q972">Q971/$F971</f>
        <v>#DIV/0!</v>
      </c>
      <c r="R972" s="2" t="e">
        <f t="array" ref="R972">R971/$F971</f>
        <v>#DIV/0!</v>
      </c>
      <c r="S972" s="2" t="e">
        <f t="array" ref="S972">S971/$F971</f>
        <v>#DIV/0!</v>
      </c>
      <c r="T972" s="2" t="e">
        <f t="array" ref="T972">T971/$F971</f>
        <v>#DIV/0!</v>
      </c>
      <c r="U972" s="2" t="e">
        <f t="array" ref="U972">U971/$F971</f>
        <v>#DIV/0!</v>
      </c>
      <c r="V972" s="2" t="e">
        <f t="array" ref="V972">V971/$F971</f>
        <v>#DIV/0!</v>
      </c>
      <c r="Z972" s="2" t="e">
        <f t="array" ref="Z972">Z971/F971</f>
        <v>#DIV/0!</v>
      </c>
      <c r="AR972" s="25"/>
    </row>
    <row r="973" spans="1:44" x14ac:dyDescent="0.25">
      <c r="A973" t="s">
        <v>60</v>
      </c>
      <c r="C973" s="2">
        <f t="array" ref="C973">IF((M971+N971)&lt;&gt;0, (N971/(M971+N971)),0)</f>
        <v>0</v>
      </c>
      <c r="J973" s="6"/>
      <c r="K973" s="6"/>
      <c r="AR973" s="25"/>
    </row>
    <row r="974" spans="1:44" ht="28.5" x14ac:dyDescent="0.45">
      <c r="A974" t="s">
        <v>61</v>
      </c>
      <c r="C974" s="2">
        <f t="array" ref="C974">IF(((K971+N971+L971+M971)&lt;&gt;0), ((L971+N971)/(K971+N971+L971+M971)),0)</f>
        <v>0</v>
      </c>
      <c r="F974" s="17" t="s">
        <v>106</v>
      </c>
      <c r="G974" s="17" t="e">
        <f t="array" ref="G974">'Weighting &amp; Ranking Sheet'!$B$3*Math!$C972+'Weighting &amp; Ranking Sheet'!$B$4*Math!$C973+'Weighting &amp; Ranking Sheet'!$B$5*Math!$C974+'Weighting &amp; Ranking Sheet'!$B$6*Math!$C975+'Weighting &amp; Ranking Sheet'!$B$7*Math!$C959+'Weighting &amp; Ranking Sheet'!$B$8*Math!$C971+'Weighting &amp; Ranking Sheet'!$B$9*Math!$C978+'Weighting &amp; Ranking Sheet'!$B$10*Math!$C976+'Weighting &amp; Ranking Sheet'!$B$11*Math!$C977+'Weighting &amp; Ranking Sheet'!$B$12*Math!$C979*0.01+'Weighting &amp; Ranking Sheet'!$B$13*Math!$Q972+'Weighting &amp; Ranking Sheet'!$B$14*Math!$R972+'Weighting &amp; Ranking Sheet'!$B$15*Math!$S972+'Weighting &amp; Ranking Sheet'!$B$16*Math!$T972+'Weighting &amp; Ranking Sheet'!$B$17*Math!$U972+'Weighting &amp; Ranking Sheet'!$B$18*Math!$V972+'Weighting &amp; Ranking Sheet'!$B$2*Math!$Z972</f>
        <v>#DIV/0!</v>
      </c>
      <c r="J974"/>
      <c r="K974" s="6"/>
      <c r="AR974" s="25"/>
    </row>
    <row r="975" spans="1:44" x14ac:dyDescent="0.25">
      <c r="A975" t="s">
        <v>62</v>
      </c>
      <c r="C975" s="2">
        <f t="array" ref="C975">IF((O971+P971&lt;&gt;0),(P971/(O971+P971)), 0)</f>
        <v>0</v>
      </c>
      <c r="J975"/>
      <c r="K975" s="6"/>
      <c r="AR975" s="25"/>
    </row>
    <row r="976" spans="1:44" x14ac:dyDescent="0.25">
      <c r="A976" t="s">
        <v>77</v>
      </c>
      <c r="C976" s="8" t="e">
        <f t="array" ref="C976">W971/F971</f>
        <v>#DIV/0!</v>
      </c>
      <c r="J976"/>
      <c r="K976" s="6"/>
      <c r="AR976" s="23"/>
    </row>
    <row r="977" spans="1:44" x14ac:dyDescent="0.25">
      <c r="A977" t="s">
        <v>78</v>
      </c>
      <c r="C977" s="8" t="e">
        <f t="array" ref="C977">X971/F971</f>
        <v>#DIV/0!</v>
      </c>
      <c r="J977"/>
      <c r="K977" s="6"/>
    </row>
    <row r="978" spans="1:44" x14ac:dyDescent="0.25">
      <c r="A978" t="s">
        <v>91</v>
      </c>
      <c r="C978" s="2" t="e">
        <f t="array" ref="C978">(C959+C971)/2</f>
        <v>#DIV/0!</v>
      </c>
      <c r="J978"/>
      <c r="K978" s="6"/>
    </row>
    <row r="979" spans="1:44" x14ac:dyDescent="0.25">
      <c r="A979" t="s">
        <v>92</v>
      </c>
      <c r="C979" s="8" t="e">
        <f t="array" ref="C979">Y971/F971</f>
        <v>#DIV/0!</v>
      </c>
      <c r="J979"/>
      <c r="K979" s="6"/>
    </row>
    <row r="980" spans="1:44" x14ac:dyDescent="0.25">
      <c r="C980" s="8"/>
      <c r="J980" s="6"/>
      <c r="K980" s="6"/>
    </row>
    <row r="981" spans="1:44" x14ac:dyDescent="0.25">
      <c r="C981" s="8"/>
      <c r="J981" s="6"/>
      <c r="K981" s="6"/>
    </row>
    <row r="982" spans="1:44" x14ac:dyDescent="0.25">
      <c r="J982" s="6"/>
      <c r="K982" s="6"/>
    </row>
    <row r="983" spans="1:44" x14ac:dyDescent="0.25">
      <c r="A983" t="s">
        <v>3</v>
      </c>
      <c r="C983" s="5">
        <v>4460</v>
      </c>
      <c r="F983" t="s">
        <v>33</v>
      </c>
    </row>
    <row r="984" spans="1:44" x14ac:dyDescent="0.25">
      <c r="F984" t="e">
        <f t="array" ref="F984">SMALL(IF('Raw Data'!A:A=C983,ROW('Raw Data'!A:A)),ROW('Raw Data'!$1:$1))</f>
        <v>#NUM!</v>
      </c>
      <c r="G984" t="e">
        <f t="array" ref="G984">INDEX('Raw Data'!A:A,F984,9)</f>
        <v>#NUM!</v>
      </c>
      <c r="H984" t="e">
        <f t="array" ref="H984">INDEX('Raw Data'!A:A,F984,10)</f>
        <v>#NUM!</v>
      </c>
      <c r="I984" t="e">
        <f t="array" ref="I984">INDEX('Raw Data'!$A:A,$F984,11)</f>
        <v>#NUM!</v>
      </c>
      <c r="J984" t="e">
        <f t="array" ref="J984">INDEX('Raw Data'!$A:A,F984,12)</f>
        <v>#NUM!</v>
      </c>
      <c r="K984" t="e">
        <f>(--INDEX('Raw Data'!$A$4:B$993,F984,4))</f>
        <v>#NUM!</v>
      </c>
      <c r="L984" t="e">
        <f t="array" ref="L984">(--INDEX('Raw Data'!$A$4:B$993,F984,5))</f>
        <v>#NUM!</v>
      </c>
      <c r="M984" t="e">
        <f t="array" ref="M984">(--INDEX('Raw Data'!$A$4:D$993,$F984,6))</f>
        <v>#NUM!</v>
      </c>
      <c r="N984" t="e">
        <f t="array" ref="N984">(--INDEX('Raw Data'!$A$4:D$993,$F984,7))</f>
        <v>#NUM!</v>
      </c>
      <c r="O984" t="e">
        <f t="array" ref="O984">IF(--INDEX('Raw Data'!$A$4:E$993,$F984,8)= 0, 1, 0)</f>
        <v>#NUM!</v>
      </c>
      <c r="P984" t="e">
        <f t="array" ref="P984">IF(--INDEX('Raw Data'!$A$4:F$993,$F984,8)= 1, 1, 0)</f>
        <v>#NUM!</v>
      </c>
      <c r="Q984" t="e">
        <f t="array" ref="Q984">IF(--INDEX('Raw Data'!$A$4:G$993,$F984,13)= 1, 1, 0)</f>
        <v>#NUM!</v>
      </c>
      <c r="R984" t="e">
        <f t="array" ref="R984">IF(--INDEX('Raw Data'!$A$4:H$993,$F984,14)= 1, 1, 0)</f>
        <v>#NUM!</v>
      </c>
      <c r="S984" t="e">
        <f t="array" ref="S984">IF(--INDEX('Raw Data'!$A$4:I$993,$F984,15)= 1, 1, 0)</f>
        <v>#NUM!</v>
      </c>
      <c r="T984" t="e">
        <f t="array" ref="T984">IF(--INDEX('Raw Data'!$A$4:I$993,$F984,15)= 1, 1, 0)</f>
        <v>#NUM!</v>
      </c>
      <c r="U984" t="e">
        <f t="array" ref="U984">IF(--INDEX('Raw Data'!$A$4:J$993,$F984,16)= 1, 1, 0)</f>
        <v>#NUM!</v>
      </c>
      <c r="V984" t="e">
        <f t="array" ref="V984">IF(--INDEX('Raw Data'!$A$4:K$993,$F984,17)= 1, 1, 0)</f>
        <v>#NUM!</v>
      </c>
      <c r="W984" t="e">
        <f t="array" ref="W984">INDEX('Raw Data'!$A:$O,$F984,19)</f>
        <v>#NUM!</v>
      </c>
      <c r="X984" t="e">
        <f t="array" ref="X984">INDEX('Raw Data'!$A:$O,$F984,20)</f>
        <v>#NUM!</v>
      </c>
      <c r="Y984" t="e">
        <f t="array" ref="Y984">INDEX('Raw Data'!$A:$O,F984,21)</f>
        <v>#NUM!</v>
      </c>
      <c r="Z984" t="e">
        <f t="array" ref="Z984">INDEX('Raw Data'!$A:$O,$F984,3)</f>
        <v>#NUM!</v>
      </c>
      <c r="AA984" t="e">
        <f t="array" ref="AA984">INDEX('Raw Data'!$A:$O,$F984,22)</f>
        <v>#NUM!</v>
      </c>
      <c r="AB984" t="e">
        <f t="array" ref="AB984">INDEX('Raw Data'!$A:$O,$F984,23)</f>
        <v>#NUM!</v>
      </c>
    </row>
    <row r="985" spans="1:44" x14ac:dyDescent="0.25">
      <c r="A985" t="s">
        <v>0</v>
      </c>
      <c r="B985">
        <f>G999</f>
        <v>0</v>
      </c>
      <c r="F985" t="e">
        <f t="array" ref="F985">SMALL(IF('Raw Data'!A:A=C983,ROW('Raw Data'!A:A)),ROW('Raw Data'!$2:$2))</f>
        <v>#NUM!</v>
      </c>
      <c r="G985" t="e">
        <f t="array" ref="G985">INDEX('Raw Data'!A:A,F985,9)</f>
        <v>#NUM!</v>
      </c>
      <c r="H985" t="e">
        <f t="array" ref="H985">INDEX('Raw Data'!A:A,F985,10)</f>
        <v>#NUM!</v>
      </c>
      <c r="I985" t="e">
        <f t="array" ref="I985">INDEX('Raw Data'!$A:A,$F985,11)</f>
        <v>#NUM!</v>
      </c>
      <c r="J985" t="e">
        <f t="array" ref="J985">INDEX('Raw Data'!$A:A,F985,12)</f>
        <v>#NUM!</v>
      </c>
      <c r="K985" t="e">
        <f>(--INDEX('Raw Data'!$A$4:B$993,F985,4))</f>
        <v>#NUM!</v>
      </c>
      <c r="L985" t="e">
        <f t="array" ref="L985">(--INDEX('Raw Data'!$A$4:B$993,F985,5))</f>
        <v>#NUM!</v>
      </c>
      <c r="M985" t="e">
        <f t="array" ref="M985">(--INDEX('Raw Data'!$A$4:D$993,$F985,6))</f>
        <v>#NUM!</v>
      </c>
      <c r="N985" t="e">
        <f t="array" ref="N985">(--INDEX('Raw Data'!$A$4:D$993,$F985,7))</f>
        <v>#NUM!</v>
      </c>
      <c r="O985" t="e">
        <f t="array" ref="O985">IF(--INDEX('Raw Data'!$A$4:E$993,$F985,8)= 0, 1, 0)</f>
        <v>#NUM!</v>
      </c>
      <c r="P985" t="e">
        <f t="array" ref="P985">IF(--INDEX('Raw Data'!$A$4:F$993,$F985,8)= 1, 1, 0)</f>
        <v>#NUM!</v>
      </c>
      <c r="Q985" t="e">
        <f t="array" ref="Q985">IF(--INDEX('Raw Data'!$A$4:G$993,$F985,13)= 1, 1, 0)</f>
        <v>#NUM!</v>
      </c>
      <c r="R985" t="e">
        <f t="array" ref="R985">IF(--INDEX('Raw Data'!$A$4:H$993,$F985,14)= 1, 1, 0)</f>
        <v>#NUM!</v>
      </c>
      <c r="S985" t="e">
        <f t="array" ref="S985">IF(--INDEX('Raw Data'!$A$4:I$993,$F985,15)= 1, 1, 0)</f>
        <v>#NUM!</v>
      </c>
      <c r="T985" t="e">
        <f t="array" ref="T985">IF(--INDEX('Raw Data'!$A$4:I$993,$F985,15)= 1, 1, 0)</f>
        <v>#NUM!</v>
      </c>
      <c r="U985" t="e">
        <f t="array" ref="U985">IF(--INDEX('Raw Data'!$A$4:J$993,$F985,16)= 1, 1, 0)</f>
        <v>#NUM!</v>
      </c>
      <c r="V985" t="e">
        <f t="array" ref="V985">IF(--INDEX('Raw Data'!$A$4:K$993,$F985,17)= 1, 1, 0)</f>
        <v>#NUM!</v>
      </c>
      <c r="W985" t="e">
        <f t="array" ref="W985">INDEX('Raw Data'!$A:$O,$F985,19)</f>
        <v>#NUM!</v>
      </c>
      <c r="X985" t="e">
        <f t="array" ref="X985">INDEX('Raw Data'!$A:$O,$F985,20)</f>
        <v>#NUM!</v>
      </c>
      <c r="Y985" t="e">
        <f t="array" ref="Y985">INDEX('Raw Data'!$A:$O,F985,21)</f>
        <v>#NUM!</v>
      </c>
      <c r="Z985" t="e">
        <f t="array" ref="Z985">INDEX('Raw Data'!$A:$O,$F985,3)</f>
        <v>#NUM!</v>
      </c>
      <c r="AA985" t="e">
        <f t="array" ref="AA985">INDEX('Raw Data'!$A:$O,$F985,22)</f>
        <v>#NUM!</v>
      </c>
      <c r="AB985" t="e">
        <f t="array" ref="AB985">INDEX('Raw Data'!$A:$O,$F985,23)</f>
        <v>#NUM!</v>
      </c>
    </row>
    <row r="986" spans="1:44" x14ac:dyDescent="0.25">
      <c r="A986" t="s">
        <v>1</v>
      </c>
      <c r="B986">
        <f>H999</f>
        <v>0</v>
      </c>
      <c r="F986" t="e">
        <f t="array" ref="F986">SMALL(IF('Raw Data'!A:A=C983,ROW('Raw Data'!A:A)),ROW('Raw Data'!$3:$3))</f>
        <v>#NUM!</v>
      </c>
      <c r="G986" t="e">
        <f t="array" ref="G986">INDEX('Raw Data'!A:A,F986,9)</f>
        <v>#NUM!</v>
      </c>
      <c r="H986" t="e">
        <f t="array" ref="H986">INDEX('Raw Data'!A:A,F986,10)</f>
        <v>#NUM!</v>
      </c>
      <c r="I986" t="e">
        <f t="array" ref="I986">INDEX('Raw Data'!$A:A,$F986,11)</f>
        <v>#NUM!</v>
      </c>
      <c r="J986" t="e">
        <f t="array" ref="J986">INDEX('Raw Data'!$A:A,F986,12)</f>
        <v>#NUM!</v>
      </c>
      <c r="K986" t="e">
        <f>(--INDEX('Raw Data'!$A$4:B$993,F986,4))</f>
        <v>#NUM!</v>
      </c>
      <c r="L986" t="e">
        <f t="array" ref="L986">(--INDEX('Raw Data'!$A$4:B$993,F986,5))</f>
        <v>#NUM!</v>
      </c>
      <c r="M986" t="e">
        <f t="array" ref="M986">(--INDEX('Raw Data'!$A$4:D$993,$F986,6))</f>
        <v>#NUM!</v>
      </c>
      <c r="N986" t="e">
        <f t="array" ref="N986">(--INDEX('Raw Data'!$A$4:D$993,$F986,7))</f>
        <v>#NUM!</v>
      </c>
      <c r="O986" t="e">
        <f t="array" ref="O986">IF(--INDEX('Raw Data'!$A$4:E$993,$F986,8)= 0, 1, 0)</f>
        <v>#NUM!</v>
      </c>
      <c r="P986" t="e">
        <f t="array" ref="P986">IF(--INDEX('Raw Data'!$A$4:F$993,$F986,8)= 1, 1, 0)</f>
        <v>#NUM!</v>
      </c>
      <c r="Q986" t="e">
        <f t="array" ref="Q986">IF(--INDEX('Raw Data'!$A$4:G$993,$F986,13)= 1, 1, 0)</f>
        <v>#NUM!</v>
      </c>
      <c r="R986" t="e">
        <f t="array" ref="R986">IF(--INDEX('Raw Data'!$A$4:H$993,$F986,14)= 1, 1, 0)</f>
        <v>#NUM!</v>
      </c>
      <c r="S986" t="e">
        <f t="array" ref="S986">IF(--INDEX('Raw Data'!$A$4:I$993,$F986,15)= 1, 1, 0)</f>
        <v>#NUM!</v>
      </c>
      <c r="T986" t="e">
        <f t="array" ref="T986">IF(--INDEX('Raw Data'!$A$4:I$993,$F986,15)= 1, 1, 0)</f>
        <v>#NUM!</v>
      </c>
      <c r="U986" t="e">
        <f t="array" ref="U986">IF(--INDEX('Raw Data'!$A$4:J$993,$F986,16)= 1, 1, 0)</f>
        <v>#NUM!</v>
      </c>
      <c r="V986" t="e">
        <f t="array" ref="V986">IF(--INDEX('Raw Data'!$A$4:K$993,$F986,17)= 1, 1, 0)</f>
        <v>#NUM!</v>
      </c>
      <c r="W986" t="e">
        <f t="array" ref="W986">INDEX('Raw Data'!$A:$O,$F986,19)</f>
        <v>#NUM!</v>
      </c>
      <c r="X986" t="e">
        <f t="array" ref="X986">INDEX('Raw Data'!$A:$O,$F986,20)</f>
        <v>#NUM!</v>
      </c>
      <c r="Y986" t="e">
        <f t="array" ref="Y986">INDEX('Raw Data'!$A:$O,F986,21)</f>
        <v>#NUM!</v>
      </c>
      <c r="Z986" t="e">
        <f t="array" ref="Z986">INDEX('Raw Data'!$A:$O,$F986,3)</f>
        <v>#NUM!</v>
      </c>
      <c r="AA986" t="e">
        <f t="array" ref="AA986">INDEX('Raw Data'!$A:$O,$F986,22)</f>
        <v>#NUM!</v>
      </c>
      <c r="AB986" t="e">
        <f t="array" ref="AB986">INDEX('Raw Data'!$A:$O,$F986,23)</f>
        <v>#NUM!</v>
      </c>
    </row>
    <row r="987" spans="1:44" x14ac:dyDescent="0.25">
      <c r="A987" t="s">
        <v>2</v>
      </c>
      <c r="C987" s="3" t="e">
        <f>B986/B985</f>
        <v>#DIV/0!</v>
      </c>
      <c r="F987" t="e">
        <f t="array" ref="F987">SMALL(IF('Raw Data'!A:A=C983,ROW('Raw Data'!A:A)),ROW('Raw Data'!$4:$4))</f>
        <v>#NUM!</v>
      </c>
      <c r="G987" t="e">
        <f t="array" ref="G987">INDEX('Raw Data'!A:A,F987,9)</f>
        <v>#NUM!</v>
      </c>
      <c r="H987" t="e">
        <f t="array" ref="H987">INDEX('Raw Data'!A:A,F987,10)</f>
        <v>#NUM!</v>
      </c>
      <c r="I987" t="e">
        <f t="array" ref="I987">INDEX('Raw Data'!$A:A,$F987,11)</f>
        <v>#NUM!</v>
      </c>
      <c r="J987" t="e">
        <f t="array" ref="J987">INDEX('Raw Data'!$A:A,F987,12)</f>
        <v>#NUM!</v>
      </c>
      <c r="K987" t="e">
        <f>(--INDEX('Raw Data'!$A$4:B$993,F987,4))</f>
        <v>#NUM!</v>
      </c>
      <c r="L987" t="e">
        <f t="array" ref="L987">(--INDEX('Raw Data'!$A$4:B$993,F987,5))</f>
        <v>#NUM!</v>
      </c>
      <c r="M987" t="e">
        <f t="array" ref="M987">(--INDEX('Raw Data'!$A$4:D$993,$F987,6))</f>
        <v>#NUM!</v>
      </c>
      <c r="N987" t="e">
        <f t="array" ref="N987">(--INDEX('Raw Data'!$A$4:D$993,$F987,7))</f>
        <v>#NUM!</v>
      </c>
      <c r="O987" t="e">
        <f t="array" ref="O987">IF(--INDEX('Raw Data'!$A$4:E$993,$F987,8)= 0, 1, 0)</f>
        <v>#NUM!</v>
      </c>
      <c r="P987" t="e">
        <f t="array" ref="P987">IF(--INDEX('Raw Data'!$A$4:F$993,$F987,8)= 1, 1, 0)</f>
        <v>#NUM!</v>
      </c>
      <c r="Q987" t="e">
        <f t="array" ref="Q987">IF(--INDEX('Raw Data'!$A$4:G$993,$F987,13)= 1, 1, 0)</f>
        <v>#NUM!</v>
      </c>
      <c r="R987" t="e">
        <f t="array" ref="R987">IF(--INDEX('Raw Data'!$A$4:H$993,$F987,14)= 1, 1, 0)</f>
        <v>#NUM!</v>
      </c>
      <c r="S987" t="e">
        <f t="array" ref="S987">IF(--INDEX('Raw Data'!$A$4:I$993,$F987,15)= 1, 1, 0)</f>
        <v>#NUM!</v>
      </c>
      <c r="T987" t="e">
        <f t="array" ref="T987">IF(--INDEX('Raw Data'!$A$4:I$993,$F987,15)= 1, 1, 0)</f>
        <v>#NUM!</v>
      </c>
      <c r="U987" t="e">
        <f t="array" ref="U987">IF(--INDEX('Raw Data'!$A$4:J$993,$F987,16)= 1, 1, 0)</f>
        <v>#NUM!</v>
      </c>
      <c r="V987" t="e">
        <f t="array" ref="V987">IF(--INDEX('Raw Data'!$A$4:K$993,$F987,17)= 1, 1, 0)</f>
        <v>#NUM!</v>
      </c>
      <c r="W987" t="e">
        <f t="array" ref="W987">INDEX('Raw Data'!$A:$O,$F987,19)</f>
        <v>#NUM!</v>
      </c>
      <c r="X987" t="e">
        <f t="array" ref="X987">INDEX('Raw Data'!$A:$O,$F987,20)</f>
        <v>#NUM!</v>
      </c>
      <c r="Y987" t="e">
        <f t="array" ref="Y987">INDEX('Raw Data'!$A:$O,F987,21)</f>
        <v>#NUM!</v>
      </c>
      <c r="Z987" t="e">
        <f t="array" ref="Z987">INDEX('Raw Data'!$A:$O,$F987,3)</f>
        <v>#NUM!</v>
      </c>
      <c r="AA987" t="e">
        <f t="array" ref="AA987">INDEX('Raw Data'!$A:$O,$F987,22)</f>
        <v>#NUM!</v>
      </c>
      <c r="AB987" t="e">
        <f t="array" ref="AB987">INDEX('Raw Data'!$A:$O,$F987,23)</f>
        <v>#NUM!</v>
      </c>
    </row>
    <row r="988" spans="1:44" x14ac:dyDescent="0.25">
      <c r="A988" t="s">
        <v>54</v>
      </c>
      <c r="B988">
        <f>I999</f>
        <v>0</v>
      </c>
      <c r="F988" t="e">
        <f t="array" ref="F988">SMALL(IF('Raw Data'!A:A=C983,ROW('Raw Data'!A:A)),ROW('Raw Data'!$5:$5))</f>
        <v>#NUM!</v>
      </c>
      <c r="G988" t="e">
        <f t="array" ref="G988">INDEX('Raw Data'!A:A,F988,9)</f>
        <v>#NUM!</v>
      </c>
      <c r="H988" t="e">
        <f t="array" ref="H988">INDEX('Raw Data'!A:A,F988,10)</f>
        <v>#NUM!</v>
      </c>
      <c r="I988" t="e">
        <f t="array" ref="I988">INDEX('Raw Data'!$A:A,$F988,11)</f>
        <v>#NUM!</v>
      </c>
      <c r="J988" t="e">
        <f t="array" ref="J988">INDEX('Raw Data'!$A:A,F988,12)</f>
        <v>#NUM!</v>
      </c>
      <c r="K988" t="e">
        <f>(--INDEX('Raw Data'!$A$4:B$993,F988,4))</f>
        <v>#NUM!</v>
      </c>
      <c r="L988" t="e">
        <f t="array" ref="L988">(--INDEX('Raw Data'!$A$4:B$993,F988,5))</f>
        <v>#NUM!</v>
      </c>
      <c r="M988" t="e">
        <f t="array" ref="M988">(--INDEX('Raw Data'!$A$4:D$993,$F988,6))</f>
        <v>#NUM!</v>
      </c>
      <c r="N988" t="e">
        <f t="array" ref="N988">(--INDEX('Raw Data'!$A$4:D$993,$F988,7))</f>
        <v>#NUM!</v>
      </c>
      <c r="O988" t="e">
        <f t="array" ref="O988">IF(--INDEX('Raw Data'!$A$4:E$993,$F988,8)= 0, 1, 0)</f>
        <v>#NUM!</v>
      </c>
      <c r="P988" t="e">
        <f t="array" ref="P988">IF(--INDEX('Raw Data'!$A$4:F$993,$F988,8)= 1, 1, 0)</f>
        <v>#NUM!</v>
      </c>
      <c r="Q988" t="e">
        <f t="array" ref="Q988">IF(--INDEX('Raw Data'!$A$4:G$993,$F988,13)= 1, 1, 0)</f>
        <v>#NUM!</v>
      </c>
      <c r="R988" t="e">
        <f t="array" ref="R988">IF(--INDEX('Raw Data'!$A$4:H$993,$F988,14)= 1, 1, 0)</f>
        <v>#NUM!</v>
      </c>
      <c r="S988" t="e">
        <f t="array" ref="S988">IF(--INDEX('Raw Data'!$A$4:I$993,$F988,15)= 1, 1, 0)</f>
        <v>#NUM!</v>
      </c>
      <c r="T988" t="e">
        <f t="array" ref="T988">IF(--INDEX('Raw Data'!$A$4:I$993,$F988,15)= 1, 1, 0)</f>
        <v>#NUM!</v>
      </c>
      <c r="U988" t="e">
        <f t="array" ref="U988">IF(--INDEX('Raw Data'!$A$4:J$993,$F988,16)= 1, 1, 0)</f>
        <v>#NUM!</v>
      </c>
      <c r="V988" t="e">
        <f t="array" ref="V988">IF(--INDEX('Raw Data'!$A$4:K$993,$F988,17)= 1, 1, 0)</f>
        <v>#NUM!</v>
      </c>
      <c r="W988" t="e">
        <f t="array" ref="W988">INDEX('Raw Data'!$A:$O,$F988,19)</f>
        <v>#NUM!</v>
      </c>
      <c r="X988" t="e">
        <f t="array" ref="X988">INDEX('Raw Data'!$A:$O,$F988,20)</f>
        <v>#NUM!</v>
      </c>
      <c r="Y988" t="e">
        <f t="array" ref="Y988">INDEX('Raw Data'!$A:$O,F988,21)</f>
        <v>#NUM!</v>
      </c>
      <c r="Z988" t="e">
        <f t="array" ref="Z988">INDEX('Raw Data'!$A:$O,$F988,3)</f>
        <v>#NUM!</v>
      </c>
      <c r="AA988" t="e">
        <f t="array" ref="AA988">INDEX('Raw Data'!$A:$O,$F988,22)</f>
        <v>#NUM!</v>
      </c>
      <c r="AB988" t="e">
        <f t="array" ref="AB988">INDEX('Raw Data'!$A:$O,$F988,23)</f>
        <v>#NUM!</v>
      </c>
      <c r="AR988" s="25"/>
    </row>
    <row r="989" spans="1:44" x14ac:dyDescent="0.25">
      <c r="A989" t="s">
        <v>35</v>
      </c>
      <c r="B989">
        <f>J999</f>
        <v>0</v>
      </c>
      <c r="F989" t="e">
        <f t="array" ref="F989">SMALL(IF('Raw Data'!A:A=C983,ROW('Raw Data'!A:A)),ROW('Raw Data'!$6:$6))</f>
        <v>#NUM!</v>
      </c>
      <c r="G989" t="e">
        <f t="array" ref="G989">INDEX('Raw Data'!A:A,F989,9)</f>
        <v>#NUM!</v>
      </c>
      <c r="H989" t="e">
        <f t="array" ref="H989">INDEX('Raw Data'!A:A,F989,10)</f>
        <v>#NUM!</v>
      </c>
      <c r="I989" t="e">
        <f t="array" ref="I989">INDEX('Raw Data'!$A:A,$F989,11)</f>
        <v>#NUM!</v>
      </c>
      <c r="J989" t="e">
        <f t="array" ref="J989">INDEX('Raw Data'!$A:A,F989,12)</f>
        <v>#NUM!</v>
      </c>
      <c r="K989" t="e">
        <f>(--INDEX('Raw Data'!$A$4:B$993,F989,4))</f>
        <v>#NUM!</v>
      </c>
      <c r="L989" t="e">
        <f t="array" ref="L989">(--INDEX('Raw Data'!$A$4:B$998,F989,5))</f>
        <v>#NUM!</v>
      </c>
      <c r="M989" t="e">
        <f t="array" ref="M989">(--INDEX('Raw Data'!$A$4:D$998,$F989,6))</f>
        <v>#NUM!</v>
      </c>
      <c r="N989" t="e">
        <f t="array" ref="N989">(--INDEX('Raw Data'!$A$4:D$993,$F989,7))</f>
        <v>#NUM!</v>
      </c>
      <c r="O989" t="e">
        <f t="array" ref="O989">IF(--INDEX('Raw Data'!$A$4:E$993,$F989,8)= 0, 1, 0)</f>
        <v>#NUM!</v>
      </c>
      <c r="P989" t="e">
        <f t="array" ref="P989">IF(--INDEX('Raw Data'!$A$4:F$998,$F989,8)= 1, 1, 0)</f>
        <v>#NUM!</v>
      </c>
      <c r="Q989" t="e">
        <f t="array" ref="Q989">IF(--INDEX('Raw Data'!$A$4:G$998,$F989,13)= 1, 1, 0)</f>
        <v>#NUM!</v>
      </c>
      <c r="R989" t="e">
        <f t="array" ref="R989">IF(--INDEX('Raw Data'!$A$4:H$998,$F989,14)= 1, 1, 0)</f>
        <v>#NUM!</v>
      </c>
      <c r="S989" t="e">
        <f t="array" ref="S989">IF(--INDEX('Raw Data'!$A$4:I$993,$F989,15)= 1, 1, 0)</f>
        <v>#NUM!</v>
      </c>
      <c r="T989" t="e">
        <f t="array" ref="T989">IF(--INDEX('Raw Data'!$A$4:I$998,$F989,15)= 1, 1, 0)</f>
        <v>#NUM!</v>
      </c>
      <c r="U989" t="e">
        <f t="array" ref="U989">IF(--INDEX('Raw Data'!$A$4:J$998,$F989,16)= 1, 1, 0)</f>
        <v>#NUM!</v>
      </c>
      <c r="V989" t="e">
        <f t="array" ref="V989">IF(--INDEX('Raw Data'!$A$4:K$993,$F989,17)= 1, 1, 0)</f>
        <v>#NUM!</v>
      </c>
      <c r="W989" t="e">
        <f t="array" ref="W989">INDEX('Raw Data'!$A:$O,$F989,19)</f>
        <v>#NUM!</v>
      </c>
      <c r="X989" t="e">
        <f t="array" ref="X989">INDEX('Raw Data'!$A:$O,$F989,20)</f>
        <v>#NUM!</v>
      </c>
      <c r="Y989" t="e">
        <f t="array" ref="Y989">INDEX('Raw Data'!$A:$O,F989,21)</f>
        <v>#NUM!</v>
      </c>
      <c r="Z989" t="e">
        <f t="array" ref="Z989">INDEX('Raw Data'!$A:$O,$F989,3)</f>
        <v>#NUM!</v>
      </c>
      <c r="AA989" t="e">
        <f t="array" ref="AA989">INDEX('Raw Data'!$A:$O,$F989,22)</f>
        <v>#NUM!</v>
      </c>
      <c r="AB989" t="e">
        <f t="array" ref="AB989">INDEX('Raw Data'!$A:$O,$F989,23)</f>
        <v>#NUM!</v>
      </c>
      <c r="AR989" s="25"/>
    </row>
    <row r="990" spans="1:44" ht="28.5" x14ac:dyDescent="0.45">
      <c r="F990" t="e">
        <f t="array" ref="F990">SMALL(IF('Raw Data'!A:A=C983,ROW('Raw Data'!A:A)),ROW('Raw Data'!$7:$7))</f>
        <v>#NUM!</v>
      </c>
      <c r="G990" t="e">
        <f t="array" ref="G990">INDEX('Raw Data'!A:A,F990,9)</f>
        <v>#NUM!</v>
      </c>
      <c r="H990" t="e">
        <f t="array" ref="H990">INDEX('Raw Data'!A:A,F990,10)</f>
        <v>#NUM!</v>
      </c>
      <c r="I990" t="e">
        <f t="array" ref="I990">INDEX('Raw Data'!$A:A,$F990,11)</f>
        <v>#NUM!</v>
      </c>
      <c r="J990" t="e">
        <f t="array" ref="J990">INDEX('Raw Data'!$A:A,F990,12)</f>
        <v>#NUM!</v>
      </c>
      <c r="K990" t="e">
        <f t="array" ref="K990">(--INDEX('Raw Data'!$A$4:B$998,F990,4))</f>
        <v>#NUM!</v>
      </c>
      <c r="L990" t="e">
        <f t="array" ref="L990">(--INDEX('Raw Data'!$A$4:B$998,F990,5))</f>
        <v>#NUM!</v>
      </c>
      <c r="M990" t="e">
        <f t="array" ref="M990">(--INDEX('Raw Data'!$A$4:D$998,$F990,6))</f>
        <v>#NUM!</v>
      </c>
      <c r="N990" t="e">
        <f t="array" ref="N990">(--INDEX('Raw Data'!$A$4:D$998,$F990,7))</f>
        <v>#NUM!</v>
      </c>
      <c r="O990" t="e">
        <f t="array" ref="O990">IF(--INDEX('Raw Data'!$A$4:E$998,$F990,8)= 0, 1, 0)</f>
        <v>#NUM!</v>
      </c>
      <c r="P990" t="e">
        <f t="array" ref="P990">IF(--INDEX('Raw Data'!$A$4:F$998,$F990,8)= 1, 1, 0)</f>
        <v>#NUM!</v>
      </c>
      <c r="Q990" t="e">
        <f t="array" ref="Q990">IF(--INDEX('Raw Data'!$A$4:G$998,$F990,13)= 1, 1, 0)</f>
        <v>#NUM!</v>
      </c>
      <c r="R990" t="e">
        <f t="array" ref="R990">IF(--INDEX('Raw Data'!$A$4:H$998,$F990,14)= 1, 1, 0)</f>
        <v>#NUM!</v>
      </c>
      <c r="S990" t="e">
        <f t="array" ref="S990">IF(--INDEX('Raw Data'!$A$4:I$998,$F990,15)= 1, 1, 0)</f>
        <v>#NUM!</v>
      </c>
      <c r="T990" t="e">
        <f t="array" ref="T990">IF(--INDEX('Raw Data'!$A$4:I$998,$F990,15)= 1, 1, 0)</f>
        <v>#NUM!</v>
      </c>
      <c r="U990" t="e">
        <f t="array" ref="U990">IF(--INDEX('Raw Data'!$A$4:J$998,$F990,16)= 1, 1, 0)</f>
        <v>#NUM!</v>
      </c>
      <c r="V990" t="e">
        <f t="array" ref="V990">IF(--INDEX('Raw Data'!$A$4:K$998,$F990,17)= 1, 1, 0)</f>
        <v>#NUM!</v>
      </c>
      <c r="W990" t="e">
        <f t="array" ref="W990">INDEX('Raw Data'!$A:$O,$F990,19)</f>
        <v>#NUM!</v>
      </c>
      <c r="X990" t="e">
        <f t="array" ref="X990">INDEX('Raw Data'!$A:$O,$F990,20)</f>
        <v>#NUM!</v>
      </c>
      <c r="Y990" t="e">
        <f t="array" ref="Y990">INDEX('Raw Data'!$A:$O,F990,21)</f>
        <v>#NUM!</v>
      </c>
      <c r="Z990" t="e">
        <f t="array" ref="Z990">INDEX('Raw Data'!$A:$O,$F990,3)</f>
        <v>#NUM!</v>
      </c>
      <c r="AA990" t="e">
        <f t="array" ref="AA990">INDEX('Raw Data'!$A:$O,$F990,22)</f>
        <v>#NUM!</v>
      </c>
      <c r="AB990" t="e">
        <f t="array" ref="AB990">INDEX('Raw Data'!$A:$O,$F990,23)</f>
        <v>#NUM!</v>
      </c>
      <c r="AM990" s="21"/>
      <c r="AR990" s="25"/>
    </row>
    <row r="991" spans="1:44" x14ac:dyDescent="0.25">
      <c r="F991" t="e">
        <f t="array" ref="F991">SMALL(IF('Raw Data'!A:A=C983,ROW('Raw Data'!A:A)),ROW('Raw Data'!$8:$8))</f>
        <v>#NUM!</v>
      </c>
      <c r="G991" t="e">
        <f t="array" ref="G991">INDEX('Raw Data'!A:A,F991,9)</f>
        <v>#NUM!</v>
      </c>
      <c r="H991" t="e">
        <f t="array" ref="H991">INDEX('Raw Data'!A:A,F991,10)</f>
        <v>#NUM!</v>
      </c>
      <c r="I991" t="e">
        <f t="array" ref="I991">INDEX('Raw Data'!$A:A,$F991,11)</f>
        <v>#NUM!</v>
      </c>
      <c r="J991" t="e">
        <f t="array" ref="J991">INDEX('Raw Data'!$A:A,F991,12)</f>
        <v>#NUM!</v>
      </c>
      <c r="K991" t="e">
        <f t="array" ref="K991">(--INDEX('Raw Data'!$A$4:B$998,F991,4))</f>
        <v>#NUM!</v>
      </c>
      <c r="L991" t="e">
        <f t="array" ref="L991">(--INDEX('Raw Data'!$A$4:B$998,F991,5))</f>
        <v>#NUM!</v>
      </c>
      <c r="M991" t="e">
        <f t="array" ref="M991">(--INDEX('Raw Data'!$A$4:D$998,$F991,6))</f>
        <v>#NUM!</v>
      </c>
      <c r="N991" t="e">
        <f t="array" ref="N991">(--INDEX('Raw Data'!$A$4:D$998,$F991,7))</f>
        <v>#NUM!</v>
      </c>
      <c r="O991" t="e">
        <f t="array" ref="O991">IF(--INDEX('Raw Data'!$A$4:E$998,$F991,8)= 0, 1, 0)</f>
        <v>#NUM!</v>
      </c>
      <c r="P991" t="e">
        <f t="array" ref="P991">IF(--INDEX('Raw Data'!$A$4:F$998,$F991,8)= 1, 1, 0)</f>
        <v>#NUM!</v>
      </c>
      <c r="Q991" t="e">
        <f t="array" ref="Q991">IF(--INDEX('Raw Data'!$A$4:G$998,$F991,13)= 1, 1, 0)</f>
        <v>#NUM!</v>
      </c>
      <c r="R991" t="e">
        <f t="array" ref="R991">IF(--INDEX('Raw Data'!$A$4:H$998,$F991,14)= 1, 1, 0)</f>
        <v>#NUM!</v>
      </c>
      <c r="S991" t="e">
        <f t="array" ref="S991">IF(--INDEX('Raw Data'!$A$4:I$998,$F991,15)= 1, 1, 0)</f>
        <v>#NUM!</v>
      </c>
      <c r="T991" t="e">
        <f t="array" ref="T991">IF(--INDEX('Raw Data'!$A$4:I$998,$F991,15)= 1, 1, 0)</f>
        <v>#NUM!</v>
      </c>
      <c r="U991" t="e">
        <f t="array" ref="U991">IF(--INDEX('Raw Data'!$A$4:J$998,$F991,16)= 1, 1, 0)</f>
        <v>#NUM!</v>
      </c>
      <c r="V991" t="e">
        <f t="array" ref="V991">IF(--INDEX('Raw Data'!$A$4:K$998,$F991,17)= 1, 1, 0)</f>
        <v>#NUM!</v>
      </c>
      <c r="W991" t="e">
        <f t="array" ref="W991">INDEX('Raw Data'!$A:$O,$F991,19)</f>
        <v>#NUM!</v>
      </c>
      <c r="X991" t="e">
        <f t="array" ref="X991">INDEX('Raw Data'!$A:$O,$F991,20)</f>
        <v>#NUM!</v>
      </c>
      <c r="Y991" t="e">
        <f t="array" ref="Y991">INDEX('Raw Data'!$A:$O,F991,21)</f>
        <v>#NUM!</v>
      </c>
      <c r="Z991" t="e">
        <f t="array" ref="Z991">INDEX('Raw Data'!$A:$O,$F991,3)</f>
        <v>#NUM!</v>
      </c>
      <c r="AA991" t="e">
        <f t="array" ref="AA991">INDEX('Raw Data'!$A:$O,$F991,22)</f>
        <v>#NUM!</v>
      </c>
      <c r="AB991" t="e">
        <f t="array" ref="AB991">INDEX('Raw Data'!$A:$O,$F991,23)</f>
        <v>#NUM!</v>
      </c>
      <c r="AR991" s="25"/>
    </row>
    <row r="992" spans="1:44" x14ac:dyDescent="0.25">
      <c r="F992" t="e">
        <f t="array" ref="F992">SMALL(IF('Raw Data'!A:A=C983,ROW('Raw Data'!A:A)),ROW('Raw Data'!$9:$9))</f>
        <v>#NUM!</v>
      </c>
      <c r="G992" t="e">
        <f t="array" ref="G992">INDEX('Raw Data'!A:A,F992,9)</f>
        <v>#NUM!</v>
      </c>
      <c r="H992" t="e">
        <f t="array" ref="H992">INDEX('Raw Data'!A:A,F992,10)</f>
        <v>#NUM!</v>
      </c>
      <c r="I992" t="e">
        <f t="array" ref="I992">INDEX('Raw Data'!$A:A,$F992,11)</f>
        <v>#NUM!</v>
      </c>
      <c r="J992" t="e">
        <f t="array" ref="J992">INDEX('Raw Data'!$A:A,F992,12)</f>
        <v>#NUM!</v>
      </c>
      <c r="K992" t="e">
        <f t="array" ref="K992">(--INDEX('Raw Data'!$A$4:B$998,F992,4))</f>
        <v>#NUM!</v>
      </c>
      <c r="L992" t="e">
        <f t="array" ref="L992">(--INDEX('Raw Data'!$A$4:B$998,F992,5))</f>
        <v>#NUM!</v>
      </c>
      <c r="M992" t="e">
        <f t="array" ref="M992">(--INDEX('Raw Data'!$A$4:D$998,$F992,6))</f>
        <v>#NUM!</v>
      </c>
      <c r="N992" t="e">
        <f t="array" ref="N992">(--INDEX('Raw Data'!$A$4:D$998,$F992,7))</f>
        <v>#NUM!</v>
      </c>
      <c r="O992" t="e">
        <f t="array" ref="O992">IF(--INDEX('Raw Data'!$A$4:E$998,$F992,8)= 0, 1, 0)</f>
        <v>#NUM!</v>
      </c>
      <c r="P992" t="e">
        <f t="array" ref="P992">IF(--INDEX('Raw Data'!$A$4:F$998,$F992,8)= 1, 1, 0)</f>
        <v>#NUM!</v>
      </c>
      <c r="Q992" t="e">
        <f t="array" ref="Q992">IF(--INDEX('Raw Data'!$A$4:G$998,$F992,13)= 1, 1, 0)</f>
        <v>#NUM!</v>
      </c>
      <c r="R992" t="e">
        <f t="array" ref="R992">IF(--INDEX('Raw Data'!$A$4:H$998,$F992,14)= 1, 1, 0)</f>
        <v>#NUM!</v>
      </c>
      <c r="S992" t="e">
        <f t="array" ref="S992">IF(--INDEX('Raw Data'!$A$4:I$998,$F992,15)= 1, 1, 0)</f>
        <v>#NUM!</v>
      </c>
      <c r="T992" t="e">
        <f t="array" ref="T992">IF(--INDEX('Raw Data'!$A$4:I$998,$F992,15)= 1, 1, 0)</f>
        <v>#NUM!</v>
      </c>
      <c r="U992" t="e">
        <f t="array" ref="U992">IF(--INDEX('Raw Data'!$A$4:J$998,$F992,16)= 1, 1, 0)</f>
        <v>#NUM!</v>
      </c>
      <c r="V992" t="e">
        <f t="array" ref="V992">IF(--INDEX('Raw Data'!$A$4:K$998,$F992,17)= 1, 1, 0)</f>
        <v>#NUM!</v>
      </c>
      <c r="W992" t="e">
        <f t="array" ref="W992">INDEX('Raw Data'!$A:$O,$F992,19)</f>
        <v>#NUM!</v>
      </c>
      <c r="X992" t="e">
        <f t="array" ref="X992">INDEX('Raw Data'!$A:$O,$F992,20)</f>
        <v>#NUM!</v>
      </c>
      <c r="Y992" t="e">
        <f t="array" ref="Y992">INDEX('Raw Data'!$A:$O,F992,21)</f>
        <v>#NUM!</v>
      </c>
      <c r="Z992" t="e">
        <f t="array" ref="Z992">INDEX('Raw Data'!$A:$O,$F992,3)</f>
        <v>#NUM!</v>
      </c>
      <c r="AA992" t="e">
        <f t="array" ref="AA992">INDEX('Raw Data'!$A:$O,$F992,22)</f>
        <v>#NUM!</v>
      </c>
      <c r="AB992" t="e">
        <f t="array" ref="AB992">INDEX('Raw Data'!$A:$O,$F992,23)</f>
        <v>#NUM!</v>
      </c>
      <c r="AR992" s="25"/>
    </row>
    <row r="993" spans="1:44" x14ac:dyDescent="0.25">
      <c r="F993" t="e">
        <f t="array" ref="F993">SMALL(IF('Raw Data'!A:A=C983,ROW('Raw Data'!A:A)),ROW('Raw Data'!$10:$10))</f>
        <v>#NUM!</v>
      </c>
      <c r="G993" t="e">
        <f t="array" ref="G993">INDEX('Raw Data'!A:A,F993,9)</f>
        <v>#NUM!</v>
      </c>
      <c r="H993" t="e">
        <f t="array" ref="H993">INDEX('Raw Data'!A:A,F993,10)</f>
        <v>#NUM!</v>
      </c>
      <c r="I993" t="e">
        <f t="array" ref="I993">INDEX('Raw Data'!$A:A,$F993,11)</f>
        <v>#NUM!</v>
      </c>
      <c r="J993" t="e">
        <f t="array" ref="J993">INDEX('Raw Data'!$A:A,F993,12)</f>
        <v>#NUM!</v>
      </c>
      <c r="K993" t="e">
        <f t="array" ref="K993">(--INDEX('Raw Data'!$A$4:B$998,F993,4))</f>
        <v>#NUM!</v>
      </c>
      <c r="L993" t="e">
        <f t="array" ref="L993">(--INDEX('Raw Data'!$A$4:B$998,F993,5))</f>
        <v>#NUM!</v>
      </c>
      <c r="M993" t="e">
        <f t="array" ref="M993">(--INDEX('Raw Data'!$A$4:D$998,$F993,6))</f>
        <v>#NUM!</v>
      </c>
      <c r="N993" t="e">
        <f t="array" ref="N993">(--INDEX('Raw Data'!$A$4:D$998,$F993,7))</f>
        <v>#NUM!</v>
      </c>
      <c r="O993" t="e">
        <f t="array" ref="O993">IF(--INDEX('Raw Data'!$A$4:E$998,$F993,8)= 0, 1, 0)</f>
        <v>#NUM!</v>
      </c>
      <c r="P993" t="e">
        <f t="array" ref="P993">IF(--INDEX('Raw Data'!$A$4:F$998,$F993,8)= 1, 1, 0)</f>
        <v>#NUM!</v>
      </c>
      <c r="Q993" t="e">
        <f t="array" ref="Q993">IF(--INDEX('Raw Data'!$A$4:G$998,$F993,13)= 1, 1, 0)</f>
        <v>#NUM!</v>
      </c>
      <c r="R993" t="e">
        <f t="array" ref="R993">IF(--INDEX('Raw Data'!$A$4:H$998,$F993,14)= 1, 1, 0)</f>
        <v>#NUM!</v>
      </c>
      <c r="S993" t="e">
        <f t="array" ref="S993">IF(--INDEX('Raw Data'!$A$4:I$998,$F993,15)= 1, 1, 0)</f>
        <v>#NUM!</v>
      </c>
      <c r="T993" t="e">
        <f t="array" ref="T993">IF(--INDEX('Raw Data'!$A$4:I$998,$F993,15)= 1, 1, 0)</f>
        <v>#NUM!</v>
      </c>
      <c r="U993" t="e">
        <f t="array" ref="U993">IF(--INDEX('Raw Data'!$A$4:J$998,$F993,16)= 1, 1, 0)</f>
        <v>#NUM!</v>
      </c>
      <c r="V993" t="e">
        <f t="array" ref="V993">IF(--INDEX('Raw Data'!$A$4:K$998,$F993,17)= 1, 1, 0)</f>
        <v>#NUM!</v>
      </c>
      <c r="W993" t="e">
        <f t="array" ref="W993">INDEX('Raw Data'!$A:$O,$F993,19)</f>
        <v>#NUM!</v>
      </c>
      <c r="X993" t="e">
        <f t="array" ref="X993">INDEX('Raw Data'!$A:$O,$F993,20)</f>
        <v>#NUM!</v>
      </c>
      <c r="Y993" t="e">
        <f t="array" ref="Y993">INDEX('Raw Data'!$A:$O,F993,21)</f>
        <v>#NUM!</v>
      </c>
      <c r="Z993" t="e">
        <f t="array" ref="Z993">INDEX('Raw Data'!$A:$O,$F993,3)</f>
        <v>#NUM!</v>
      </c>
      <c r="AA993" t="e">
        <f t="array" ref="AA993">INDEX('Raw Data'!$A:$O,$F993,22)</f>
        <v>#NUM!</v>
      </c>
      <c r="AB993" t="e">
        <f t="array" ref="AB993">INDEX('Raw Data'!$A:$O,$F993,23)</f>
        <v>#NUM!</v>
      </c>
      <c r="AR993" s="25"/>
    </row>
    <row r="994" spans="1:44" x14ac:dyDescent="0.25">
      <c r="F994" t="e">
        <f t="array" ref="F994">SMALL(IF('Raw Data'!A:A=C983,ROW('Raw Data'!A:A)),ROW('Raw Data'!$11:$11))</f>
        <v>#NUM!</v>
      </c>
      <c r="G994" t="e">
        <f t="array" ref="G994">INDEX('Raw Data'!A:A,F994,9)</f>
        <v>#NUM!</v>
      </c>
      <c r="H994" t="e">
        <f t="array" ref="H994">INDEX('Raw Data'!A:A,F994,10)</f>
        <v>#NUM!</v>
      </c>
      <c r="I994" t="e">
        <f t="array" ref="I994">INDEX('Raw Data'!$A:A,$F994,11)</f>
        <v>#NUM!</v>
      </c>
      <c r="J994" t="e">
        <f t="array" ref="J994">INDEX('Raw Data'!$A:A,F994,12)</f>
        <v>#NUM!</v>
      </c>
      <c r="K994" t="e">
        <f t="array" ref="K994">(--INDEX('Raw Data'!$A$4:B$998,F994,4))</f>
        <v>#NUM!</v>
      </c>
      <c r="L994" t="e">
        <f t="array" ref="L994">(--INDEX('Raw Data'!$A$4:B$998,F994,5))</f>
        <v>#NUM!</v>
      </c>
      <c r="M994" t="e">
        <f t="array" ref="M994">(--INDEX('Raw Data'!$A$4:D$998,$F994,6))</f>
        <v>#NUM!</v>
      </c>
      <c r="N994" t="e">
        <f t="array" ref="N994">(--INDEX('Raw Data'!$A$4:D$998,$F994,7))</f>
        <v>#NUM!</v>
      </c>
      <c r="O994" t="e">
        <f t="array" ref="O994">IF(--INDEX('Raw Data'!$A$4:E$998,$F994,8)= 0, 1, 0)</f>
        <v>#NUM!</v>
      </c>
      <c r="P994" t="e">
        <f t="array" ref="P994">IF(--INDEX('Raw Data'!$A$4:F$998,$F994,8)= 1, 1, 0)</f>
        <v>#NUM!</v>
      </c>
      <c r="Q994" t="e">
        <f t="array" ref="Q994">IF(--INDEX('Raw Data'!$A$4:G$998,$F994,13)= 1, 1, 0)</f>
        <v>#NUM!</v>
      </c>
      <c r="R994" t="e">
        <f t="array" ref="R994">IF(--INDEX('Raw Data'!$A$4:H$998,$F994,14)= 1, 1, 0)</f>
        <v>#NUM!</v>
      </c>
      <c r="S994" t="e">
        <f t="array" ref="S994">IF(--INDEX('Raw Data'!$A$4:I$998,$F994,15)= 1, 1, 0)</f>
        <v>#NUM!</v>
      </c>
      <c r="T994" t="e">
        <f t="array" ref="T994">IF(--INDEX('Raw Data'!$A$4:I$998,$F994,15)= 1, 1, 0)</f>
        <v>#NUM!</v>
      </c>
      <c r="U994" t="e">
        <f t="array" ref="U994">IF(--INDEX('Raw Data'!$A$4:J$998,$F994,16)= 1, 1, 0)</f>
        <v>#NUM!</v>
      </c>
      <c r="V994" t="e">
        <f t="array" ref="V994">IF(--INDEX('Raw Data'!$A$4:K$998,$F994,17)= 1, 1, 0)</f>
        <v>#NUM!</v>
      </c>
      <c r="W994" t="e">
        <f t="array" ref="W994">INDEX('Raw Data'!$A:$O,$F994,19)</f>
        <v>#NUM!</v>
      </c>
      <c r="X994" t="e">
        <f t="array" ref="X994">INDEX('Raw Data'!$A:$O,$F994,20)</f>
        <v>#NUM!</v>
      </c>
      <c r="Y994" t="e">
        <f t="array" ref="Y994">INDEX('Raw Data'!$A:$O,F994,21)</f>
        <v>#NUM!</v>
      </c>
      <c r="Z994" t="e">
        <f t="array" ref="Z994">INDEX('Raw Data'!$A:$O,$F994,3)</f>
        <v>#NUM!</v>
      </c>
      <c r="AA994" t="e">
        <f t="array" ref="AA994">INDEX('Raw Data'!$A:$O,$F994,22)</f>
        <v>#NUM!</v>
      </c>
      <c r="AB994" t="e">
        <f t="array" ref="AB994">INDEX('Raw Data'!$A:$O,$F994,23)</f>
        <v>#NUM!</v>
      </c>
      <c r="AR994" s="25"/>
    </row>
    <row r="995" spans="1:44" x14ac:dyDescent="0.25">
      <c r="F995" t="e">
        <f t="array" ref="F995">SMALL(IF('Raw Data'!A:A=C983,ROW('Raw Data'!A:A)),ROW('Raw Data'!$12:$12))</f>
        <v>#NUM!</v>
      </c>
      <c r="G995" t="e">
        <f t="array" ref="G995">INDEX('Raw Data'!A:A,F995,9)</f>
        <v>#NUM!</v>
      </c>
      <c r="H995" t="e">
        <f t="array" ref="H995">INDEX('Raw Data'!A:A,F995,10)</f>
        <v>#NUM!</v>
      </c>
      <c r="I995" t="e">
        <f t="array" ref="I995">INDEX('Raw Data'!$A:A,$F995,11)</f>
        <v>#NUM!</v>
      </c>
      <c r="J995" t="e">
        <f t="array" ref="J995">INDEX('Raw Data'!$A:A,F995,12)</f>
        <v>#NUM!</v>
      </c>
      <c r="K995" t="e">
        <f t="array" ref="K995">(--INDEX('Raw Data'!$A$4:B$998,F995,4))</f>
        <v>#NUM!</v>
      </c>
      <c r="L995" t="e">
        <f t="array" ref="L995">(--INDEX('Raw Data'!$A$4:B$998,F995,5))</f>
        <v>#NUM!</v>
      </c>
      <c r="M995" t="e">
        <f t="array" ref="M995">(--INDEX('Raw Data'!$A$4:D$998,$F995,6))</f>
        <v>#NUM!</v>
      </c>
      <c r="N995" t="e">
        <f t="array" ref="N995">(--INDEX('Raw Data'!$A$4:D$998,$F995,7))</f>
        <v>#NUM!</v>
      </c>
      <c r="O995" t="e">
        <f t="array" ref="O995">IF(--INDEX('Raw Data'!$A$4:E$998,$F995,8)= 0, 1, 0)</f>
        <v>#NUM!</v>
      </c>
      <c r="P995" t="e">
        <f t="array" ref="P995">IF(--INDEX('Raw Data'!$A$4:F$998,$F995,8)= 1, 1, 0)</f>
        <v>#NUM!</v>
      </c>
      <c r="Q995" t="e">
        <f t="array" ref="Q995">IF(--INDEX('Raw Data'!$A$4:G$998,$F995,13)= 1, 1, 0)</f>
        <v>#NUM!</v>
      </c>
      <c r="R995" t="e">
        <f t="array" ref="R995">IF(--INDEX('Raw Data'!$A$4:H$998,$F995,14)= 1, 1, 0)</f>
        <v>#NUM!</v>
      </c>
      <c r="S995" t="e">
        <f t="array" ref="S995">IF(--INDEX('Raw Data'!$A$4:I$998,$F995,15)= 1, 1, 0)</f>
        <v>#NUM!</v>
      </c>
      <c r="T995" t="e">
        <f t="array" ref="T995">IF(--INDEX('Raw Data'!$A$4:I$998,$F995,15)= 1, 1, 0)</f>
        <v>#NUM!</v>
      </c>
      <c r="U995" t="e">
        <f t="array" ref="U995">IF(--INDEX('Raw Data'!$A$4:J$998,$F995,16)= 1, 1, 0)</f>
        <v>#NUM!</v>
      </c>
      <c r="V995" t="e">
        <f t="array" ref="V995">IF(--INDEX('Raw Data'!$A$4:K$998,$F995,17)= 1, 1, 0)</f>
        <v>#NUM!</v>
      </c>
      <c r="W995" t="e">
        <f t="array" ref="W995">INDEX('Raw Data'!$A:$O,$F995,19)</f>
        <v>#NUM!</v>
      </c>
      <c r="X995" t="e">
        <f t="array" ref="X995">INDEX('Raw Data'!$A:$O,$F995,20)</f>
        <v>#NUM!</v>
      </c>
      <c r="Y995" t="e">
        <f t="array" ref="Y995">INDEX('Raw Data'!$A:$O,F995,21)</f>
        <v>#NUM!</v>
      </c>
      <c r="Z995" t="e">
        <f t="array" ref="Z995">INDEX('Raw Data'!$A:$O,$F995,3)</f>
        <v>#NUM!</v>
      </c>
      <c r="AA995" t="e">
        <f t="array" ref="AA995">INDEX('Raw Data'!$A:$O,$F995,22)</f>
        <v>#NUM!</v>
      </c>
      <c r="AB995" t="e">
        <f t="array" ref="AB995">INDEX('Raw Data'!$A:$O,$F995,23)</f>
        <v>#NUM!</v>
      </c>
      <c r="AR995" s="25"/>
    </row>
    <row r="996" spans="1:44" x14ac:dyDescent="0.25">
      <c r="F996" t="e">
        <f t="array" ref="F996">SMALL(IF('Raw Data'!A:A=C983,ROW('Raw Data'!A:A)),ROW('Raw Data'!$13:$13))</f>
        <v>#NUM!</v>
      </c>
      <c r="G996" t="e">
        <f t="array" ref="G996">INDEX('Raw Data'!A:A,F996,9)</f>
        <v>#NUM!</v>
      </c>
      <c r="H996" t="e">
        <f t="array" ref="H996">INDEX('Raw Data'!A:A,F996,10)</f>
        <v>#NUM!</v>
      </c>
      <c r="I996" t="e">
        <f t="array" ref="I996">INDEX('Raw Data'!$A:A,$F996,11)</f>
        <v>#NUM!</v>
      </c>
      <c r="J996" t="e">
        <f t="array" ref="J996">INDEX('Raw Data'!$A:A,F996,12)</f>
        <v>#NUM!</v>
      </c>
      <c r="K996" t="e">
        <f t="array" ref="K996">(--INDEX('Raw Data'!$A$4:B$998,F996,4))</f>
        <v>#NUM!</v>
      </c>
      <c r="L996" t="e">
        <f t="array" ref="L996">(--INDEX('Raw Data'!$A$4:B$998,F996,5))</f>
        <v>#NUM!</v>
      </c>
      <c r="M996" t="e">
        <f t="array" ref="M996">(--INDEX('Raw Data'!$A$4:D$998,$F996,6))</f>
        <v>#NUM!</v>
      </c>
      <c r="N996" t="e">
        <f t="array" ref="N996">(--INDEX('Raw Data'!$A$4:D$998,$F996,7))</f>
        <v>#NUM!</v>
      </c>
      <c r="O996" t="e">
        <f t="array" ref="O996">IF(--INDEX('Raw Data'!$A$4:E$998,$F996,8)= 0, 1, 0)</f>
        <v>#NUM!</v>
      </c>
      <c r="P996" t="e">
        <f t="array" ref="P996">IF(--INDEX('Raw Data'!$A$4:F$998,$F996,8)= 1, 1, 0)</f>
        <v>#NUM!</v>
      </c>
      <c r="Q996" t="e">
        <f t="array" ref="Q996">IF(--INDEX('Raw Data'!$A$4:G$998,$F996,13)= 1, 1, 0)</f>
        <v>#NUM!</v>
      </c>
      <c r="R996" t="e">
        <f t="array" ref="R996">IF(--INDEX('Raw Data'!$A$4:H$998,$F996,14)= 1, 1, 0)</f>
        <v>#NUM!</v>
      </c>
      <c r="S996" t="e">
        <f t="array" ref="S996">IF(--INDEX('Raw Data'!$A$4:I$998,$F996,15)= 1, 1, 0)</f>
        <v>#NUM!</v>
      </c>
      <c r="T996" t="e">
        <f t="array" ref="T996">IF(--INDEX('Raw Data'!$A$4:I$998,$F996,15)= 1, 1, 0)</f>
        <v>#NUM!</v>
      </c>
      <c r="U996" t="e">
        <f t="array" ref="U996">IF(--INDEX('Raw Data'!$A$4:J$998,$F996,16)= 1, 1, 0)</f>
        <v>#NUM!</v>
      </c>
      <c r="V996" t="e">
        <f t="array" ref="V996">IF(--INDEX('Raw Data'!$A$4:K$998,$F996,17)= 1, 1, 0)</f>
        <v>#NUM!</v>
      </c>
      <c r="W996" t="e">
        <f t="array" ref="W996">INDEX('Raw Data'!$A:$O,$F996,19)</f>
        <v>#NUM!</v>
      </c>
      <c r="X996" t="e">
        <f t="array" ref="X996">INDEX('Raw Data'!$A:$O,$F996,20)</f>
        <v>#NUM!</v>
      </c>
      <c r="Y996" t="e">
        <f t="array" ref="Y996">INDEX('Raw Data'!$A:$O,F996,21)</f>
        <v>#NUM!</v>
      </c>
      <c r="Z996" t="e">
        <f t="array" ref="Z996">INDEX('Raw Data'!$A:$O,$F996,3)</f>
        <v>#NUM!</v>
      </c>
      <c r="AA996" t="e">
        <f t="array" ref="AA996">INDEX('Raw Data'!$A:$O,$F996,22)</f>
        <v>#NUM!</v>
      </c>
      <c r="AB996" t="e">
        <f t="array" ref="AB996">INDEX('Raw Data'!$A:$O,$F996,23)</f>
        <v>#NUM!</v>
      </c>
      <c r="AR996" s="25"/>
    </row>
    <row r="997" spans="1:44" x14ac:dyDescent="0.25">
      <c r="F997" t="e">
        <f t="array" ref="F997">SMALL(IF('Raw Data'!A:A=C983,ROW('Raw Data'!A:A)),ROW('Raw Data'!$14:$14))</f>
        <v>#NUM!</v>
      </c>
      <c r="G997" t="e">
        <f t="array" ref="G997">INDEX('Raw Data'!A:A,F997,9)</f>
        <v>#NUM!</v>
      </c>
      <c r="H997" t="e">
        <f t="array" ref="H997">INDEX('Raw Data'!A:A,F997,10)</f>
        <v>#NUM!</v>
      </c>
      <c r="I997" t="e">
        <f t="array" ref="I997">INDEX('Raw Data'!$A:A,$F997,11)</f>
        <v>#NUM!</v>
      </c>
      <c r="J997" t="e">
        <f t="array" ref="J997">INDEX('Raw Data'!$A:A,F997,12)</f>
        <v>#NUM!</v>
      </c>
      <c r="K997" t="e">
        <f t="array" ref="K997">(--INDEX('Raw Data'!$A$4:B$998,F997,4))</f>
        <v>#NUM!</v>
      </c>
      <c r="L997" t="e">
        <f t="array" ref="L997">(--INDEX('Raw Data'!$A$4:B$998,F997,5))</f>
        <v>#NUM!</v>
      </c>
      <c r="M997" t="e">
        <f t="array" ref="M997">(--INDEX('Raw Data'!$A$4:D$998,$F997,6))</f>
        <v>#NUM!</v>
      </c>
      <c r="N997" t="e">
        <f t="array" ref="N997">(--INDEX('Raw Data'!$A$4:D$998,$F997,7))</f>
        <v>#NUM!</v>
      </c>
      <c r="O997" t="e">
        <f t="array" ref="O997">IF(--INDEX('Raw Data'!$A$4:E$998,$F997,8)= 0, 1, 0)</f>
        <v>#NUM!</v>
      </c>
      <c r="P997" t="e">
        <f t="array" ref="P997">IF(--INDEX('Raw Data'!$A$4:F$998,$F997,8)= 1, 1, 0)</f>
        <v>#NUM!</v>
      </c>
      <c r="Q997" t="e">
        <f t="array" ref="Q997">IF(--INDEX('Raw Data'!$A$4:G$998,$F997,13)= 1, 1, 0)</f>
        <v>#NUM!</v>
      </c>
      <c r="R997" t="e">
        <f t="array" ref="R997">IF(--INDEX('Raw Data'!$A$4:H$998,$F997,14)= 1, 1, 0)</f>
        <v>#NUM!</v>
      </c>
      <c r="S997" t="e">
        <f t="array" ref="S997">IF(--INDEX('Raw Data'!$A$4:I$998,$F997,15)= 1, 1, 0)</f>
        <v>#NUM!</v>
      </c>
      <c r="T997" t="e">
        <f t="array" ref="T997">IF(--INDEX('Raw Data'!$A$4:I$998,$F997,15)= 1, 1, 0)</f>
        <v>#NUM!</v>
      </c>
      <c r="U997" t="e">
        <f t="array" ref="U997">IF(--INDEX('Raw Data'!$A$4:J$998,$F997,16)= 1, 1, 0)</f>
        <v>#NUM!</v>
      </c>
      <c r="V997" t="e">
        <f t="array" ref="V997">IF(--INDEX('Raw Data'!$A$4:K$998,$F997,17)= 1, 1, 0)</f>
        <v>#NUM!</v>
      </c>
      <c r="W997" t="e">
        <f t="array" ref="W997">INDEX('Raw Data'!$A:$O,$F997,19)</f>
        <v>#NUM!</v>
      </c>
      <c r="X997" t="e">
        <f t="array" ref="X997">INDEX('Raw Data'!$A:$O,$F997,20)</f>
        <v>#NUM!</v>
      </c>
      <c r="Y997" t="e">
        <f t="array" ref="Y997">INDEX('Raw Data'!$A:$O,F997,21)</f>
        <v>#NUM!</v>
      </c>
      <c r="Z997" t="e">
        <f t="array" ref="Z997">INDEX('Raw Data'!$A:$O,$F997,3)</f>
        <v>#NUM!</v>
      </c>
      <c r="AA997" t="e">
        <f t="array" ref="AA997">INDEX('Raw Data'!$A:$O,$F997,22)</f>
        <v>#NUM!</v>
      </c>
      <c r="AB997" t="e">
        <f t="array" ref="AB997">INDEX('Raw Data'!$A:$O,$F997,23)</f>
        <v>#NUM!</v>
      </c>
      <c r="AR997" s="25"/>
    </row>
    <row r="998" spans="1:44" x14ac:dyDescent="0.25">
      <c r="F998" t="e">
        <f t="array" ref="F998">SMALL(IF('Raw Data'!A:A=C983,ROW('Raw Data'!A:A)),ROW('Raw Data'!$15:$15))</f>
        <v>#NUM!</v>
      </c>
      <c r="G998" t="e">
        <f t="array" ref="G998">INDEX('Raw Data'!A:A,F998,9)</f>
        <v>#NUM!</v>
      </c>
      <c r="H998" t="e">
        <f t="array" ref="H998">INDEX('Raw Data'!A:A,F998,10)</f>
        <v>#NUM!</v>
      </c>
      <c r="I998" t="e">
        <f t="array" ref="I998">INDEX('Raw Data'!$A:A,$F998,11)</f>
        <v>#NUM!</v>
      </c>
      <c r="J998" t="e">
        <f t="array" ref="J998">INDEX('Raw Data'!$A:A,F998,12)</f>
        <v>#NUM!</v>
      </c>
      <c r="K998" t="e">
        <f t="array" ref="K998">(--INDEX('Raw Data'!$A$4:B$998,F998,4))</f>
        <v>#NUM!</v>
      </c>
      <c r="L998" t="e">
        <f t="array" ref="L998">(--INDEX('Raw Data'!$A$4:B$998,F998,5))</f>
        <v>#NUM!</v>
      </c>
      <c r="M998" t="e">
        <f t="array" ref="M998">(--INDEX('Raw Data'!$A$4:D$998,$F998,6))</f>
        <v>#NUM!</v>
      </c>
      <c r="N998" t="e">
        <f t="array" ref="N998">(--INDEX('Raw Data'!$A$4:D$998,$F998,7))</f>
        <v>#NUM!</v>
      </c>
      <c r="O998" t="e">
        <f t="array" ref="O998">IF(--INDEX('Raw Data'!$A$4:E$998,$F998,8)= 0, 1, 0)</f>
        <v>#NUM!</v>
      </c>
      <c r="P998" t="e">
        <f t="array" ref="P998">IF(--INDEX('Raw Data'!$A$4:F$998,$F998,8)= 1, 1, 0)</f>
        <v>#NUM!</v>
      </c>
      <c r="Q998" t="e">
        <f t="array" ref="Q998">IF(--INDEX('Raw Data'!$A$4:G$998,$F998,13)= 1, 1, 0)</f>
        <v>#NUM!</v>
      </c>
      <c r="R998" t="e">
        <f t="array" ref="R998">IF(--INDEX('Raw Data'!$A$4:H$998,$F998,14)= 1, 1, 0)</f>
        <v>#NUM!</v>
      </c>
      <c r="S998" t="e">
        <f t="array" ref="S998">IF(--INDEX('Raw Data'!$A$4:I$998,$F998,15)= 1, 1, 0)</f>
        <v>#NUM!</v>
      </c>
      <c r="T998" t="e">
        <f t="array" ref="T998">IF(--INDEX('Raw Data'!$A$4:I$998,$F998,15)= 1, 1, 0)</f>
        <v>#NUM!</v>
      </c>
      <c r="U998" t="e">
        <f t="array" ref="U998">IF(--INDEX('Raw Data'!$A$4:J$998,$F998,16)= 1, 1, 0)</f>
        <v>#NUM!</v>
      </c>
      <c r="V998" t="e">
        <f t="array" ref="V998">IF(--INDEX('Raw Data'!$A$4:K$998,$F998,17)= 1, 1, 0)</f>
        <v>#NUM!</v>
      </c>
      <c r="W998" t="e">
        <f t="array" ref="W998">INDEX('Raw Data'!$A:$O,$F998,19)</f>
        <v>#NUM!</v>
      </c>
      <c r="X998" t="e">
        <f t="array" ref="X998">INDEX('Raw Data'!$A:$O,$F998,20)</f>
        <v>#NUM!</v>
      </c>
      <c r="Y998" t="e">
        <f t="array" ref="Y998">INDEX('Raw Data'!$A:$O,F998,21)</f>
        <v>#NUM!</v>
      </c>
      <c r="Z998" t="e">
        <f t="array" ref="Z998">INDEX('Raw Data'!$A:$O,$F998,3)</f>
        <v>#NUM!</v>
      </c>
      <c r="AA998" t="e">
        <f t="array" ref="AA998">INDEX('Raw Data'!$A:$O,$F998,22)</f>
        <v>#NUM!</v>
      </c>
      <c r="AB998" t="e">
        <f t="array" ref="AB998">INDEX('Raw Data'!$A:$O,$F998,23)</f>
        <v>#NUM!</v>
      </c>
      <c r="AR998" s="25"/>
    </row>
    <row r="999" spans="1:44" x14ac:dyDescent="0.25">
      <c r="A999" t="s">
        <v>55</v>
      </c>
      <c r="C999" s="2" t="e">
        <f>B989/B988</f>
        <v>#DIV/0!</v>
      </c>
      <c r="F999">
        <f t="array" ref="F999">COUNTIF(F984:F998,"&gt;0")</f>
        <v>0</v>
      </c>
      <c r="G999">
        <f t="array" ref="G999">SUMIF(G984:G998,"&gt;0")</f>
        <v>0</v>
      </c>
      <c r="H999">
        <f t="array" ref="H999">SUMIF(H984:H998,"&gt;0")</f>
        <v>0</v>
      </c>
      <c r="I999">
        <f t="array" ref="I999">SUMIF(I984:I998,"&gt;0")</f>
        <v>0</v>
      </c>
      <c r="J999">
        <f t="array" ref="J999">SUMIF(J984:J998,"&gt;0")</f>
        <v>0</v>
      </c>
      <c r="K999">
        <f t="array" ref="K999">SUMIF(K984:K998,"&gt;0")</f>
        <v>0</v>
      </c>
      <c r="L999">
        <f t="array" ref="L999">SUMIF(L984:L998,"&gt;0")</f>
        <v>0</v>
      </c>
      <c r="M999">
        <f t="array" ref="M999">SUMIF(M984:M998,"&gt;0")</f>
        <v>0</v>
      </c>
      <c r="N999">
        <f t="array" ref="N999">SUMIF(N984:N998,"&gt;0")</f>
        <v>0</v>
      </c>
      <c r="O999">
        <f t="array" ref="O999">SUMIF(O984:O998,"&gt;0")</f>
        <v>0</v>
      </c>
      <c r="P999">
        <f t="array" ref="P999">SUMIF(P984:P998,"&gt;0")</f>
        <v>0</v>
      </c>
      <c r="Q999">
        <f t="array" ref="Q999">SUMIF(Q984:Q998,"&gt;0")</f>
        <v>0</v>
      </c>
      <c r="R999">
        <f t="array" ref="R999">SUMIF(R984:R998,"&gt;0")</f>
        <v>0</v>
      </c>
      <c r="S999">
        <f t="array" ref="S999">SUMIF(S984:S998,"&gt;0")</f>
        <v>0</v>
      </c>
      <c r="T999">
        <f t="array" ref="T999">SUMIF(T984:T998,"&gt;0")</f>
        <v>0</v>
      </c>
      <c r="U999">
        <f t="array" ref="U999">SUMIF(U984:U998,"&gt;0")</f>
        <v>0</v>
      </c>
      <c r="V999">
        <f t="array" ref="V999">SUMIF(V984:V998,"&gt;0")</f>
        <v>0</v>
      </c>
      <c r="W999">
        <f t="array" ref="W999">SUMIF(W984:W998,"&gt;0")</f>
        <v>0</v>
      </c>
      <c r="X999">
        <f t="array" ref="X999">SUMIF(X984:X998,"&gt;0")</f>
        <v>0</v>
      </c>
      <c r="Y999">
        <f t="array" ref="Y999">SUMIF(Y984:Y998,"&gt;0")</f>
        <v>0</v>
      </c>
      <c r="Z999">
        <f t="array" ref="Z999">SUMIF(Z984:Z998,"&gt;0")</f>
        <v>0</v>
      </c>
      <c r="AA999">
        <f t="array" ref="AA999">SUMIF(AA984:AA998,"&gt;0")</f>
        <v>0</v>
      </c>
      <c r="AB999">
        <f t="array" ref="AB999">SUMIF(AB984:AB998,"&gt;0")</f>
        <v>0</v>
      </c>
      <c r="AR999" s="25"/>
    </row>
    <row r="1000" spans="1:44" x14ac:dyDescent="0.25">
      <c r="A1000" t="s">
        <v>58</v>
      </c>
      <c r="C1000" s="2">
        <f t="array" ref="C1000">IF((K999+L999)&lt;&gt;0, (L999/(K999+L999)),0)</f>
        <v>0</v>
      </c>
      <c r="J1000" s="6">
        <f t="array" ref="J1000">J999*10</f>
        <v>0</v>
      </c>
      <c r="K1000" s="6"/>
      <c r="P1000" t="s">
        <v>95</v>
      </c>
      <c r="Q1000" s="2" t="e">
        <f t="array" ref="Q1000">Q999/$F999</f>
        <v>#DIV/0!</v>
      </c>
      <c r="R1000" s="2" t="e">
        <f t="array" ref="R1000">R999/$F999</f>
        <v>#DIV/0!</v>
      </c>
      <c r="S1000" s="2" t="e">
        <f t="array" ref="S1000">S999/$F999</f>
        <v>#DIV/0!</v>
      </c>
      <c r="T1000" s="2" t="e">
        <f t="array" ref="T1000">T999/$F999</f>
        <v>#DIV/0!</v>
      </c>
      <c r="U1000" s="2" t="e">
        <f t="array" ref="U1000">U999/$F999</f>
        <v>#DIV/0!</v>
      </c>
      <c r="V1000" s="2" t="e">
        <f t="array" ref="V1000">V999/$F999</f>
        <v>#DIV/0!</v>
      </c>
      <c r="Z1000" s="2" t="e">
        <f t="array" ref="Z1000">Z999/F999</f>
        <v>#DIV/0!</v>
      </c>
      <c r="AR1000" s="25"/>
    </row>
    <row r="1001" spans="1:44" x14ac:dyDescent="0.25">
      <c r="A1001" t="s">
        <v>60</v>
      </c>
      <c r="C1001" s="2">
        <f t="array" ref="C1001">IF((M999+N999)&lt;&gt;0, (N999/(M999+N999)),0)</f>
        <v>0</v>
      </c>
      <c r="J1001" s="6"/>
      <c r="K1001" s="6"/>
      <c r="AR1001" s="25"/>
    </row>
    <row r="1002" spans="1:44" ht="28.5" x14ac:dyDescent="0.45">
      <c r="A1002" t="s">
        <v>61</v>
      </c>
      <c r="C1002" s="2">
        <f t="array" ref="C1002">IF(((K999+N999+L999+M999)&lt;&gt;0), ((L999+N999)/(K999+N999+L999+M999)),0)</f>
        <v>0</v>
      </c>
      <c r="F1002" s="17" t="s">
        <v>106</v>
      </c>
      <c r="G1002" s="17" t="e">
        <f t="array" ref="G1002">'Weighting &amp; Ranking Sheet'!$B$3*Math!$C1000+'Weighting &amp; Ranking Sheet'!$B$4*Math!$C1001+'Weighting &amp; Ranking Sheet'!$B$5*Math!$C1002+'Weighting &amp; Ranking Sheet'!$B$6*Math!$C1003+'Weighting &amp; Ranking Sheet'!$B$7*Math!$C987+'Weighting &amp; Ranking Sheet'!$B$8*Math!$C999+'Weighting &amp; Ranking Sheet'!$B$9*Math!$C1006+'Weighting &amp; Ranking Sheet'!$B$10*Math!$C1004+'Weighting &amp; Ranking Sheet'!$B$11*Math!$C1005+'Weighting &amp; Ranking Sheet'!$B$12*Math!$C1007*0.01+'Weighting &amp; Ranking Sheet'!$B$13*Math!$Q1000+'Weighting &amp; Ranking Sheet'!$B$14*Math!$R1000+'Weighting &amp; Ranking Sheet'!$B$15*Math!$S1000+'Weighting &amp; Ranking Sheet'!$B$16*Math!$T1000+'Weighting &amp; Ranking Sheet'!$B$17*Math!$U1000+'Weighting &amp; Ranking Sheet'!$B$18*Math!$V1000+'Weighting &amp; Ranking Sheet'!$B$2*Math!$Z1000</f>
        <v>#DIV/0!</v>
      </c>
      <c r="J1002"/>
      <c r="K1002" s="6"/>
      <c r="AR1002" s="25"/>
    </row>
    <row r="1003" spans="1:44" x14ac:dyDescent="0.25">
      <c r="A1003" t="s">
        <v>62</v>
      </c>
      <c r="C1003" s="2">
        <f t="array" ref="C1003">IF((O999+P999&lt;&gt;0),(P999/(O999+P999)), 0)</f>
        <v>0</v>
      </c>
      <c r="J1003"/>
      <c r="K1003" s="6"/>
      <c r="AR1003" s="25"/>
    </row>
    <row r="1004" spans="1:44" x14ac:dyDescent="0.25">
      <c r="A1004" t="s">
        <v>77</v>
      </c>
      <c r="C1004" s="8" t="e">
        <f t="array" ref="C1004">W999/F999</f>
        <v>#DIV/0!</v>
      </c>
      <c r="J1004"/>
      <c r="K1004" s="6"/>
      <c r="AR1004" s="23"/>
    </row>
    <row r="1005" spans="1:44" x14ac:dyDescent="0.25">
      <c r="A1005" t="s">
        <v>78</v>
      </c>
      <c r="C1005" s="8" t="e">
        <f t="array" ref="C1005">X999/F999</f>
        <v>#DIV/0!</v>
      </c>
      <c r="J1005"/>
      <c r="K1005" s="6"/>
    </row>
    <row r="1006" spans="1:44" x14ac:dyDescent="0.25">
      <c r="A1006" t="s">
        <v>91</v>
      </c>
      <c r="C1006" s="2" t="e">
        <f t="array" ref="C1006">(C987+C999)/2</f>
        <v>#DIV/0!</v>
      </c>
      <c r="J1006"/>
      <c r="K1006" s="6"/>
    </row>
    <row r="1007" spans="1:44" x14ac:dyDescent="0.25">
      <c r="A1007" t="s">
        <v>92</v>
      </c>
      <c r="C1007" s="8" t="e">
        <f t="array" ref="C1007">Y999/F999</f>
        <v>#DIV/0!</v>
      </c>
      <c r="J1007" s="6"/>
      <c r="K1007" s="6"/>
    </row>
    <row r="1008" spans="1:44" x14ac:dyDescent="0.25">
      <c r="C1008" s="8"/>
      <c r="J1008" s="6"/>
      <c r="K1008" s="6"/>
    </row>
    <row r="1009" spans="1:44" x14ac:dyDescent="0.25">
      <c r="C1009" s="8"/>
      <c r="J1009" s="6"/>
      <c r="K1009" s="6"/>
    </row>
    <row r="1010" spans="1:44" x14ac:dyDescent="0.25">
      <c r="J1010" s="6"/>
      <c r="K1010" s="6"/>
    </row>
    <row r="1011" spans="1:44" x14ac:dyDescent="0.25">
      <c r="A1011" t="s">
        <v>3</v>
      </c>
      <c r="C1011" s="5">
        <v>4575</v>
      </c>
      <c r="F1011" t="s">
        <v>33</v>
      </c>
    </row>
    <row r="1012" spans="1:44" x14ac:dyDescent="0.25">
      <c r="F1012" t="e">
        <f t="array" ref="F1012">SMALL(IF('Raw Data'!A:A=C1011,ROW('Raw Data'!A:A)),ROW('Raw Data'!$1:$1))</f>
        <v>#NUM!</v>
      </c>
      <c r="G1012" t="e">
        <f t="array" ref="G1012">INDEX('Raw Data'!A:A,F1012,9)</f>
        <v>#NUM!</v>
      </c>
      <c r="H1012" t="e">
        <f t="array" ref="H1012">INDEX('Raw Data'!A:A,F1012,10)</f>
        <v>#NUM!</v>
      </c>
      <c r="I1012" t="e">
        <f t="array" ref="I1012">INDEX('Raw Data'!$A:A,$F1012,11)</f>
        <v>#NUM!</v>
      </c>
      <c r="J1012" t="e">
        <f t="array" ref="J1012">INDEX('Raw Data'!$A:A,F1012,12)</f>
        <v>#NUM!</v>
      </c>
      <c r="K1012" t="e">
        <f>(--INDEX('Raw Data'!$A$4:B$993,F1012,4))</f>
        <v>#NUM!</v>
      </c>
      <c r="L1012" t="e">
        <f t="array" ref="L1012">(--INDEX('Raw Data'!$A$4:B$993,F1012,5))</f>
        <v>#NUM!</v>
      </c>
      <c r="M1012" t="e">
        <f t="array" ref="M1012">(--INDEX('Raw Data'!$A$4:D$993,$F1012,6))</f>
        <v>#NUM!</v>
      </c>
      <c r="N1012" t="e">
        <f t="array" ref="N1012">(--INDEX('Raw Data'!$A$4:D$993,$F1012,7))</f>
        <v>#NUM!</v>
      </c>
      <c r="O1012" t="e">
        <f t="array" ref="O1012">IF(--INDEX('Raw Data'!$A$4:E$993,$F1012,8)= 0, 1, 0)</f>
        <v>#NUM!</v>
      </c>
      <c r="P1012" t="e">
        <f t="array" ref="P1012">IF(--INDEX('Raw Data'!$A$4:F$993,$F1012,8)= 1, 1, 0)</f>
        <v>#NUM!</v>
      </c>
      <c r="Q1012" t="e">
        <f t="array" ref="Q1012">IF(--INDEX('Raw Data'!$A$4:G$993,$F1012,13)= 1, 1, 0)</f>
        <v>#NUM!</v>
      </c>
      <c r="R1012" t="e">
        <f t="array" ref="R1012">IF(--INDEX('Raw Data'!$A$4:H$993,$F1012,14)= 1, 1, 0)</f>
        <v>#NUM!</v>
      </c>
      <c r="S1012" t="e">
        <f t="array" ref="S1012">IF(--INDEX('Raw Data'!$A$4:I$993,$F1012,15)= 1, 1, 0)</f>
        <v>#NUM!</v>
      </c>
      <c r="T1012" t="e">
        <f t="array" ref="T1012">IF(--INDEX('Raw Data'!$A$4:I$993,$F1012,15)= 1, 1, 0)</f>
        <v>#NUM!</v>
      </c>
      <c r="U1012" t="e">
        <f t="array" ref="U1012">IF(--INDEX('Raw Data'!$A$4:J$993,$F1012,16)= 1, 1, 0)</f>
        <v>#NUM!</v>
      </c>
      <c r="V1012" t="e">
        <f t="array" ref="V1012">IF(--INDEX('Raw Data'!$A$4:K$993,$F1012,17)= 1, 1, 0)</f>
        <v>#NUM!</v>
      </c>
      <c r="W1012" t="e">
        <f t="array" ref="W1012">INDEX('Raw Data'!$A:$O,$F1012,19)</f>
        <v>#NUM!</v>
      </c>
      <c r="X1012" t="e">
        <f t="array" ref="X1012">INDEX('Raw Data'!$A:$O,$F1012,20)</f>
        <v>#NUM!</v>
      </c>
      <c r="Y1012" t="e">
        <f t="array" ref="Y1012">INDEX('Raw Data'!$A:$O,F1012,21)</f>
        <v>#NUM!</v>
      </c>
      <c r="Z1012" t="e">
        <f t="array" ref="Z1012">INDEX('Raw Data'!$A:$O,$F1012,3)</f>
        <v>#NUM!</v>
      </c>
      <c r="AA1012" t="e">
        <f t="array" ref="AA1012">INDEX('Raw Data'!$A:$O,$F1012,22)</f>
        <v>#NUM!</v>
      </c>
      <c r="AB1012" t="e">
        <f t="array" ref="AB1012">INDEX('Raw Data'!$A:$O,$F1012,23)</f>
        <v>#NUM!</v>
      </c>
    </row>
    <row r="1013" spans="1:44" x14ac:dyDescent="0.25">
      <c r="A1013" t="s">
        <v>0</v>
      </c>
      <c r="B1013">
        <f>G1027</f>
        <v>0</v>
      </c>
      <c r="F1013" t="e">
        <f t="array" ref="F1013">SMALL(IF('Raw Data'!A:A=C1011,ROW('Raw Data'!A:A)),ROW('Raw Data'!$2:$2))</f>
        <v>#NUM!</v>
      </c>
      <c r="G1013" t="e">
        <f t="array" ref="G1013">INDEX('Raw Data'!A:A,F1013,9)</f>
        <v>#NUM!</v>
      </c>
      <c r="H1013" t="e">
        <f t="array" ref="H1013">INDEX('Raw Data'!A:A,F1013,10)</f>
        <v>#NUM!</v>
      </c>
      <c r="I1013" t="e">
        <f t="array" ref="I1013">INDEX('Raw Data'!$A:A,$F1013,11)</f>
        <v>#NUM!</v>
      </c>
      <c r="J1013" t="e">
        <f t="array" ref="J1013">INDEX('Raw Data'!$A:A,F1013,12)</f>
        <v>#NUM!</v>
      </c>
      <c r="K1013" t="e">
        <f>(--INDEX('Raw Data'!$A$4:B$993,F1013,4))</f>
        <v>#NUM!</v>
      </c>
      <c r="L1013" t="e">
        <f t="array" ref="L1013">(--INDEX('Raw Data'!$A$4:B$993,F1013,5))</f>
        <v>#NUM!</v>
      </c>
      <c r="M1013" t="e">
        <f t="array" ref="M1013">(--INDEX('Raw Data'!$A$4:D$993,$F1013,6))</f>
        <v>#NUM!</v>
      </c>
      <c r="N1013" t="e">
        <f t="array" ref="N1013">(--INDEX('Raw Data'!$A$4:D$993,$F1013,7))</f>
        <v>#NUM!</v>
      </c>
      <c r="O1013" t="e">
        <f t="array" ref="O1013">IF(--INDEX('Raw Data'!$A$4:E$993,$F1013,8)= 0, 1, 0)</f>
        <v>#NUM!</v>
      </c>
      <c r="P1013" t="e">
        <f t="array" ref="P1013">IF(--INDEX('Raw Data'!$A$4:F$993,$F1013,8)= 1, 1, 0)</f>
        <v>#NUM!</v>
      </c>
      <c r="Q1013" t="e">
        <f t="array" ref="Q1013">IF(--INDEX('Raw Data'!$A$4:G$993,$F1013,13)= 1, 1, 0)</f>
        <v>#NUM!</v>
      </c>
      <c r="R1013" t="e">
        <f t="array" ref="R1013">IF(--INDEX('Raw Data'!$A$4:H$993,$F1013,14)= 1, 1, 0)</f>
        <v>#NUM!</v>
      </c>
      <c r="S1013" t="e">
        <f t="array" ref="S1013">IF(--INDEX('Raw Data'!$A$4:I$993,$F1013,15)= 1, 1, 0)</f>
        <v>#NUM!</v>
      </c>
      <c r="T1013" t="e">
        <f t="array" ref="T1013">IF(--INDEX('Raw Data'!$A$4:I$993,$F1013,15)= 1, 1, 0)</f>
        <v>#NUM!</v>
      </c>
      <c r="U1013" t="e">
        <f t="array" ref="U1013">IF(--INDEX('Raw Data'!$A$4:J$993,$F1013,16)= 1, 1, 0)</f>
        <v>#NUM!</v>
      </c>
      <c r="V1013" t="e">
        <f t="array" ref="V1013">IF(--INDEX('Raw Data'!$A$4:K$993,$F1013,17)= 1, 1, 0)</f>
        <v>#NUM!</v>
      </c>
      <c r="W1013" t="e">
        <f t="array" ref="W1013">INDEX('Raw Data'!$A:$O,$F1013,19)</f>
        <v>#NUM!</v>
      </c>
      <c r="X1013" t="e">
        <f t="array" ref="X1013">INDEX('Raw Data'!$A:$O,$F1013,20)</f>
        <v>#NUM!</v>
      </c>
      <c r="Y1013" t="e">
        <f t="array" ref="Y1013">INDEX('Raw Data'!$A:$O,F1013,21)</f>
        <v>#NUM!</v>
      </c>
      <c r="Z1013" t="e">
        <f t="array" ref="Z1013">INDEX('Raw Data'!$A:$O,$F1013,3)</f>
        <v>#NUM!</v>
      </c>
      <c r="AA1013" t="e">
        <f t="array" ref="AA1013">INDEX('Raw Data'!$A:$O,$F1013,22)</f>
        <v>#NUM!</v>
      </c>
      <c r="AB1013" t="e">
        <f t="array" ref="AB1013">INDEX('Raw Data'!$A:$O,$F1013,23)</f>
        <v>#NUM!</v>
      </c>
    </row>
    <row r="1014" spans="1:44" x14ac:dyDescent="0.25">
      <c r="A1014" t="s">
        <v>1</v>
      </c>
      <c r="B1014">
        <f>H1027</f>
        <v>0</v>
      </c>
      <c r="F1014" t="e">
        <f t="array" ref="F1014">SMALL(IF('Raw Data'!A:A=C1011,ROW('Raw Data'!A:A)),ROW('Raw Data'!$3:$3))</f>
        <v>#NUM!</v>
      </c>
      <c r="G1014" t="e">
        <f t="array" ref="G1014">INDEX('Raw Data'!A:A,F1014,9)</f>
        <v>#NUM!</v>
      </c>
      <c r="H1014" t="e">
        <f t="array" ref="H1014">INDEX('Raw Data'!A:A,F1014,10)</f>
        <v>#NUM!</v>
      </c>
      <c r="I1014" t="e">
        <f t="array" ref="I1014">INDEX('Raw Data'!$A:A,$F1014,11)</f>
        <v>#NUM!</v>
      </c>
      <c r="J1014" t="e">
        <f t="array" ref="J1014">INDEX('Raw Data'!$A:A,F1014,12)</f>
        <v>#NUM!</v>
      </c>
      <c r="K1014" t="e">
        <f>(--INDEX('Raw Data'!$A$4:B$993,F1014,4))</f>
        <v>#NUM!</v>
      </c>
      <c r="L1014" t="e">
        <f t="array" ref="L1014">(--INDEX('Raw Data'!$A$4:B$993,F1014,5))</f>
        <v>#NUM!</v>
      </c>
      <c r="M1014" t="e">
        <f t="array" ref="M1014">(--INDEX('Raw Data'!$A$4:D$993,$F1014,6))</f>
        <v>#NUM!</v>
      </c>
      <c r="N1014" t="e">
        <f t="array" ref="N1014">(--INDEX('Raw Data'!$A$4:D$993,$F1014,7))</f>
        <v>#NUM!</v>
      </c>
      <c r="O1014" t="e">
        <f t="array" ref="O1014">IF(--INDEX('Raw Data'!$A$4:E$993,$F1014,8)= 0, 1, 0)</f>
        <v>#NUM!</v>
      </c>
      <c r="P1014" t="e">
        <f t="array" ref="P1014">IF(--INDEX('Raw Data'!$A$4:F$993,$F1014,8)= 1, 1, 0)</f>
        <v>#NUM!</v>
      </c>
      <c r="Q1014" t="e">
        <f t="array" ref="Q1014">IF(--INDEX('Raw Data'!$A$4:G$993,$F1014,13)= 1, 1, 0)</f>
        <v>#NUM!</v>
      </c>
      <c r="R1014" t="e">
        <f t="array" ref="R1014">IF(--INDEX('Raw Data'!$A$4:H$993,$F1014,14)= 1, 1, 0)</f>
        <v>#NUM!</v>
      </c>
      <c r="S1014" t="e">
        <f t="array" ref="S1014">IF(--INDEX('Raw Data'!$A$4:I$993,$F1014,15)= 1, 1, 0)</f>
        <v>#NUM!</v>
      </c>
      <c r="T1014" t="e">
        <f t="array" ref="T1014">IF(--INDEX('Raw Data'!$A$4:I$993,$F1014,15)= 1, 1, 0)</f>
        <v>#NUM!</v>
      </c>
      <c r="U1014" t="e">
        <f t="array" ref="U1014">IF(--INDEX('Raw Data'!$A$4:J$993,$F1014,16)= 1, 1, 0)</f>
        <v>#NUM!</v>
      </c>
      <c r="V1014" t="e">
        <f t="array" ref="V1014">IF(--INDEX('Raw Data'!$A$4:K$993,$F1014,17)= 1, 1, 0)</f>
        <v>#NUM!</v>
      </c>
      <c r="W1014" t="e">
        <f t="array" ref="W1014">INDEX('Raw Data'!$A:$O,$F1014,19)</f>
        <v>#NUM!</v>
      </c>
      <c r="X1014" t="e">
        <f t="array" ref="X1014">INDEX('Raw Data'!$A:$O,$F1014,20)</f>
        <v>#NUM!</v>
      </c>
      <c r="Y1014" t="e">
        <f t="array" ref="Y1014">INDEX('Raw Data'!$A:$O,F1014,21)</f>
        <v>#NUM!</v>
      </c>
      <c r="Z1014" t="e">
        <f t="array" ref="Z1014">INDEX('Raw Data'!$A:$O,$F1014,3)</f>
        <v>#NUM!</v>
      </c>
      <c r="AA1014" t="e">
        <f t="array" ref="AA1014">INDEX('Raw Data'!$A:$O,$F1014,22)</f>
        <v>#NUM!</v>
      </c>
      <c r="AB1014" t="e">
        <f t="array" ref="AB1014">INDEX('Raw Data'!$A:$O,$F1014,23)</f>
        <v>#NUM!</v>
      </c>
    </row>
    <row r="1015" spans="1:44" x14ac:dyDescent="0.25">
      <c r="A1015" t="s">
        <v>2</v>
      </c>
      <c r="C1015" s="3" t="e">
        <f>B1014/B1013</f>
        <v>#DIV/0!</v>
      </c>
      <c r="F1015" t="e">
        <f t="array" ref="F1015">SMALL(IF('Raw Data'!A:A=C1011,ROW('Raw Data'!A:A)),ROW('Raw Data'!$4:$4))</f>
        <v>#NUM!</v>
      </c>
      <c r="G1015" t="e">
        <f t="array" ref="G1015">INDEX('Raw Data'!A:A,F1015,9)</f>
        <v>#NUM!</v>
      </c>
      <c r="H1015" t="e">
        <f t="array" ref="H1015">INDEX('Raw Data'!A:A,F1015,10)</f>
        <v>#NUM!</v>
      </c>
      <c r="I1015" t="e">
        <f t="array" ref="I1015">INDEX('Raw Data'!$A:A,$F1015,11)</f>
        <v>#NUM!</v>
      </c>
      <c r="J1015" t="e">
        <f t="array" ref="J1015">INDEX('Raw Data'!$A:A,F1015,12)</f>
        <v>#NUM!</v>
      </c>
      <c r="K1015" t="e">
        <f>(--INDEX('Raw Data'!$A$4:B$993,F1015,4))</f>
        <v>#NUM!</v>
      </c>
      <c r="L1015" t="e">
        <f t="array" ref="L1015">(--INDEX('Raw Data'!$A$4:B$993,F1015,5))</f>
        <v>#NUM!</v>
      </c>
      <c r="M1015" t="e">
        <f t="array" ref="M1015">(--INDEX('Raw Data'!$A$4:D$993,$F1015,6))</f>
        <v>#NUM!</v>
      </c>
      <c r="N1015" t="e">
        <f t="array" ref="N1015">(--INDEX('Raw Data'!$A$4:D$993,$F1015,7))</f>
        <v>#NUM!</v>
      </c>
      <c r="O1015" t="e">
        <f t="array" ref="O1015">IF(--INDEX('Raw Data'!$A$4:E$993,$F1015,8)= 0, 1, 0)</f>
        <v>#NUM!</v>
      </c>
      <c r="P1015" t="e">
        <f t="array" ref="P1015">IF(--INDEX('Raw Data'!$A$4:F$993,$F1015,8)= 1, 1, 0)</f>
        <v>#NUM!</v>
      </c>
      <c r="Q1015" t="e">
        <f t="array" ref="Q1015">IF(--INDEX('Raw Data'!$A$4:G$993,$F1015,13)= 1, 1, 0)</f>
        <v>#NUM!</v>
      </c>
      <c r="R1015" t="e">
        <f t="array" ref="R1015">IF(--INDEX('Raw Data'!$A$4:H$993,$F1015,14)= 1, 1, 0)</f>
        <v>#NUM!</v>
      </c>
      <c r="S1015" t="e">
        <f t="array" ref="S1015">IF(--INDEX('Raw Data'!$A$4:I$993,$F1015,15)= 1, 1, 0)</f>
        <v>#NUM!</v>
      </c>
      <c r="T1015" t="e">
        <f t="array" ref="T1015">IF(--INDEX('Raw Data'!$A$4:I$993,$F1015,15)= 1, 1, 0)</f>
        <v>#NUM!</v>
      </c>
      <c r="U1015" t="e">
        <f t="array" ref="U1015">IF(--INDEX('Raw Data'!$A$4:J$993,$F1015,16)= 1, 1, 0)</f>
        <v>#NUM!</v>
      </c>
      <c r="V1015" t="e">
        <f t="array" ref="V1015">IF(--INDEX('Raw Data'!$A$4:K$993,$F1015,17)= 1, 1, 0)</f>
        <v>#NUM!</v>
      </c>
      <c r="W1015" t="e">
        <f t="array" ref="W1015">INDEX('Raw Data'!$A:$O,$F1015,19)</f>
        <v>#NUM!</v>
      </c>
      <c r="X1015" t="e">
        <f t="array" ref="X1015">INDEX('Raw Data'!$A:$O,$F1015,20)</f>
        <v>#NUM!</v>
      </c>
      <c r="Y1015" t="e">
        <f t="array" ref="Y1015">INDEX('Raw Data'!$A:$O,F1015,21)</f>
        <v>#NUM!</v>
      </c>
      <c r="Z1015" t="e">
        <f t="array" ref="Z1015">INDEX('Raw Data'!$A:$O,$F1015,3)</f>
        <v>#NUM!</v>
      </c>
      <c r="AA1015" t="e">
        <f t="array" ref="AA1015">INDEX('Raw Data'!$A:$O,$F1015,22)</f>
        <v>#NUM!</v>
      </c>
      <c r="AB1015" t="e">
        <f t="array" ref="AB1015">INDEX('Raw Data'!$A:$O,$F1015,23)</f>
        <v>#NUM!</v>
      </c>
    </row>
    <row r="1016" spans="1:44" x14ac:dyDescent="0.25">
      <c r="A1016" t="s">
        <v>54</v>
      </c>
      <c r="B1016">
        <f>I1027</f>
        <v>0</v>
      </c>
      <c r="F1016" t="e">
        <f t="array" ref="F1016">SMALL(IF('Raw Data'!A:A=C1011,ROW('Raw Data'!A:A)),ROW('Raw Data'!$5:$5))</f>
        <v>#NUM!</v>
      </c>
      <c r="G1016" t="e">
        <f t="array" ref="G1016">INDEX('Raw Data'!A:A,F1016,9)</f>
        <v>#NUM!</v>
      </c>
      <c r="H1016" t="e">
        <f t="array" ref="H1016">INDEX('Raw Data'!A:A,F1016,10)</f>
        <v>#NUM!</v>
      </c>
      <c r="I1016" t="e">
        <f t="array" ref="I1016">INDEX('Raw Data'!$A:A,$F1016,11)</f>
        <v>#NUM!</v>
      </c>
      <c r="J1016" t="e">
        <f t="array" ref="J1016">INDEX('Raw Data'!$A:A,F1016,12)</f>
        <v>#NUM!</v>
      </c>
      <c r="K1016" t="e">
        <f>(--INDEX('Raw Data'!$A$4:B$993,F1016,4))</f>
        <v>#NUM!</v>
      </c>
      <c r="L1016" t="e">
        <f t="array" ref="L1016">(--INDEX('Raw Data'!$A$4:B$993,F1016,5))</f>
        <v>#NUM!</v>
      </c>
      <c r="M1016" t="e">
        <f t="array" ref="M1016">(--INDEX('Raw Data'!$A$4:D$993,$F1016,6))</f>
        <v>#NUM!</v>
      </c>
      <c r="N1016" t="e">
        <f t="array" ref="N1016">(--INDEX('Raw Data'!$A$4:D$993,$F1016,7))</f>
        <v>#NUM!</v>
      </c>
      <c r="O1016" t="e">
        <f t="array" ref="O1016">IF(--INDEX('Raw Data'!$A$4:E$993,$F1016,8)= 0, 1, 0)</f>
        <v>#NUM!</v>
      </c>
      <c r="P1016" t="e">
        <f t="array" ref="P1016">IF(--INDEX('Raw Data'!$A$4:F$993,$F1016,8)= 1, 1, 0)</f>
        <v>#NUM!</v>
      </c>
      <c r="Q1016" t="e">
        <f t="array" ref="Q1016">IF(--INDEX('Raw Data'!$A$4:G$993,$F1016,13)= 1, 1, 0)</f>
        <v>#NUM!</v>
      </c>
      <c r="R1016" t="e">
        <f t="array" ref="R1016">IF(--INDEX('Raw Data'!$A$4:H$993,$F1016,14)= 1, 1, 0)</f>
        <v>#NUM!</v>
      </c>
      <c r="S1016" t="e">
        <f t="array" ref="S1016">IF(--INDEX('Raw Data'!$A$4:I$993,$F1016,15)= 1, 1, 0)</f>
        <v>#NUM!</v>
      </c>
      <c r="T1016" t="e">
        <f t="array" ref="T1016">IF(--INDEX('Raw Data'!$A$4:I$993,$F1016,15)= 1, 1, 0)</f>
        <v>#NUM!</v>
      </c>
      <c r="U1016" t="e">
        <f t="array" ref="U1016">IF(--INDEX('Raw Data'!$A$4:J$993,$F1016,16)= 1, 1, 0)</f>
        <v>#NUM!</v>
      </c>
      <c r="V1016" t="e">
        <f t="array" ref="V1016">IF(--INDEX('Raw Data'!$A$4:K$993,$F1016,17)= 1, 1, 0)</f>
        <v>#NUM!</v>
      </c>
      <c r="W1016" t="e">
        <f t="array" ref="W1016">INDEX('Raw Data'!$A:$O,$F1016,19)</f>
        <v>#NUM!</v>
      </c>
      <c r="X1016" t="e">
        <f t="array" ref="X1016">INDEX('Raw Data'!$A:$O,$F1016,20)</f>
        <v>#NUM!</v>
      </c>
      <c r="Y1016" t="e">
        <f t="array" ref="Y1016">INDEX('Raw Data'!$A:$O,F1016,21)</f>
        <v>#NUM!</v>
      </c>
      <c r="Z1016" t="e">
        <f t="array" ref="Z1016">INDEX('Raw Data'!$A:$O,$F1016,3)</f>
        <v>#NUM!</v>
      </c>
      <c r="AA1016" t="e">
        <f t="array" ref="AA1016">INDEX('Raw Data'!$A:$O,$F1016,22)</f>
        <v>#NUM!</v>
      </c>
      <c r="AB1016" t="e">
        <f t="array" ref="AB1016">INDEX('Raw Data'!$A:$O,$F1016,23)</f>
        <v>#NUM!</v>
      </c>
      <c r="AR1016" s="25"/>
    </row>
    <row r="1017" spans="1:44" x14ac:dyDescent="0.25">
      <c r="A1017" t="s">
        <v>35</v>
      </c>
      <c r="B1017">
        <f>J1027</f>
        <v>0</v>
      </c>
      <c r="F1017" t="e">
        <f t="array" ref="F1017">SMALL(IF('Raw Data'!A:A=C1011,ROW('Raw Data'!A:A)),ROW('Raw Data'!$6:$6))</f>
        <v>#NUM!</v>
      </c>
      <c r="G1017" t="e">
        <f t="array" ref="G1017">INDEX('Raw Data'!A:A,F1017,9)</f>
        <v>#NUM!</v>
      </c>
      <c r="H1017" t="e">
        <f t="array" ref="H1017">INDEX('Raw Data'!A:A,F1017,10)</f>
        <v>#NUM!</v>
      </c>
      <c r="I1017" t="e">
        <f t="array" ref="I1017">INDEX('Raw Data'!$A:A,$F1017,11)</f>
        <v>#NUM!</v>
      </c>
      <c r="J1017" t="e">
        <f t="array" ref="J1017">INDEX('Raw Data'!$A:A,F1017,12)</f>
        <v>#NUM!</v>
      </c>
      <c r="K1017" t="e">
        <f>(--INDEX('Raw Data'!$A$4:B$993,F1017,4))</f>
        <v>#NUM!</v>
      </c>
      <c r="L1017" t="e">
        <f t="array" ref="L1017">(--INDEX('Raw Data'!$A$4:B$998,F1017,5))</f>
        <v>#NUM!</v>
      </c>
      <c r="M1017" t="e">
        <f t="array" ref="M1017">(--INDEX('Raw Data'!$A$4:D$998,$F1017,6))</f>
        <v>#NUM!</v>
      </c>
      <c r="N1017" t="e">
        <f t="array" ref="N1017">(--INDEX('Raw Data'!$A$4:D$993,$F1017,7))</f>
        <v>#NUM!</v>
      </c>
      <c r="O1017" t="e">
        <f t="array" ref="O1017">IF(--INDEX('Raw Data'!$A$4:E$993,$F1017,8)= 0, 1, 0)</f>
        <v>#NUM!</v>
      </c>
      <c r="P1017" t="e">
        <f t="array" ref="P1017">IF(--INDEX('Raw Data'!$A$4:F$998,$F1017,8)= 1, 1, 0)</f>
        <v>#NUM!</v>
      </c>
      <c r="Q1017" t="e">
        <f t="array" ref="Q1017">IF(--INDEX('Raw Data'!$A$4:G$998,$F1017,13)= 1, 1, 0)</f>
        <v>#NUM!</v>
      </c>
      <c r="R1017" t="e">
        <f t="array" ref="R1017">IF(--INDEX('Raw Data'!$A$4:H$998,$F1017,14)= 1, 1, 0)</f>
        <v>#NUM!</v>
      </c>
      <c r="S1017" t="e">
        <f t="array" ref="S1017">IF(--INDEX('Raw Data'!$A$4:I$993,$F1017,15)= 1, 1, 0)</f>
        <v>#NUM!</v>
      </c>
      <c r="T1017" t="e">
        <f t="array" ref="T1017">IF(--INDEX('Raw Data'!$A$4:I$998,$F1017,15)= 1, 1, 0)</f>
        <v>#NUM!</v>
      </c>
      <c r="U1017" t="e">
        <f t="array" ref="U1017">IF(--INDEX('Raw Data'!$A$4:J$998,$F1017,16)= 1, 1, 0)</f>
        <v>#NUM!</v>
      </c>
      <c r="V1017" t="e">
        <f t="array" ref="V1017">IF(--INDEX('Raw Data'!$A$4:K$993,$F1017,17)= 1, 1, 0)</f>
        <v>#NUM!</v>
      </c>
      <c r="W1017" t="e">
        <f t="array" ref="W1017">INDEX('Raw Data'!$A:$O,$F1017,19)</f>
        <v>#NUM!</v>
      </c>
      <c r="X1017" t="e">
        <f t="array" ref="X1017">INDEX('Raw Data'!$A:$O,$F1017,20)</f>
        <v>#NUM!</v>
      </c>
      <c r="Y1017" t="e">
        <f t="array" ref="Y1017">INDEX('Raw Data'!$A:$O,F1017,21)</f>
        <v>#NUM!</v>
      </c>
      <c r="Z1017" t="e">
        <f t="array" ref="Z1017">INDEX('Raw Data'!$A:$O,$F1017,3)</f>
        <v>#NUM!</v>
      </c>
      <c r="AA1017" t="e">
        <f t="array" ref="AA1017">INDEX('Raw Data'!$A:$O,$F1017,22)</f>
        <v>#NUM!</v>
      </c>
      <c r="AB1017" t="e">
        <f t="array" ref="AB1017">INDEX('Raw Data'!$A:$O,$F1017,23)</f>
        <v>#NUM!</v>
      </c>
      <c r="AR1017" s="25"/>
    </row>
    <row r="1018" spans="1:44" ht="28.5" x14ac:dyDescent="0.45">
      <c r="F1018" t="e">
        <f t="array" ref="F1018">SMALL(IF('Raw Data'!A:A=C1011,ROW('Raw Data'!A:A)),ROW('Raw Data'!$7:$7))</f>
        <v>#NUM!</v>
      </c>
      <c r="G1018" t="e">
        <f t="array" ref="G1018">INDEX('Raw Data'!A:A,F1018,9)</f>
        <v>#NUM!</v>
      </c>
      <c r="H1018" t="e">
        <f t="array" ref="H1018">INDEX('Raw Data'!A:A,F1018,10)</f>
        <v>#NUM!</v>
      </c>
      <c r="I1018" t="e">
        <f t="array" ref="I1018">INDEX('Raw Data'!$A:A,$F1018,11)</f>
        <v>#NUM!</v>
      </c>
      <c r="J1018" t="e">
        <f t="array" ref="J1018">INDEX('Raw Data'!$A:A,F1018,12)</f>
        <v>#NUM!</v>
      </c>
      <c r="K1018" t="e">
        <f t="array" ref="K1018">(--INDEX('Raw Data'!$A$4:B$998,F1018,4))</f>
        <v>#NUM!</v>
      </c>
      <c r="L1018" t="e">
        <f t="array" ref="L1018">(--INDEX('Raw Data'!$A$4:B$998,F1018,5))</f>
        <v>#NUM!</v>
      </c>
      <c r="M1018" t="e">
        <f t="array" ref="M1018">(--INDEX('Raw Data'!$A$4:D$998,$F1018,6))</f>
        <v>#NUM!</v>
      </c>
      <c r="N1018" t="e">
        <f t="array" ref="N1018">(--INDEX('Raw Data'!$A$4:D$998,$F1018,7))</f>
        <v>#NUM!</v>
      </c>
      <c r="O1018" t="e">
        <f t="array" ref="O1018">IF(--INDEX('Raw Data'!$A$4:E$998,$F1018,8)= 0, 1, 0)</f>
        <v>#NUM!</v>
      </c>
      <c r="P1018" t="e">
        <f t="array" ref="P1018">IF(--INDEX('Raw Data'!$A$4:F$998,$F1018,8)= 1, 1, 0)</f>
        <v>#NUM!</v>
      </c>
      <c r="Q1018" t="e">
        <f t="array" ref="Q1018">IF(--INDEX('Raw Data'!$A$4:G$998,$F1018,13)= 1, 1, 0)</f>
        <v>#NUM!</v>
      </c>
      <c r="R1018" t="e">
        <f t="array" ref="R1018">IF(--INDEX('Raw Data'!$A$4:H$998,$F1018,14)= 1, 1, 0)</f>
        <v>#NUM!</v>
      </c>
      <c r="S1018" t="e">
        <f t="array" ref="S1018">IF(--INDEX('Raw Data'!$A$4:I$998,$F1018,15)= 1, 1, 0)</f>
        <v>#NUM!</v>
      </c>
      <c r="T1018" t="e">
        <f t="array" ref="T1018">IF(--INDEX('Raw Data'!$A$4:I$998,$F1018,15)= 1, 1, 0)</f>
        <v>#NUM!</v>
      </c>
      <c r="U1018" t="e">
        <f t="array" ref="U1018">IF(--INDEX('Raw Data'!$A$4:J$998,$F1018,16)= 1, 1, 0)</f>
        <v>#NUM!</v>
      </c>
      <c r="V1018" t="e">
        <f t="array" ref="V1018">IF(--INDEX('Raw Data'!$A$4:K$998,$F1018,17)= 1, 1, 0)</f>
        <v>#NUM!</v>
      </c>
      <c r="W1018" t="e">
        <f t="array" ref="W1018">INDEX('Raw Data'!$A:$O,$F1018,19)</f>
        <v>#NUM!</v>
      </c>
      <c r="X1018" t="e">
        <f t="array" ref="X1018">INDEX('Raw Data'!$A:$O,$F1018,20)</f>
        <v>#NUM!</v>
      </c>
      <c r="Y1018" t="e">
        <f t="array" ref="Y1018">INDEX('Raw Data'!$A:$O,F1018,21)</f>
        <v>#NUM!</v>
      </c>
      <c r="Z1018" t="e">
        <f t="array" ref="Z1018">INDEX('Raw Data'!$A:$O,$F1018,3)</f>
        <v>#NUM!</v>
      </c>
      <c r="AA1018" t="e">
        <f t="array" ref="AA1018">INDEX('Raw Data'!$A:$O,$F1018,22)</f>
        <v>#NUM!</v>
      </c>
      <c r="AB1018" t="e">
        <f t="array" ref="AB1018">INDEX('Raw Data'!$A:$O,$F1018,23)</f>
        <v>#NUM!</v>
      </c>
      <c r="AM1018" s="21"/>
      <c r="AR1018" s="25"/>
    </row>
    <row r="1019" spans="1:44" x14ac:dyDescent="0.25">
      <c r="F1019" t="e">
        <f t="array" ref="F1019">SMALL(IF('Raw Data'!A:A=C1011,ROW('Raw Data'!A:A)),ROW('Raw Data'!$8:$8))</f>
        <v>#NUM!</v>
      </c>
      <c r="G1019" t="e">
        <f t="array" ref="G1019">INDEX('Raw Data'!A:A,F1019,9)</f>
        <v>#NUM!</v>
      </c>
      <c r="H1019" t="e">
        <f t="array" ref="H1019">INDEX('Raw Data'!A:A,F1019,10)</f>
        <v>#NUM!</v>
      </c>
      <c r="I1019" t="e">
        <f t="array" ref="I1019">INDEX('Raw Data'!$A:A,$F1019,11)</f>
        <v>#NUM!</v>
      </c>
      <c r="J1019" t="e">
        <f t="array" ref="J1019">INDEX('Raw Data'!$A:A,F1019,12)</f>
        <v>#NUM!</v>
      </c>
      <c r="K1019" t="e">
        <f t="array" ref="K1019">(--INDEX('Raw Data'!$A$4:B$998,F1019,4))</f>
        <v>#NUM!</v>
      </c>
      <c r="L1019" t="e">
        <f t="array" ref="L1019">(--INDEX('Raw Data'!$A$4:B$998,F1019,5))</f>
        <v>#NUM!</v>
      </c>
      <c r="M1019" t="e">
        <f t="array" ref="M1019">(--INDEX('Raw Data'!$A$4:D$998,$F1019,6))</f>
        <v>#NUM!</v>
      </c>
      <c r="N1019" t="e">
        <f t="array" ref="N1019">(--INDEX('Raw Data'!$A$4:D$998,$F1019,7))</f>
        <v>#NUM!</v>
      </c>
      <c r="O1019" t="e">
        <f t="array" ref="O1019">IF(--INDEX('Raw Data'!$A$4:E$998,$F1019,8)= 0, 1, 0)</f>
        <v>#NUM!</v>
      </c>
      <c r="P1019" t="e">
        <f t="array" ref="P1019">IF(--INDEX('Raw Data'!$A$4:F$998,$F1019,8)= 1, 1, 0)</f>
        <v>#NUM!</v>
      </c>
      <c r="Q1019" t="e">
        <f t="array" ref="Q1019">IF(--INDEX('Raw Data'!$A$4:G$998,$F1019,13)= 1, 1, 0)</f>
        <v>#NUM!</v>
      </c>
      <c r="R1019" t="e">
        <f t="array" ref="R1019">IF(--INDEX('Raw Data'!$A$4:H$998,$F1019,14)= 1, 1, 0)</f>
        <v>#NUM!</v>
      </c>
      <c r="S1019" t="e">
        <f t="array" ref="S1019">IF(--INDEX('Raw Data'!$A$4:I$998,$F1019,15)= 1, 1, 0)</f>
        <v>#NUM!</v>
      </c>
      <c r="T1019" t="e">
        <f t="array" ref="T1019">IF(--INDEX('Raw Data'!$A$4:I$998,$F1019,15)= 1, 1, 0)</f>
        <v>#NUM!</v>
      </c>
      <c r="U1019" t="e">
        <f t="array" ref="U1019">IF(--INDEX('Raw Data'!$A$4:J$998,$F1019,16)= 1, 1, 0)</f>
        <v>#NUM!</v>
      </c>
      <c r="V1019" t="e">
        <f t="array" ref="V1019">IF(--INDEX('Raw Data'!$A$4:K$998,$F1019,17)= 1, 1, 0)</f>
        <v>#NUM!</v>
      </c>
      <c r="W1019" t="e">
        <f t="array" ref="W1019">INDEX('Raw Data'!$A:$O,$F1019,19)</f>
        <v>#NUM!</v>
      </c>
      <c r="X1019" t="e">
        <f t="array" ref="X1019">INDEX('Raw Data'!$A:$O,$F1019,20)</f>
        <v>#NUM!</v>
      </c>
      <c r="Y1019" t="e">
        <f t="array" ref="Y1019">INDEX('Raw Data'!$A:$O,F1019,21)</f>
        <v>#NUM!</v>
      </c>
      <c r="Z1019" t="e">
        <f t="array" ref="Z1019">INDEX('Raw Data'!$A:$O,$F1019,3)</f>
        <v>#NUM!</v>
      </c>
      <c r="AA1019" t="e">
        <f t="array" ref="AA1019">INDEX('Raw Data'!$A:$O,$F1019,22)</f>
        <v>#NUM!</v>
      </c>
      <c r="AB1019" t="e">
        <f t="array" ref="AB1019">INDEX('Raw Data'!$A:$O,$F1019,23)</f>
        <v>#NUM!</v>
      </c>
      <c r="AR1019" s="25"/>
    </row>
    <row r="1020" spans="1:44" x14ac:dyDescent="0.25">
      <c r="F1020" t="e">
        <f t="array" ref="F1020">SMALL(IF('Raw Data'!A:A=C1011,ROW('Raw Data'!A:A)),ROW('Raw Data'!$9:$9))</f>
        <v>#NUM!</v>
      </c>
      <c r="G1020" t="e">
        <f t="array" ref="G1020">INDEX('Raw Data'!A:A,F1020,9)</f>
        <v>#NUM!</v>
      </c>
      <c r="H1020" t="e">
        <f t="array" ref="H1020">INDEX('Raw Data'!A:A,F1020,10)</f>
        <v>#NUM!</v>
      </c>
      <c r="I1020" t="e">
        <f t="array" ref="I1020">INDEX('Raw Data'!$A:A,$F1020,11)</f>
        <v>#NUM!</v>
      </c>
      <c r="J1020" t="e">
        <f t="array" ref="J1020">INDEX('Raw Data'!$A:A,F1020,12)</f>
        <v>#NUM!</v>
      </c>
      <c r="K1020" t="e">
        <f t="array" ref="K1020">(--INDEX('Raw Data'!$A$4:B$998,F1020,4))</f>
        <v>#NUM!</v>
      </c>
      <c r="L1020" t="e">
        <f t="array" ref="L1020">(--INDEX('Raw Data'!$A$4:B$998,F1020,5))</f>
        <v>#NUM!</v>
      </c>
      <c r="M1020" t="e">
        <f t="array" ref="M1020">(--INDEX('Raw Data'!$A$4:D$998,$F1020,6))</f>
        <v>#NUM!</v>
      </c>
      <c r="N1020" t="e">
        <f t="array" ref="N1020">(--INDEX('Raw Data'!$A$4:D$998,$F1020,7))</f>
        <v>#NUM!</v>
      </c>
      <c r="O1020" t="e">
        <f t="array" ref="O1020">IF(--INDEX('Raw Data'!$A$4:E$998,$F1020,8)= 0, 1, 0)</f>
        <v>#NUM!</v>
      </c>
      <c r="P1020" t="e">
        <f t="array" ref="P1020">IF(--INDEX('Raw Data'!$A$4:F$998,$F1020,8)= 1, 1, 0)</f>
        <v>#NUM!</v>
      </c>
      <c r="Q1020" t="e">
        <f t="array" ref="Q1020">IF(--INDEX('Raw Data'!$A$4:G$998,$F1020,13)= 1, 1, 0)</f>
        <v>#NUM!</v>
      </c>
      <c r="R1020" t="e">
        <f t="array" ref="R1020">IF(--INDEX('Raw Data'!$A$4:H$998,$F1020,14)= 1, 1, 0)</f>
        <v>#NUM!</v>
      </c>
      <c r="S1020" t="e">
        <f t="array" ref="S1020">IF(--INDEX('Raw Data'!$A$4:I$998,$F1020,15)= 1, 1, 0)</f>
        <v>#NUM!</v>
      </c>
      <c r="T1020" t="e">
        <f t="array" ref="T1020">IF(--INDEX('Raw Data'!$A$4:I$998,$F1020,15)= 1, 1, 0)</f>
        <v>#NUM!</v>
      </c>
      <c r="U1020" t="e">
        <f t="array" ref="U1020">IF(--INDEX('Raw Data'!$A$4:J$998,$F1020,16)= 1, 1, 0)</f>
        <v>#NUM!</v>
      </c>
      <c r="V1020" t="e">
        <f t="array" ref="V1020">IF(--INDEX('Raw Data'!$A$4:K$998,$F1020,17)= 1, 1, 0)</f>
        <v>#NUM!</v>
      </c>
      <c r="W1020" t="e">
        <f t="array" ref="W1020">INDEX('Raw Data'!$A:$O,$F1020,19)</f>
        <v>#NUM!</v>
      </c>
      <c r="X1020" t="e">
        <f t="array" ref="X1020">INDEX('Raw Data'!$A:$O,$F1020,20)</f>
        <v>#NUM!</v>
      </c>
      <c r="Y1020" t="e">
        <f t="array" ref="Y1020">INDEX('Raw Data'!$A:$O,F1020,21)</f>
        <v>#NUM!</v>
      </c>
      <c r="Z1020" t="e">
        <f t="array" ref="Z1020">INDEX('Raw Data'!$A:$O,$F1020,3)</f>
        <v>#NUM!</v>
      </c>
      <c r="AA1020" t="e">
        <f t="array" ref="AA1020">INDEX('Raw Data'!$A:$O,$F1020,22)</f>
        <v>#NUM!</v>
      </c>
      <c r="AB1020" t="e">
        <f t="array" ref="AB1020">INDEX('Raw Data'!$A:$O,$F1020,23)</f>
        <v>#NUM!</v>
      </c>
      <c r="AR1020" s="25"/>
    </row>
    <row r="1021" spans="1:44" x14ac:dyDescent="0.25">
      <c r="F1021" t="e">
        <f t="array" ref="F1021">SMALL(IF('Raw Data'!A:A=C1011,ROW('Raw Data'!A:A)),ROW('Raw Data'!$10:$10))</f>
        <v>#NUM!</v>
      </c>
      <c r="G1021" t="e">
        <f t="array" ref="G1021">INDEX('Raw Data'!A:A,F1021,9)</f>
        <v>#NUM!</v>
      </c>
      <c r="H1021" t="e">
        <f t="array" ref="H1021">INDEX('Raw Data'!A:A,F1021,10)</f>
        <v>#NUM!</v>
      </c>
      <c r="I1021" t="e">
        <f t="array" ref="I1021">INDEX('Raw Data'!$A:A,$F1021,11)</f>
        <v>#NUM!</v>
      </c>
      <c r="J1021" t="e">
        <f t="array" ref="J1021">INDEX('Raw Data'!$A:A,F1021,12)</f>
        <v>#NUM!</v>
      </c>
      <c r="K1021" t="e">
        <f t="array" ref="K1021">(--INDEX('Raw Data'!$A$4:B$998,F1021,4))</f>
        <v>#NUM!</v>
      </c>
      <c r="L1021" t="e">
        <f t="array" ref="L1021">(--INDEX('Raw Data'!$A$4:B$998,F1021,5))</f>
        <v>#NUM!</v>
      </c>
      <c r="M1021" t="e">
        <f t="array" ref="M1021">(--INDEX('Raw Data'!$A$4:D$998,$F1021,6))</f>
        <v>#NUM!</v>
      </c>
      <c r="N1021" t="e">
        <f t="array" ref="N1021">(--INDEX('Raw Data'!$A$4:D$998,$F1021,7))</f>
        <v>#NUM!</v>
      </c>
      <c r="O1021" t="e">
        <f t="array" ref="O1021">IF(--INDEX('Raw Data'!$A$4:E$998,$F1021,8)= 0, 1, 0)</f>
        <v>#NUM!</v>
      </c>
      <c r="P1021" t="e">
        <f t="array" ref="P1021">IF(--INDEX('Raw Data'!$A$4:F$998,$F1021,8)= 1, 1, 0)</f>
        <v>#NUM!</v>
      </c>
      <c r="Q1021" t="e">
        <f t="array" ref="Q1021">IF(--INDEX('Raw Data'!$A$4:G$998,$F1021,13)= 1, 1, 0)</f>
        <v>#NUM!</v>
      </c>
      <c r="R1021" t="e">
        <f t="array" ref="R1021">IF(--INDEX('Raw Data'!$A$4:H$998,$F1021,14)= 1, 1, 0)</f>
        <v>#NUM!</v>
      </c>
      <c r="S1021" t="e">
        <f t="array" ref="S1021">IF(--INDEX('Raw Data'!$A$4:I$998,$F1021,15)= 1, 1, 0)</f>
        <v>#NUM!</v>
      </c>
      <c r="T1021" t="e">
        <f t="array" ref="T1021">IF(--INDEX('Raw Data'!$A$4:I$998,$F1021,15)= 1, 1, 0)</f>
        <v>#NUM!</v>
      </c>
      <c r="U1021" t="e">
        <f t="array" ref="U1021">IF(--INDEX('Raw Data'!$A$4:J$998,$F1021,16)= 1, 1, 0)</f>
        <v>#NUM!</v>
      </c>
      <c r="V1021" t="e">
        <f t="array" ref="V1021">IF(--INDEX('Raw Data'!$A$4:K$998,$F1021,17)= 1, 1, 0)</f>
        <v>#NUM!</v>
      </c>
      <c r="W1021" t="e">
        <f t="array" ref="W1021">INDEX('Raw Data'!$A:$O,$F1021,19)</f>
        <v>#NUM!</v>
      </c>
      <c r="X1021" t="e">
        <f t="array" ref="X1021">INDEX('Raw Data'!$A:$O,$F1021,20)</f>
        <v>#NUM!</v>
      </c>
      <c r="Y1021" t="e">
        <f t="array" ref="Y1021">INDEX('Raw Data'!$A:$O,F1021,21)</f>
        <v>#NUM!</v>
      </c>
      <c r="Z1021" t="e">
        <f t="array" ref="Z1021">INDEX('Raw Data'!$A:$O,$F1021,3)</f>
        <v>#NUM!</v>
      </c>
      <c r="AA1021" t="e">
        <f t="array" ref="AA1021">INDEX('Raw Data'!$A:$O,$F1021,22)</f>
        <v>#NUM!</v>
      </c>
      <c r="AB1021" t="e">
        <f t="array" ref="AB1021">INDEX('Raw Data'!$A:$O,$F1021,23)</f>
        <v>#NUM!</v>
      </c>
      <c r="AR1021" s="25"/>
    </row>
    <row r="1022" spans="1:44" x14ac:dyDescent="0.25">
      <c r="F1022" t="e">
        <f t="array" ref="F1022">SMALL(IF('Raw Data'!A:A=C1011,ROW('Raw Data'!A:A)),ROW('Raw Data'!$11:$11))</f>
        <v>#NUM!</v>
      </c>
      <c r="G1022" t="e">
        <f t="array" ref="G1022">INDEX('Raw Data'!A:A,F1022,9)</f>
        <v>#NUM!</v>
      </c>
      <c r="H1022" t="e">
        <f t="array" ref="H1022">INDEX('Raw Data'!A:A,F1022,10)</f>
        <v>#NUM!</v>
      </c>
      <c r="I1022" t="e">
        <f t="array" ref="I1022">INDEX('Raw Data'!$A:A,$F1022,11)</f>
        <v>#NUM!</v>
      </c>
      <c r="J1022" t="e">
        <f t="array" ref="J1022">INDEX('Raw Data'!$A:A,F1022,12)</f>
        <v>#NUM!</v>
      </c>
      <c r="K1022" t="e">
        <f t="array" ref="K1022">(--INDEX('Raw Data'!$A$4:B$998,F1022,4))</f>
        <v>#NUM!</v>
      </c>
      <c r="L1022" t="e">
        <f t="array" ref="L1022">(--INDEX('Raw Data'!$A$4:B$998,F1022,5))</f>
        <v>#NUM!</v>
      </c>
      <c r="M1022" t="e">
        <f t="array" ref="M1022">(--INDEX('Raw Data'!$A$4:D$998,$F1022,6))</f>
        <v>#NUM!</v>
      </c>
      <c r="N1022" t="e">
        <f t="array" ref="N1022">(--INDEX('Raw Data'!$A$4:D$998,$F1022,7))</f>
        <v>#NUM!</v>
      </c>
      <c r="O1022" t="e">
        <f t="array" ref="O1022">IF(--INDEX('Raw Data'!$A$4:E$998,$F1022,8)= 0, 1, 0)</f>
        <v>#NUM!</v>
      </c>
      <c r="P1022" t="e">
        <f t="array" ref="P1022">IF(--INDEX('Raw Data'!$A$4:F$998,$F1022,8)= 1, 1, 0)</f>
        <v>#NUM!</v>
      </c>
      <c r="Q1022" t="e">
        <f t="array" ref="Q1022">IF(--INDEX('Raw Data'!$A$4:G$998,$F1022,13)= 1, 1, 0)</f>
        <v>#NUM!</v>
      </c>
      <c r="R1022" t="e">
        <f t="array" ref="R1022">IF(--INDEX('Raw Data'!$A$4:H$998,$F1022,14)= 1, 1, 0)</f>
        <v>#NUM!</v>
      </c>
      <c r="S1022" t="e">
        <f t="array" ref="S1022">IF(--INDEX('Raw Data'!$A$4:I$998,$F1022,15)= 1, 1, 0)</f>
        <v>#NUM!</v>
      </c>
      <c r="T1022" t="e">
        <f t="array" ref="T1022">IF(--INDEX('Raw Data'!$A$4:I$998,$F1022,15)= 1, 1, 0)</f>
        <v>#NUM!</v>
      </c>
      <c r="U1022" t="e">
        <f t="array" ref="U1022">IF(--INDEX('Raw Data'!$A$4:J$998,$F1022,16)= 1, 1, 0)</f>
        <v>#NUM!</v>
      </c>
      <c r="V1022" t="e">
        <f t="array" ref="V1022">IF(--INDEX('Raw Data'!$A$4:K$998,$F1022,17)= 1, 1, 0)</f>
        <v>#NUM!</v>
      </c>
      <c r="W1022" t="e">
        <f t="array" ref="W1022">INDEX('Raw Data'!$A:$O,$F1022,19)</f>
        <v>#NUM!</v>
      </c>
      <c r="X1022" t="e">
        <f t="array" ref="X1022">INDEX('Raw Data'!$A:$O,$F1022,20)</f>
        <v>#NUM!</v>
      </c>
      <c r="Y1022" t="e">
        <f t="array" ref="Y1022">INDEX('Raw Data'!$A:$O,F1022,21)</f>
        <v>#NUM!</v>
      </c>
      <c r="Z1022" t="e">
        <f t="array" ref="Z1022">INDEX('Raw Data'!$A:$O,$F1022,3)</f>
        <v>#NUM!</v>
      </c>
      <c r="AA1022" t="e">
        <f t="array" ref="AA1022">INDEX('Raw Data'!$A:$O,$F1022,22)</f>
        <v>#NUM!</v>
      </c>
      <c r="AB1022" t="e">
        <f t="array" ref="AB1022">INDEX('Raw Data'!$A:$O,$F1022,23)</f>
        <v>#NUM!</v>
      </c>
      <c r="AR1022" s="25"/>
    </row>
    <row r="1023" spans="1:44" x14ac:dyDescent="0.25">
      <c r="F1023" t="e">
        <f t="array" ref="F1023">SMALL(IF('Raw Data'!A:A=C1011,ROW('Raw Data'!A:A)),ROW('Raw Data'!$12:$12))</f>
        <v>#NUM!</v>
      </c>
      <c r="G1023" t="e">
        <f t="array" ref="G1023">INDEX('Raw Data'!A:A,F1023,9)</f>
        <v>#NUM!</v>
      </c>
      <c r="H1023" t="e">
        <f t="array" ref="H1023">INDEX('Raw Data'!A:A,F1023,10)</f>
        <v>#NUM!</v>
      </c>
      <c r="I1023" t="e">
        <f t="array" ref="I1023">INDEX('Raw Data'!$A:A,$F1023,11)</f>
        <v>#NUM!</v>
      </c>
      <c r="J1023" t="e">
        <f t="array" ref="J1023">INDEX('Raw Data'!$A:A,F1023,12)</f>
        <v>#NUM!</v>
      </c>
      <c r="K1023" t="e">
        <f t="array" ref="K1023">(--INDEX('Raw Data'!$A$4:B$998,F1023,4))</f>
        <v>#NUM!</v>
      </c>
      <c r="L1023" t="e">
        <f t="array" ref="L1023">(--INDEX('Raw Data'!$A$4:B$998,F1023,5))</f>
        <v>#NUM!</v>
      </c>
      <c r="M1023" t="e">
        <f t="array" ref="M1023">(--INDEX('Raw Data'!$A$4:D$998,$F1023,6))</f>
        <v>#NUM!</v>
      </c>
      <c r="N1023" t="e">
        <f t="array" ref="N1023">(--INDEX('Raw Data'!$A$4:D$998,$F1023,7))</f>
        <v>#NUM!</v>
      </c>
      <c r="O1023" t="e">
        <f t="array" ref="O1023">IF(--INDEX('Raw Data'!$A$4:E$998,$F1023,8)= 0, 1, 0)</f>
        <v>#NUM!</v>
      </c>
      <c r="P1023" t="e">
        <f t="array" ref="P1023">IF(--INDEX('Raw Data'!$A$4:F$998,$F1023,8)= 1, 1, 0)</f>
        <v>#NUM!</v>
      </c>
      <c r="Q1023" t="e">
        <f t="array" ref="Q1023">IF(--INDEX('Raw Data'!$A$4:G$998,$F1023,13)= 1, 1, 0)</f>
        <v>#NUM!</v>
      </c>
      <c r="R1023" t="e">
        <f t="array" ref="R1023">IF(--INDEX('Raw Data'!$A$4:H$998,$F1023,14)= 1, 1, 0)</f>
        <v>#NUM!</v>
      </c>
      <c r="S1023" t="e">
        <f t="array" ref="S1023">IF(--INDEX('Raw Data'!$A$4:I$998,$F1023,15)= 1, 1, 0)</f>
        <v>#NUM!</v>
      </c>
      <c r="T1023" t="e">
        <f t="array" ref="T1023">IF(--INDEX('Raw Data'!$A$4:I$998,$F1023,15)= 1, 1, 0)</f>
        <v>#NUM!</v>
      </c>
      <c r="U1023" t="e">
        <f t="array" ref="U1023">IF(--INDEX('Raw Data'!$A$4:J$998,$F1023,16)= 1, 1, 0)</f>
        <v>#NUM!</v>
      </c>
      <c r="V1023" t="e">
        <f t="array" ref="V1023">IF(--INDEX('Raw Data'!$A$4:K$998,$F1023,17)= 1, 1, 0)</f>
        <v>#NUM!</v>
      </c>
      <c r="W1023" t="e">
        <f t="array" ref="W1023">INDEX('Raw Data'!$A:$O,$F1023,19)</f>
        <v>#NUM!</v>
      </c>
      <c r="X1023" t="e">
        <f t="array" ref="X1023">INDEX('Raw Data'!$A:$O,$F1023,20)</f>
        <v>#NUM!</v>
      </c>
      <c r="Y1023" t="e">
        <f t="array" ref="Y1023">INDEX('Raw Data'!$A:$O,F1023,21)</f>
        <v>#NUM!</v>
      </c>
      <c r="Z1023" t="e">
        <f t="array" ref="Z1023">INDEX('Raw Data'!$A:$O,$F1023,3)</f>
        <v>#NUM!</v>
      </c>
      <c r="AA1023" t="e">
        <f t="array" ref="AA1023">INDEX('Raw Data'!$A:$O,$F1023,22)</f>
        <v>#NUM!</v>
      </c>
      <c r="AB1023" t="e">
        <f t="array" ref="AB1023">INDEX('Raw Data'!$A:$O,$F1023,23)</f>
        <v>#NUM!</v>
      </c>
      <c r="AR1023" s="25"/>
    </row>
    <row r="1024" spans="1:44" x14ac:dyDescent="0.25">
      <c r="F1024" t="e">
        <f t="array" ref="F1024">SMALL(IF('Raw Data'!A:A=C1011,ROW('Raw Data'!A:A)),ROW('Raw Data'!$13:$13))</f>
        <v>#NUM!</v>
      </c>
      <c r="G1024" t="e">
        <f t="array" ref="G1024">INDEX('Raw Data'!A:A,F1024,9)</f>
        <v>#NUM!</v>
      </c>
      <c r="H1024" t="e">
        <f t="array" ref="H1024">INDEX('Raw Data'!A:A,F1024,10)</f>
        <v>#NUM!</v>
      </c>
      <c r="I1024" t="e">
        <f t="array" ref="I1024">INDEX('Raw Data'!$A:A,$F1024,11)</f>
        <v>#NUM!</v>
      </c>
      <c r="J1024" t="e">
        <f t="array" ref="J1024">INDEX('Raw Data'!$A:A,F1024,12)</f>
        <v>#NUM!</v>
      </c>
      <c r="K1024" t="e">
        <f t="array" ref="K1024">(--INDEX('Raw Data'!$A$4:B$998,F1024,4))</f>
        <v>#NUM!</v>
      </c>
      <c r="L1024" t="e">
        <f t="array" ref="L1024">(--INDEX('Raw Data'!$A$4:B$998,F1024,5))</f>
        <v>#NUM!</v>
      </c>
      <c r="M1024" t="e">
        <f t="array" ref="M1024">(--INDEX('Raw Data'!$A$4:D$998,$F1024,6))</f>
        <v>#NUM!</v>
      </c>
      <c r="N1024" t="e">
        <f t="array" ref="N1024">(--INDEX('Raw Data'!$A$4:D$998,$F1024,7))</f>
        <v>#NUM!</v>
      </c>
      <c r="O1024" t="e">
        <f t="array" ref="O1024">IF(--INDEX('Raw Data'!$A$4:E$998,$F1024,8)= 0, 1, 0)</f>
        <v>#NUM!</v>
      </c>
      <c r="P1024" t="e">
        <f t="array" ref="P1024">IF(--INDEX('Raw Data'!$A$4:F$998,$F1024,8)= 1, 1, 0)</f>
        <v>#NUM!</v>
      </c>
      <c r="Q1024" t="e">
        <f t="array" ref="Q1024">IF(--INDEX('Raw Data'!$A$4:G$998,$F1024,13)= 1, 1, 0)</f>
        <v>#NUM!</v>
      </c>
      <c r="R1024" t="e">
        <f t="array" ref="R1024">IF(--INDEX('Raw Data'!$A$4:H$998,$F1024,14)= 1, 1, 0)</f>
        <v>#NUM!</v>
      </c>
      <c r="S1024" t="e">
        <f t="array" ref="S1024">IF(--INDEX('Raw Data'!$A$4:I$998,$F1024,15)= 1, 1, 0)</f>
        <v>#NUM!</v>
      </c>
      <c r="T1024" t="e">
        <f t="array" ref="T1024">IF(--INDEX('Raw Data'!$A$4:I$998,$F1024,15)= 1, 1, 0)</f>
        <v>#NUM!</v>
      </c>
      <c r="U1024" t="e">
        <f t="array" ref="U1024">IF(--INDEX('Raw Data'!$A$4:J$998,$F1024,16)= 1, 1, 0)</f>
        <v>#NUM!</v>
      </c>
      <c r="V1024" t="e">
        <f t="array" ref="V1024">IF(--INDEX('Raw Data'!$A$4:K$998,$F1024,17)= 1, 1, 0)</f>
        <v>#NUM!</v>
      </c>
      <c r="W1024" t="e">
        <f t="array" ref="W1024">INDEX('Raw Data'!$A:$O,$F1024,19)</f>
        <v>#NUM!</v>
      </c>
      <c r="X1024" t="e">
        <f t="array" ref="X1024">INDEX('Raw Data'!$A:$O,$F1024,20)</f>
        <v>#NUM!</v>
      </c>
      <c r="Y1024" t="e">
        <f t="array" ref="Y1024">INDEX('Raw Data'!$A:$O,F1024,21)</f>
        <v>#NUM!</v>
      </c>
      <c r="Z1024" t="e">
        <f t="array" ref="Z1024">INDEX('Raw Data'!$A:$O,$F1024,3)</f>
        <v>#NUM!</v>
      </c>
      <c r="AA1024" t="e">
        <f t="array" ref="AA1024">INDEX('Raw Data'!$A:$O,$F1024,22)</f>
        <v>#NUM!</v>
      </c>
      <c r="AB1024" t="e">
        <f t="array" ref="AB1024">INDEX('Raw Data'!$A:$O,$F1024,23)</f>
        <v>#NUM!</v>
      </c>
      <c r="AR1024" s="25"/>
    </row>
    <row r="1025" spans="1:44" x14ac:dyDescent="0.25">
      <c r="F1025" t="e">
        <f t="array" ref="F1025">SMALL(IF('Raw Data'!A:A=C1011,ROW('Raw Data'!A:A)),ROW('Raw Data'!$14:$14))</f>
        <v>#NUM!</v>
      </c>
      <c r="G1025" t="e">
        <f t="array" ref="G1025">INDEX('Raw Data'!A:A,F1025,9)</f>
        <v>#NUM!</v>
      </c>
      <c r="H1025" t="e">
        <f t="array" ref="H1025">INDEX('Raw Data'!A:A,F1025,10)</f>
        <v>#NUM!</v>
      </c>
      <c r="I1025" t="e">
        <f t="array" ref="I1025">INDEX('Raw Data'!$A:A,$F1025,11)</f>
        <v>#NUM!</v>
      </c>
      <c r="J1025" t="e">
        <f t="array" ref="J1025">INDEX('Raw Data'!$A:A,F1025,12)</f>
        <v>#NUM!</v>
      </c>
      <c r="K1025" t="e">
        <f t="array" ref="K1025">(--INDEX('Raw Data'!$A$4:B$998,F1025,4))</f>
        <v>#NUM!</v>
      </c>
      <c r="L1025" t="e">
        <f t="array" ref="L1025">(--INDEX('Raw Data'!$A$4:B$998,F1025,5))</f>
        <v>#NUM!</v>
      </c>
      <c r="M1025" t="e">
        <f t="array" ref="M1025">(--INDEX('Raw Data'!$A$4:D$998,$F1025,6))</f>
        <v>#NUM!</v>
      </c>
      <c r="N1025" t="e">
        <f t="array" ref="N1025">(--INDEX('Raw Data'!$A$4:D$998,$F1025,7))</f>
        <v>#NUM!</v>
      </c>
      <c r="O1025" t="e">
        <f t="array" ref="O1025">IF(--INDEX('Raw Data'!$A$4:E$998,$F1025,8)= 0, 1, 0)</f>
        <v>#NUM!</v>
      </c>
      <c r="P1025" t="e">
        <f t="array" ref="P1025">IF(--INDEX('Raw Data'!$A$4:F$998,$F1025,8)= 1, 1, 0)</f>
        <v>#NUM!</v>
      </c>
      <c r="Q1025" t="e">
        <f t="array" ref="Q1025">IF(--INDEX('Raw Data'!$A$4:G$998,$F1025,13)= 1, 1, 0)</f>
        <v>#NUM!</v>
      </c>
      <c r="R1025" t="e">
        <f t="array" ref="R1025">IF(--INDEX('Raw Data'!$A$4:H$998,$F1025,14)= 1, 1, 0)</f>
        <v>#NUM!</v>
      </c>
      <c r="S1025" t="e">
        <f t="array" ref="S1025">IF(--INDEX('Raw Data'!$A$4:I$998,$F1025,15)= 1, 1, 0)</f>
        <v>#NUM!</v>
      </c>
      <c r="T1025" t="e">
        <f t="array" ref="T1025">IF(--INDEX('Raw Data'!$A$4:I$998,$F1025,15)= 1, 1, 0)</f>
        <v>#NUM!</v>
      </c>
      <c r="U1025" t="e">
        <f t="array" ref="U1025">IF(--INDEX('Raw Data'!$A$4:J$998,$F1025,16)= 1, 1, 0)</f>
        <v>#NUM!</v>
      </c>
      <c r="V1025" t="e">
        <f t="array" ref="V1025">IF(--INDEX('Raw Data'!$A$4:K$998,$F1025,17)= 1, 1, 0)</f>
        <v>#NUM!</v>
      </c>
      <c r="W1025" t="e">
        <f t="array" ref="W1025">INDEX('Raw Data'!$A:$O,$F1025,19)</f>
        <v>#NUM!</v>
      </c>
      <c r="X1025" t="e">
        <f t="array" ref="X1025">INDEX('Raw Data'!$A:$O,$F1025,20)</f>
        <v>#NUM!</v>
      </c>
      <c r="Y1025" t="e">
        <f t="array" ref="Y1025">INDEX('Raw Data'!$A:$O,F1025,21)</f>
        <v>#NUM!</v>
      </c>
      <c r="Z1025" t="e">
        <f t="array" ref="Z1025">INDEX('Raw Data'!$A:$O,$F1025,3)</f>
        <v>#NUM!</v>
      </c>
      <c r="AA1025" t="e">
        <f t="array" ref="AA1025">INDEX('Raw Data'!$A:$O,$F1025,22)</f>
        <v>#NUM!</v>
      </c>
      <c r="AB1025" t="e">
        <f t="array" ref="AB1025">INDEX('Raw Data'!$A:$O,$F1025,23)</f>
        <v>#NUM!</v>
      </c>
      <c r="AR1025" s="25"/>
    </row>
    <row r="1026" spans="1:44" x14ac:dyDescent="0.25">
      <c r="F1026" t="e">
        <f t="array" ref="F1026">SMALL(IF('Raw Data'!A:A=C1011,ROW('Raw Data'!A:A)),ROW('Raw Data'!$15:$15))</f>
        <v>#NUM!</v>
      </c>
      <c r="G1026" t="e">
        <f t="array" ref="G1026">INDEX('Raw Data'!A:A,F1026,9)</f>
        <v>#NUM!</v>
      </c>
      <c r="H1026" t="e">
        <f t="array" ref="H1026">INDEX('Raw Data'!A:A,F1026,10)</f>
        <v>#NUM!</v>
      </c>
      <c r="I1026" t="e">
        <f t="array" ref="I1026">INDEX('Raw Data'!$A:A,$F1026,11)</f>
        <v>#NUM!</v>
      </c>
      <c r="J1026" t="e">
        <f t="array" ref="J1026">INDEX('Raw Data'!$A:A,F1026,12)</f>
        <v>#NUM!</v>
      </c>
      <c r="K1026" t="e">
        <f t="array" ref="K1026">(--INDEX('Raw Data'!$A$4:B$998,F1026,4))</f>
        <v>#NUM!</v>
      </c>
      <c r="L1026" t="e">
        <f t="array" ref="L1026">(--INDEX('Raw Data'!$A$4:B$998,F1026,5))</f>
        <v>#NUM!</v>
      </c>
      <c r="M1026" t="e">
        <f t="array" ref="M1026">(--INDEX('Raw Data'!$A$4:D$998,$F1026,6))</f>
        <v>#NUM!</v>
      </c>
      <c r="N1026" t="e">
        <f t="array" ref="N1026">(--INDEX('Raw Data'!$A$4:D$998,$F1026,7))</f>
        <v>#NUM!</v>
      </c>
      <c r="O1026" t="e">
        <f t="array" ref="O1026">IF(--INDEX('Raw Data'!$A$4:E$998,$F1026,8)= 0, 1, 0)</f>
        <v>#NUM!</v>
      </c>
      <c r="P1026" t="e">
        <f t="array" ref="P1026">IF(--INDEX('Raw Data'!$A$4:F$998,$F1026,8)= 1, 1, 0)</f>
        <v>#NUM!</v>
      </c>
      <c r="Q1026" t="e">
        <f t="array" ref="Q1026">IF(--INDEX('Raw Data'!$A$4:G$998,$F1026,13)= 1, 1, 0)</f>
        <v>#NUM!</v>
      </c>
      <c r="R1026" t="e">
        <f t="array" ref="R1026">IF(--INDEX('Raw Data'!$A$4:H$998,$F1026,14)= 1, 1, 0)</f>
        <v>#NUM!</v>
      </c>
      <c r="S1026" t="e">
        <f t="array" ref="S1026">IF(--INDEX('Raw Data'!$A$4:I$998,$F1026,15)= 1, 1, 0)</f>
        <v>#NUM!</v>
      </c>
      <c r="T1026" t="e">
        <f t="array" ref="T1026">IF(--INDEX('Raw Data'!$A$4:I$998,$F1026,15)= 1, 1, 0)</f>
        <v>#NUM!</v>
      </c>
      <c r="U1026" t="e">
        <f t="array" ref="U1026">IF(--INDEX('Raw Data'!$A$4:J$998,$F1026,16)= 1, 1, 0)</f>
        <v>#NUM!</v>
      </c>
      <c r="V1026" t="e">
        <f t="array" ref="V1026">IF(--INDEX('Raw Data'!$A$4:K$998,$F1026,17)= 1, 1, 0)</f>
        <v>#NUM!</v>
      </c>
      <c r="W1026" t="e">
        <f t="array" ref="W1026">INDEX('Raw Data'!$A:$O,$F1026,19)</f>
        <v>#NUM!</v>
      </c>
      <c r="X1026" t="e">
        <f t="array" ref="X1026">INDEX('Raw Data'!$A:$O,$F1026,20)</f>
        <v>#NUM!</v>
      </c>
      <c r="Y1026" t="e">
        <f t="array" ref="Y1026">INDEX('Raw Data'!$A:$O,F1026,21)</f>
        <v>#NUM!</v>
      </c>
      <c r="Z1026" t="e">
        <f t="array" ref="Z1026">INDEX('Raw Data'!$A:$O,$F1026,3)</f>
        <v>#NUM!</v>
      </c>
      <c r="AA1026" t="e">
        <f t="array" ref="AA1026">INDEX('Raw Data'!$A:$O,$F1026,22)</f>
        <v>#NUM!</v>
      </c>
      <c r="AB1026" t="e">
        <f t="array" ref="AB1026">INDEX('Raw Data'!$A:$O,$F1026,23)</f>
        <v>#NUM!</v>
      </c>
      <c r="AR1026" s="25"/>
    </row>
    <row r="1027" spans="1:44" x14ac:dyDescent="0.25">
      <c r="A1027" t="s">
        <v>55</v>
      </c>
      <c r="C1027" s="2" t="e">
        <f>B1017/B1016</f>
        <v>#DIV/0!</v>
      </c>
      <c r="F1027">
        <f t="array" ref="F1027">COUNTIF(F1012:F1026,"&gt;0")</f>
        <v>0</v>
      </c>
      <c r="G1027">
        <f t="array" ref="G1027">SUMIF(G1012:G1026,"&gt;0")</f>
        <v>0</v>
      </c>
      <c r="H1027">
        <f t="array" ref="H1027">SUMIF(H1012:H1026,"&gt;0")</f>
        <v>0</v>
      </c>
      <c r="I1027">
        <f t="array" ref="I1027">SUMIF(I1012:I1026,"&gt;0")</f>
        <v>0</v>
      </c>
      <c r="J1027">
        <f t="array" ref="J1027">SUMIF(J1012:J1026,"&gt;0")</f>
        <v>0</v>
      </c>
      <c r="K1027">
        <f t="array" ref="K1027">SUMIF(K1012:K1026,"&gt;0")</f>
        <v>0</v>
      </c>
      <c r="L1027">
        <f t="array" ref="L1027">SUMIF(L1012:L1026,"&gt;0")</f>
        <v>0</v>
      </c>
      <c r="M1027">
        <f t="array" ref="M1027">SUMIF(M1012:M1026,"&gt;0")</f>
        <v>0</v>
      </c>
      <c r="N1027">
        <f t="array" ref="N1027">SUMIF(N1012:N1026,"&gt;0")</f>
        <v>0</v>
      </c>
      <c r="O1027">
        <f t="array" ref="O1027">SUMIF(O1012:O1026,"&gt;0")</f>
        <v>0</v>
      </c>
      <c r="P1027">
        <f t="array" ref="P1027">SUMIF(P1012:P1026,"&gt;0")</f>
        <v>0</v>
      </c>
      <c r="Q1027">
        <f t="array" ref="Q1027">SUMIF(Q1012:Q1026,"&gt;0")</f>
        <v>0</v>
      </c>
      <c r="R1027">
        <f t="array" ref="R1027">SUMIF(R1012:R1026,"&gt;0")</f>
        <v>0</v>
      </c>
      <c r="S1027">
        <f t="array" ref="S1027">SUMIF(S1012:S1026,"&gt;0")</f>
        <v>0</v>
      </c>
      <c r="T1027">
        <f t="array" ref="T1027">SUMIF(T1012:T1026,"&gt;0")</f>
        <v>0</v>
      </c>
      <c r="U1027">
        <f t="array" ref="U1027">SUMIF(U1012:U1026,"&gt;0")</f>
        <v>0</v>
      </c>
      <c r="V1027">
        <f t="array" ref="V1027">SUMIF(V1012:V1026,"&gt;0")</f>
        <v>0</v>
      </c>
      <c r="W1027">
        <f t="array" ref="W1027">SUMIF(W1012:W1026,"&gt;0")</f>
        <v>0</v>
      </c>
      <c r="X1027">
        <f t="array" ref="X1027">SUMIF(X1012:X1026,"&gt;0")</f>
        <v>0</v>
      </c>
      <c r="Y1027">
        <f t="array" ref="Y1027">SUMIF(Y1012:Y1026,"&gt;0")</f>
        <v>0</v>
      </c>
      <c r="Z1027">
        <f t="array" ref="Z1027">SUMIF(Z1012:Z1026,"&gt;0")</f>
        <v>0</v>
      </c>
      <c r="AA1027">
        <f t="array" ref="AA1027">SUMIF(AA1012:AA1026,"&gt;0")</f>
        <v>0</v>
      </c>
      <c r="AB1027">
        <f t="array" ref="AB1027">SUMIF(AB1012:AB1026,"&gt;0")</f>
        <v>0</v>
      </c>
      <c r="AR1027" s="25"/>
    </row>
    <row r="1028" spans="1:44" x14ac:dyDescent="0.25">
      <c r="A1028" t="s">
        <v>58</v>
      </c>
      <c r="C1028" s="2">
        <f t="array" ref="C1028">IF((K1027+L1027)&lt;&gt;0, (L1027/(K1027+L1027)),0)</f>
        <v>0</v>
      </c>
      <c r="J1028" s="6">
        <f t="array" ref="J1028">J1027*10</f>
        <v>0</v>
      </c>
      <c r="K1028" s="6"/>
      <c r="P1028" t="s">
        <v>95</v>
      </c>
      <c r="Q1028" s="2" t="e">
        <f t="array" ref="Q1028">Q1027/$F1027</f>
        <v>#DIV/0!</v>
      </c>
      <c r="R1028" s="2" t="e">
        <f t="array" ref="R1028">R1027/$F1027</f>
        <v>#DIV/0!</v>
      </c>
      <c r="S1028" s="2" t="e">
        <f t="array" ref="S1028">S1027/$F1027</f>
        <v>#DIV/0!</v>
      </c>
      <c r="T1028" s="2" t="e">
        <f t="array" ref="T1028">T1027/$F1027</f>
        <v>#DIV/0!</v>
      </c>
      <c r="U1028" s="2" t="e">
        <f t="array" ref="U1028">U1027/$F1027</f>
        <v>#DIV/0!</v>
      </c>
      <c r="V1028" s="2" t="e">
        <f t="array" ref="V1028">V1027/$F1027</f>
        <v>#DIV/0!</v>
      </c>
      <c r="Z1028" s="2" t="e">
        <f t="array" ref="Z1028">Z1027/F1027</f>
        <v>#DIV/0!</v>
      </c>
      <c r="AR1028" s="25"/>
    </row>
    <row r="1029" spans="1:44" x14ac:dyDescent="0.25">
      <c r="A1029" t="s">
        <v>60</v>
      </c>
      <c r="C1029" s="2">
        <f t="array" ref="C1029">IF((M1027+N1027)&lt;&gt;0, (N1027/(M1027+N1027)),0)</f>
        <v>0</v>
      </c>
      <c r="J1029" s="6"/>
      <c r="K1029" s="6"/>
      <c r="AR1029" s="25"/>
    </row>
    <row r="1030" spans="1:44" ht="28.5" x14ac:dyDescent="0.45">
      <c r="A1030" t="s">
        <v>61</v>
      </c>
      <c r="C1030" s="2">
        <f t="array" ref="C1030">IF(((K1027+N1027+L1027+M1027)&lt;&gt;0), ((L1027+N1027)/(K1027+N1027+L1027+M1027)),0)</f>
        <v>0</v>
      </c>
      <c r="F1030" s="17" t="s">
        <v>106</v>
      </c>
      <c r="G1030" s="17" t="e">
        <f t="array" ref="G1030">'Weighting &amp; Ranking Sheet'!$B$3*Math!$C1028+'Weighting &amp; Ranking Sheet'!$B$4*Math!$C1029+'Weighting &amp; Ranking Sheet'!$B$5*Math!$C1030+'Weighting &amp; Ranking Sheet'!$B$6*Math!$C1031+'Weighting &amp; Ranking Sheet'!$B$7*Math!$C1015+'Weighting &amp; Ranking Sheet'!$B$8*Math!$C1027+'Weighting &amp; Ranking Sheet'!$B$9*Math!$C1034+'Weighting &amp; Ranking Sheet'!$B$10*Math!$C1032+'Weighting &amp; Ranking Sheet'!$B$11*Math!$C1033+'Weighting &amp; Ranking Sheet'!$B$12*Math!$C1035*0.01+'Weighting &amp; Ranking Sheet'!$B$13*Math!$Q1028+'Weighting &amp; Ranking Sheet'!$B$14*Math!$R1028+'Weighting &amp; Ranking Sheet'!$B$15*Math!$S1028+'Weighting &amp; Ranking Sheet'!$B$16*Math!$T1028+'Weighting &amp; Ranking Sheet'!$B$17*Math!$U1028+'Weighting &amp; Ranking Sheet'!$B$18*Math!$V1028+'Weighting &amp; Ranking Sheet'!$B$2*Math!$Z1028</f>
        <v>#DIV/0!</v>
      </c>
      <c r="J1030"/>
      <c r="K1030" s="6"/>
      <c r="AR1030" s="25"/>
    </row>
    <row r="1031" spans="1:44" x14ac:dyDescent="0.25">
      <c r="A1031" t="s">
        <v>62</v>
      </c>
      <c r="C1031" s="2">
        <f t="array" ref="C1031">IF((O1027+P1027&lt;&gt;0),(P1027/(O1027+P1027)), 0)</f>
        <v>0</v>
      </c>
      <c r="J1031"/>
      <c r="K1031" s="6"/>
      <c r="AR1031" s="25"/>
    </row>
    <row r="1032" spans="1:44" x14ac:dyDescent="0.25">
      <c r="A1032" t="s">
        <v>77</v>
      </c>
      <c r="C1032" s="8" t="e">
        <f t="array" ref="C1032">W1027/F1027</f>
        <v>#DIV/0!</v>
      </c>
      <c r="J1032"/>
      <c r="K1032" s="6"/>
      <c r="AR1032" s="23"/>
    </row>
    <row r="1033" spans="1:44" x14ac:dyDescent="0.25">
      <c r="A1033" t="s">
        <v>78</v>
      </c>
      <c r="C1033" s="8" t="e">
        <f t="array" ref="C1033">X1027/F1027</f>
        <v>#DIV/0!</v>
      </c>
      <c r="J1033"/>
      <c r="K1033" s="6"/>
    </row>
    <row r="1034" spans="1:44" x14ac:dyDescent="0.25">
      <c r="A1034" t="s">
        <v>91</v>
      </c>
      <c r="C1034" s="2" t="e">
        <f t="array" ref="C1034">(C1015+C1027)/2</f>
        <v>#DIV/0!</v>
      </c>
      <c r="J1034"/>
      <c r="K1034" s="6"/>
    </row>
    <row r="1035" spans="1:44" x14ac:dyDescent="0.25">
      <c r="A1035" t="s">
        <v>92</v>
      </c>
      <c r="C1035" s="8" t="e">
        <f t="array" ref="C1035">Y1027/F1027</f>
        <v>#DIV/0!</v>
      </c>
      <c r="J1035" s="6"/>
      <c r="K1035" s="6"/>
    </row>
    <row r="1036" spans="1:44" x14ac:dyDescent="0.25">
      <c r="C1036" s="8"/>
      <c r="J1036" s="6"/>
      <c r="K1036" s="6"/>
    </row>
    <row r="1037" spans="1:44" x14ac:dyDescent="0.25">
      <c r="C1037" s="8"/>
      <c r="J1037" s="6"/>
      <c r="K1037" s="6"/>
    </row>
    <row r="1038" spans="1:44" x14ac:dyDescent="0.25">
      <c r="J1038" s="6"/>
      <c r="K1038" s="6"/>
    </row>
    <row r="1039" spans="1:44" x14ac:dyDescent="0.25">
      <c r="A1039" t="s">
        <v>3</v>
      </c>
      <c r="C1039" s="5">
        <v>4637</v>
      </c>
      <c r="F1039" t="s">
        <v>33</v>
      </c>
    </row>
    <row r="1040" spans="1:44" x14ac:dyDescent="0.25">
      <c r="F1040" t="e">
        <f t="array" ref="F1040">SMALL(IF('Raw Data'!A:A=C1039,ROW('Raw Data'!A:A)),ROW('Raw Data'!$1:$1))</f>
        <v>#NUM!</v>
      </c>
      <c r="G1040" t="e">
        <f t="array" ref="G1040">INDEX('Raw Data'!A:A,F1040,9)</f>
        <v>#NUM!</v>
      </c>
      <c r="H1040" t="e">
        <f t="array" ref="H1040">INDEX('Raw Data'!A:A,F1040,10)</f>
        <v>#NUM!</v>
      </c>
      <c r="I1040" t="e">
        <f t="array" ref="I1040">INDEX('Raw Data'!$A:A,$F1040,11)</f>
        <v>#NUM!</v>
      </c>
      <c r="J1040" t="e">
        <f t="array" ref="J1040">INDEX('Raw Data'!$A:A,F1040,12)</f>
        <v>#NUM!</v>
      </c>
      <c r="K1040" t="e">
        <f>(--INDEX('Raw Data'!$A$4:B$993,F1040,4))</f>
        <v>#NUM!</v>
      </c>
      <c r="L1040" t="e">
        <f t="array" ref="L1040">(--INDEX('Raw Data'!$A$4:B$993,F1040,5))</f>
        <v>#NUM!</v>
      </c>
      <c r="M1040" t="e">
        <f t="array" ref="M1040">(--INDEX('Raw Data'!$A$4:D$993,$F1040,6))</f>
        <v>#NUM!</v>
      </c>
      <c r="N1040" t="e">
        <f t="array" ref="N1040">(--INDEX('Raw Data'!$A$4:D$993,$F1040,7))</f>
        <v>#NUM!</v>
      </c>
      <c r="O1040" t="e">
        <f t="array" ref="O1040">IF(--INDEX('Raw Data'!$A$4:E$993,$F1040,8)= 0, 1, 0)</f>
        <v>#NUM!</v>
      </c>
      <c r="P1040" t="e">
        <f t="array" ref="P1040">IF(--INDEX('Raw Data'!$A$4:F$993,$F1040,8)= 1, 1, 0)</f>
        <v>#NUM!</v>
      </c>
      <c r="Q1040" t="e">
        <f t="array" ref="Q1040">IF(--INDEX('Raw Data'!$A$4:G$993,$F1040,13)= 1, 1, 0)</f>
        <v>#NUM!</v>
      </c>
      <c r="R1040" t="e">
        <f t="array" ref="R1040">IF(--INDEX('Raw Data'!$A$4:H$993,$F1040,14)= 1, 1, 0)</f>
        <v>#NUM!</v>
      </c>
      <c r="S1040" t="e">
        <f t="array" ref="S1040">IF(--INDEX('Raw Data'!$A$4:I$993,$F1040,15)= 1, 1, 0)</f>
        <v>#NUM!</v>
      </c>
      <c r="T1040" t="e">
        <f t="array" ref="T1040">IF(--INDEX('Raw Data'!$A$4:I$993,$F1040,15)= 1, 1, 0)</f>
        <v>#NUM!</v>
      </c>
      <c r="U1040" t="e">
        <f t="array" ref="U1040">IF(--INDEX('Raw Data'!$A$4:J$993,$F1040,16)= 1, 1, 0)</f>
        <v>#NUM!</v>
      </c>
      <c r="V1040" t="e">
        <f t="array" ref="V1040">IF(--INDEX('Raw Data'!$A$4:K$993,$F1040,17)= 1, 1, 0)</f>
        <v>#NUM!</v>
      </c>
      <c r="W1040" t="e">
        <f t="array" ref="W1040">INDEX('Raw Data'!$A:$O,$F1040,19)</f>
        <v>#NUM!</v>
      </c>
      <c r="X1040" t="e">
        <f t="array" ref="X1040">INDEX('Raw Data'!$A:$O,$F1040,20)</f>
        <v>#NUM!</v>
      </c>
      <c r="Y1040" t="e">
        <f t="array" ref="Y1040">INDEX('Raw Data'!$A:$O,F1040,21)</f>
        <v>#NUM!</v>
      </c>
      <c r="Z1040" t="e">
        <f t="array" ref="Z1040">INDEX('Raw Data'!$A:$O,$F1040,3)</f>
        <v>#NUM!</v>
      </c>
      <c r="AA1040" t="e">
        <f t="array" ref="AA1040">INDEX('Raw Data'!$A:$O,$F1040,22)</f>
        <v>#NUM!</v>
      </c>
      <c r="AB1040" t="e">
        <f t="array" ref="AB1040">INDEX('Raw Data'!$A:$O,$F1040,23)</f>
        <v>#NUM!</v>
      </c>
    </row>
    <row r="1041" spans="1:44" x14ac:dyDescent="0.25">
      <c r="A1041" t="s">
        <v>0</v>
      </c>
      <c r="B1041">
        <f>G1055</f>
        <v>0</v>
      </c>
      <c r="F1041" t="e">
        <f t="array" ref="F1041">SMALL(IF('Raw Data'!A:A=C1039,ROW('Raw Data'!A:A)),ROW('Raw Data'!$2:$2))</f>
        <v>#NUM!</v>
      </c>
      <c r="G1041" t="e">
        <f t="array" ref="G1041">INDEX('Raw Data'!A:A,F1041,9)</f>
        <v>#NUM!</v>
      </c>
      <c r="H1041" t="e">
        <f t="array" ref="H1041">INDEX('Raw Data'!A:A,F1041,10)</f>
        <v>#NUM!</v>
      </c>
      <c r="I1041" t="e">
        <f t="array" ref="I1041">INDEX('Raw Data'!$A:A,$F1041,11)</f>
        <v>#NUM!</v>
      </c>
      <c r="J1041" t="e">
        <f t="array" ref="J1041">INDEX('Raw Data'!$A:A,F1041,12)</f>
        <v>#NUM!</v>
      </c>
      <c r="K1041" t="e">
        <f>(--INDEX('Raw Data'!$A$4:B$993,F1041,4))</f>
        <v>#NUM!</v>
      </c>
      <c r="L1041" t="e">
        <f t="array" ref="L1041">(--INDEX('Raw Data'!$A$4:B$993,F1041,5))</f>
        <v>#NUM!</v>
      </c>
      <c r="M1041" t="e">
        <f t="array" ref="M1041">(--INDEX('Raw Data'!$A$4:D$993,$F1041,6))</f>
        <v>#NUM!</v>
      </c>
      <c r="N1041" t="e">
        <f t="array" ref="N1041">(--INDEX('Raw Data'!$A$4:D$993,$F1041,7))</f>
        <v>#NUM!</v>
      </c>
      <c r="O1041" t="e">
        <f t="array" ref="O1041">IF(--INDEX('Raw Data'!$A$4:E$993,$F1041,8)= 0, 1, 0)</f>
        <v>#NUM!</v>
      </c>
      <c r="P1041" t="e">
        <f t="array" ref="P1041">IF(--INDEX('Raw Data'!$A$4:F$993,$F1041,8)= 1, 1, 0)</f>
        <v>#NUM!</v>
      </c>
      <c r="Q1041" t="e">
        <f t="array" ref="Q1041">IF(--INDEX('Raw Data'!$A$4:G$993,$F1041,13)= 1, 1, 0)</f>
        <v>#NUM!</v>
      </c>
      <c r="R1041" t="e">
        <f t="array" ref="R1041">IF(--INDEX('Raw Data'!$A$4:H$993,$F1041,14)= 1, 1, 0)</f>
        <v>#NUM!</v>
      </c>
      <c r="S1041" t="e">
        <f t="array" ref="S1041">IF(--INDEX('Raw Data'!$A$4:I$993,$F1041,15)= 1, 1, 0)</f>
        <v>#NUM!</v>
      </c>
      <c r="T1041" t="e">
        <f t="array" ref="T1041">IF(--INDEX('Raw Data'!$A$4:I$993,$F1041,15)= 1, 1, 0)</f>
        <v>#NUM!</v>
      </c>
      <c r="U1041" t="e">
        <f t="array" ref="U1041">IF(--INDEX('Raw Data'!$A$4:J$993,$F1041,16)= 1, 1, 0)</f>
        <v>#NUM!</v>
      </c>
      <c r="V1041" t="e">
        <f t="array" ref="V1041">IF(--INDEX('Raw Data'!$A$4:K$993,$F1041,17)= 1, 1, 0)</f>
        <v>#NUM!</v>
      </c>
      <c r="W1041" t="e">
        <f t="array" ref="W1041">INDEX('Raw Data'!$A:$O,$F1041,19)</f>
        <v>#NUM!</v>
      </c>
      <c r="X1041" t="e">
        <f t="array" ref="X1041">INDEX('Raw Data'!$A:$O,$F1041,20)</f>
        <v>#NUM!</v>
      </c>
      <c r="Y1041" t="e">
        <f t="array" ref="Y1041">INDEX('Raw Data'!$A:$O,F1041,21)</f>
        <v>#NUM!</v>
      </c>
      <c r="Z1041" t="e">
        <f t="array" ref="Z1041">INDEX('Raw Data'!$A:$O,$F1041,3)</f>
        <v>#NUM!</v>
      </c>
      <c r="AA1041" t="e">
        <f t="array" ref="AA1041">INDEX('Raw Data'!$A:$O,$F1041,22)</f>
        <v>#NUM!</v>
      </c>
      <c r="AB1041" t="e">
        <f t="array" ref="AB1041">INDEX('Raw Data'!$A:$O,$F1041,23)</f>
        <v>#NUM!</v>
      </c>
    </row>
    <row r="1042" spans="1:44" x14ac:dyDescent="0.25">
      <c r="A1042" t="s">
        <v>1</v>
      </c>
      <c r="B1042">
        <f>H1055</f>
        <v>0</v>
      </c>
      <c r="F1042" t="e">
        <f t="array" ref="F1042">SMALL(IF('Raw Data'!A:A=C1039,ROW('Raw Data'!A:A)),ROW('Raw Data'!$3:$3))</f>
        <v>#NUM!</v>
      </c>
      <c r="G1042" t="e">
        <f t="array" ref="G1042">INDEX('Raw Data'!A:A,F1042,9)</f>
        <v>#NUM!</v>
      </c>
      <c r="H1042" t="e">
        <f t="array" ref="H1042">INDEX('Raw Data'!A:A,F1042,10)</f>
        <v>#NUM!</v>
      </c>
      <c r="I1042" t="e">
        <f t="array" ref="I1042">INDEX('Raw Data'!$A:A,$F1042,11)</f>
        <v>#NUM!</v>
      </c>
      <c r="J1042" t="e">
        <f t="array" ref="J1042">INDEX('Raw Data'!$A:A,F1042,12)</f>
        <v>#NUM!</v>
      </c>
      <c r="K1042" t="e">
        <f>(--INDEX('Raw Data'!$A$4:B$993,F1042,4))</f>
        <v>#NUM!</v>
      </c>
      <c r="L1042" t="e">
        <f t="array" ref="L1042">(--INDEX('Raw Data'!$A$4:B$993,F1042,5))</f>
        <v>#NUM!</v>
      </c>
      <c r="M1042" t="e">
        <f t="array" ref="M1042">(--INDEX('Raw Data'!$A$4:D$993,$F1042,6))</f>
        <v>#NUM!</v>
      </c>
      <c r="N1042" t="e">
        <f t="array" ref="N1042">(--INDEX('Raw Data'!$A$4:D$993,$F1042,7))</f>
        <v>#NUM!</v>
      </c>
      <c r="O1042" t="e">
        <f t="array" ref="O1042">IF(--INDEX('Raw Data'!$A$4:E$993,$F1042,8)= 0, 1, 0)</f>
        <v>#NUM!</v>
      </c>
      <c r="P1042" t="e">
        <f t="array" ref="P1042">IF(--INDEX('Raw Data'!$A$4:F$993,$F1042,8)= 1, 1, 0)</f>
        <v>#NUM!</v>
      </c>
      <c r="Q1042" t="e">
        <f t="array" ref="Q1042">IF(--INDEX('Raw Data'!$A$4:G$993,$F1042,13)= 1, 1, 0)</f>
        <v>#NUM!</v>
      </c>
      <c r="R1042" t="e">
        <f t="array" ref="R1042">IF(--INDEX('Raw Data'!$A$4:H$993,$F1042,14)= 1, 1, 0)</f>
        <v>#NUM!</v>
      </c>
      <c r="S1042" t="e">
        <f t="array" ref="S1042">IF(--INDEX('Raw Data'!$A$4:I$993,$F1042,15)= 1, 1, 0)</f>
        <v>#NUM!</v>
      </c>
      <c r="T1042" t="e">
        <f t="array" ref="T1042">IF(--INDEX('Raw Data'!$A$4:I$993,$F1042,15)= 1, 1, 0)</f>
        <v>#NUM!</v>
      </c>
      <c r="U1042" t="e">
        <f t="array" ref="U1042">IF(--INDEX('Raw Data'!$A$4:J$993,$F1042,16)= 1, 1, 0)</f>
        <v>#NUM!</v>
      </c>
      <c r="V1042" t="e">
        <f t="array" ref="V1042">IF(--INDEX('Raw Data'!$A$4:K$993,$F1042,17)= 1, 1, 0)</f>
        <v>#NUM!</v>
      </c>
      <c r="W1042" t="e">
        <f t="array" ref="W1042">INDEX('Raw Data'!$A:$O,$F1042,19)</f>
        <v>#NUM!</v>
      </c>
      <c r="X1042" t="e">
        <f t="array" ref="X1042">INDEX('Raw Data'!$A:$O,$F1042,20)</f>
        <v>#NUM!</v>
      </c>
      <c r="Y1042" t="e">
        <f t="array" ref="Y1042">INDEX('Raw Data'!$A:$O,F1042,21)</f>
        <v>#NUM!</v>
      </c>
      <c r="Z1042" t="e">
        <f t="array" ref="Z1042">INDEX('Raw Data'!$A:$O,$F1042,3)</f>
        <v>#NUM!</v>
      </c>
      <c r="AA1042" t="e">
        <f t="array" ref="AA1042">INDEX('Raw Data'!$A:$O,$F1042,22)</f>
        <v>#NUM!</v>
      </c>
      <c r="AB1042" t="e">
        <f t="array" ref="AB1042">INDEX('Raw Data'!$A:$O,$F1042,23)</f>
        <v>#NUM!</v>
      </c>
    </row>
    <row r="1043" spans="1:44" x14ac:dyDescent="0.25">
      <c r="A1043" t="s">
        <v>2</v>
      </c>
      <c r="C1043" s="3" t="e">
        <f>B1042/B1041</f>
        <v>#DIV/0!</v>
      </c>
      <c r="F1043" t="e">
        <f t="array" ref="F1043">SMALL(IF('Raw Data'!A:A=C1039,ROW('Raw Data'!A:A)),ROW('Raw Data'!$4:$4))</f>
        <v>#NUM!</v>
      </c>
      <c r="G1043" t="e">
        <f t="array" ref="G1043">INDEX('Raw Data'!A:A,F1043,9)</f>
        <v>#NUM!</v>
      </c>
      <c r="H1043" t="e">
        <f t="array" ref="H1043">INDEX('Raw Data'!A:A,F1043,10)</f>
        <v>#NUM!</v>
      </c>
      <c r="I1043" t="e">
        <f t="array" ref="I1043">INDEX('Raw Data'!$A:A,$F1043,11)</f>
        <v>#NUM!</v>
      </c>
      <c r="J1043" t="e">
        <f t="array" ref="J1043">INDEX('Raw Data'!$A:A,F1043,12)</f>
        <v>#NUM!</v>
      </c>
      <c r="K1043" t="e">
        <f>(--INDEX('Raw Data'!$A$4:B$993,F1043,4))</f>
        <v>#NUM!</v>
      </c>
      <c r="L1043" t="e">
        <f t="array" ref="L1043">(--INDEX('Raw Data'!$A$4:B$993,F1043,5))</f>
        <v>#NUM!</v>
      </c>
      <c r="M1043" t="e">
        <f t="array" ref="M1043">(--INDEX('Raw Data'!$A$4:D$993,$F1043,6))</f>
        <v>#NUM!</v>
      </c>
      <c r="N1043" t="e">
        <f t="array" ref="N1043">(--INDEX('Raw Data'!$A$4:D$993,$F1043,7))</f>
        <v>#NUM!</v>
      </c>
      <c r="O1043" t="e">
        <f t="array" ref="O1043">IF(--INDEX('Raw Data'!$A$4:E$993,$F1043,8)= 0, 1, 0)</f>
        <v>#NUM!</v>
      </c>
      <c r="P1043" t="e">
        <f t="array" ref="P1043">IF(--INDEX('Raw Data'!$A$4:F$993,$F1043,8)= 1, 1, 0)</f>
        <v>#NUM!</v>
      </c>
      <c r="Q1043" t="e">
        <f t="array" ref="Q1043">IF(--INDEX('Raw Data'!$A$4:G$993,$F1043,13)= 1, 1, 0)</f>
        <v>#NUM!</v>
      </c>
      <c r="R1043" t="e">
        <f t="array" ref="R1043">IF(--INDEX('Raw Data'!$A$4:H$993,$F1043,14)= 1, 1, 0)</f>
        <v>#NUM!</v>
      </c>
      <c r="S1043" t="e">
        <f t="array" ref="S1043">IF(--INDEX('Raw Data'!$A$4:I$993,$F1043,15)= 1, 1, 0)</f>
        <v>#NUM!</v>
      </c>
      <c r="T1043" t="e">
        <f t="array" ref="T1043">IF(--INDEX('Raw Data'!$A$4:I$993,$F1043,15)= 1, 1, 0)</f>
        <v>#NUM!</v>
      </c>
      <c r="U1043" t="e">
        <f t="array" ref="U1043">IF(--INDEX('Raw Data'!$A$4:J$993,$F1043,16)= 1, 1, 0)</f>
        <v>#NUM!</v>
      </c>
      <c r="V1043" t="e">
        <f t="array" ref="V1043">IF(--INDEX('Raw Data'!$A$4:K$993,$F1043,17)= 1, 1, 0)</f>
        <v>#NUM!</v>
      </c>
      <c r="W1043" t="e">
        <f t="array" ref="W1043">INDEX('Raw Data'!$A:$O,$F1043,19)</f>
        <v>#NUM!</v>
      </c>
      <c r="X1043" t="e">
        <f t="array" ref="X1043">INDEX('Raw Data'!$A:$O,$F1043,20)</f>
        <v>#NUM!</v>
      </c>
      <c r="Y1043" t="e">
        <f t="array" ref="Y1043">INDEX('Raw Data'!$A:$O,F1043,21)</f>
        <v>#NUM!</v>
      </c>
      <c r="Z1043" t="e">
        <f t="array" ref="Z1043">INDEX('Raw Data'!$A:$O,$F1043,3)</f>
        <v>#NUM!</v>
      </c>
      <c r="AA1043" t="e">
        <f t="array" ref="AA1043">INDEX('Raw Data'!$A:$O,$F1043,22)</f>
        <v>#NUM!</v>
      </c>
      <c r="AB1043" t="e">
        <f t="array" ref="AB1043">INDEX('Raw Data'!$A:$O,$F1043,23)</f>
        <v>#NUM!</v>
      </c>
    </row>
    <row r="1044" spans="1:44" x14ac:dyDescent="0.25">
      <c r="A1044" t="s">
        <v>54</v>
      </c>
      <c r="B1044">
        <f>I1055</f>
        <v>0</v>
      </c>
      <c r="F1044" t="e">
        <f t="array" ref="F1044">SMALL(IF('Raw Data'!A:A=C1039,ROW('Raw Data'!A:A)),ROW('Raw Data'!$5:$5))</f>
        <v>#NUM!</v>
      </c>
      <c r="G1044" t="e">
        <f t="array" ref="G1044">INDEX('Raw Data'!A:A,F1044,9)</f>
        <v>#NUM!</v>
      </c>
      <c r="H1044" t="e">
        <f t="array" ref="H1044">INDEX('Raw Data'!A:A,F1044,10)</f>
        <v>#NUM!</v>
      </c>
      <c r="I1044" t="e">
        <f t="array" ref="I1044">INDEX('Raw Data'!$A:A,$F1044,11)</f>
        <v>#NUM!</v>
      </c>
      <c r="J1044" t="e">
        <f t="array" ref="J1044">INDEX('Raw Data'!$A:A,F1044,12)</f>
        <v>#NUM!</v>
      </c>
      <c r="K1044" t="e">
        <f>(--INDEX('Raw Data'!$A$4:B$993,F1044,4))</f>
        <v>#NUM!</v>
      </c>
      <c r="L1044" t="e">
        <f t="array" ref="L1044">(--INDEX('Raw Data'!$A$4:B$993,F1044,5))</f>
        <v>#NUM!</v>
      </c>
      <c r="M1044" t="e">
        <f t="array" ref="M1044">(--INDEX('Raw Data'!$A$4:D$993,$F1044,6))</f>
        <v>#NUM!</v>
      </c>
      <c r="N1044" t="e">
        <f t="array" ref="N1044">(--INDEX('Raw Data'!$A$4:D$993,$F1044,7))</f>
        <v>#NUM!</v>
      </c>
      <c r="O1044" t="e">
        <f t="array" ref="O1044">IF(--INDEX('Raw Data'!$A$4:E$993,$F1044,8)= 0, 1, 0)</f>
        <v>#NUM!</v>
      </c>
      <c r="P1044" t="e">
        <f t="array" ref="P1044">IF(--INDEX('Raw Data'!$A$4:F$993,$F1044,8)= 1, 1, 0)</f>
        <v>#NUM!</v>
      </c>
      <c r="Q1044" t="e">
        <f t="array" ref="Q1044">IF(--INDEX('Raw Data'!$A$4:G$993,$F1044,13)= 1, 1, 0)</f>
        <v>#NUM!</v>
      </c>
      <c r="R1044" t="e">
        <f t="array" ref="R1044">IF(--INDEX('Raw Data'!$A$4:H$993,$F1044,14)= 1, 1, 0)</f>
        <v>#NUM!</v>
      </c>
      <c r="S1044" t="e">
        <f t="array" ref="S1044">IF(--INDEX('Raw Data'!$A$4:I$993,$F1044,15)= 1, 1, 0)</f>
        <v>#NUM!</v>
      </c>
      <c r="T1044" t="e">
        <f t="array" ref="T1044">IF(--INDEX('Raw Data'!$A$4:I$993,$F1044,15)= 1, 1, 0)</f>
        <v>#NUM!</v>
      </c>
      <c r="U1044" t="e">
        <f t="array" ref="U1044">IF(--INDEX('Raw Data'!$A$4:J$993,$F1044,16)= 1, 1, 0)</f>
        <v>#NUM!</v>
      </c>
      <c r="V1044" t="e">
        <f t="array" ref="V1044">IF(--INDEX('Raw Data'!$A$4:K$993,$F1044,17)= 1, 1, 0)</f>
        <v>#NUM!</v>
      </c>
      <c r="W1044" t="e">
        <f t="array" ref="W1044">INDEX('Raw Data'!$A:$O,$F1044,19)</f>
        <v>#NUM!</v>
      </c>
      <c r="X1044" t="e">
        <f t="array" ref="X1044">INDEX('Raw Data'!$A:$O,$F1044,20)</f>
        <v>#NUM!</v>
      </c>
      <c r="Y1044" t="e">
        <f t="array" ref="Y1044">INDEX('Raw Data'!$A:$O,F1044,21)</f>
        <v>#NUM!</v>
      </c>
      <c r="Z1044" t="e">
        <f t="array" ref="Z1044">INDEX('Raw Data'!$A:$O,$F1044,3)</f>
        <v>#NUM!</v>
      </c>
      <c r="AA1044" t="e">
        <f t="array" ref="AA1044">INDEX('Raw Data'!$A:$O,$F1044,22)</f>
        <v>#NUM!</v>
      </c>
      <c r="AB1044" t="e">
        <f t="array" ref="AB1044">INDEX('Raw Data'!$A:$O,$F1044,23)</f>
        <v>#NUM!</v>
      </c>
      <c r="AR1044" s="25"/>
    </row>
    <row r="1045" spans="1:44" x14ac:dyDescent="0.25">
      <c r="A1045" t="s">
        <v>35</v>
      </c>
      <c r="B1045">
        <f>J1055</f>
        <v>0</v>
      </c>
      <c r="F1045" t="e">
        <f t="array" ref="F1045">SMALL(IF('Raw Data'!A:A=C1039,ROW('Raw Data'!A:A)),ROW('Raw Data'!$6:$6))</f>
        <v>#NUM!</v>
      </c>
      <c r="G1045" t="e">
        <f t="array" ref="G1045">INDEX('Raw Data'!A:A,F1045,9)</f>
        <v>#NUM!</v>
      </c>
      <c r="H1045" t="e">
        <f t="array" ref="H1045">INDEX('Raw Data'!A:A,F1045,10)</f>
        <v>#NUM!</v>
      </c>
      <c r="I1045" t="e">
        <f t="array" ref="I1045">INDEX('Raw Data'!$A:A,$F1045,11)</f>
        <v>#NUM!</v>
      </c>
      <c r="J1045" t="e">
        <f t="array" ref="J1045">INDEX('Raw Data'!$A:A,F1045,12)</f>
        <v>#NUM!</v>
      </c>
      <c r="K1045" t="e">
        <f>(--INDEX('Raw Data'!$A$4:B$993,F1045,4))</f>
        <v>#NUM!</v>
      </c>
      <c r="L1045" t="e">
        <f t="array" ref="L1045">(--INDEX('Raw Data'!$A$4:B$998,F1045,5))</f>
        <v>#NUM!</v>
      </c>
      <c r="M1045" t="e">
        <f t="array" ref="M1045">(--INDEX('Raw Data'!$A$4:D$998,$F1045,6))</f>
        <v>#NUM!</v>
      </c>
      <c r="N1045" t="e">
        <f t="array" ref="N1045">(--INDEX('Raw Data'!$A$4:D$993,$F1045,7))</f>
        <v>#NUM!</v>
      </c>
      <c r="O1045" t="e">
        <f t="array" ref="O1045">IF(--INDEX('Raw Data'!$A$4:E$993,$F1045,8)= 0, 1, 0)</f>
        <v>#NUM!</v>
      </c>
      <c r="P1045" t="e">
        <f t="array" ref="P1045">IF(--INDEX('Raw Data'!$A$4:F$998,$F1045,8)= 1, 1, 0)</f>
        <v>#NUM!</v>
      </c>
      <c r="Q1045" t="e">
        <f t="array" ref="Q1045">IF(--INDEX('Raw Data'!$A$4:G$998,$F1045,13)= 1, 1, 0)</f>
        <v>#NUM!</v>
      </c>
      <c r="R1045" t="e">
        <f t="array" ref="R1045">IF(--INDEX('Raw Data'!$A$4:H$998,$F1045,14)= 1, 1, 0)</f>
        <v>#NUM!</v>
      </c>
      <c r="S1045" t="e">
        <f t="array" ref="S1045">IF(--INDEX('Raw Data'!$A$4:I$993,$F1045,15)= 1, 1, 0)</f>
        <v>#NUM!</v>
      </c>
      <c r="T1045" t="e">
        <f t="array" ref="T1045">IF(--INDEX('Raw Data'!$A$4:I$998,$F1045,15)= 1, 1, 0)</f>
        <v>#NUM!</v>
      </c>
      <c r="U1045" t="e">
        <f t="array" ref="U1045">IF(--INDEX('Raw Data'!$A$4:J$998,$F1045,16)= 1, 1, 0)</f>
        <v>#NUM!</v>
      </c>
      <c r="V1045" t="e">
        <f t="array" ref="V1045">IF(--INDEX('Raw Data'!$A$4:K$993,$F1045,17)= 1, 1, 0)</f>
        <v>#NUM!</v>
      </c>
      <c r="W1045" t="e">
        <f t="array" ref="W1045">INDEX('Raw Data'!$A:$O,$F1045,19)</f>
        <v>#NUM!</v>
      </c>
      <c r="X1045" t="e">
        <f t="array" ref="X1045">INDEX('Raw Data'!$A:$O,$F1045,20)</f>
        <v>#NUM!</v>
      </c>
      <c r="Y1045" t="e">
        <f t="array" ref="Y1045">INDEX('Raw Data'!$A:$O,F1045,21)</f>
        <v>#NUM!</v>
      </c>
      <c r="Z1045" t="e">
        <f t="array" ref="Z1045">INDEX('Raw Data'!$A:$O,$F1045,3)</f>
        <v>#NUM!</v>
      </c>
      <c r="AA1045" t="e">
        <f t="array" ref="AA1045">INDEX('Raw Data'!$A:$O,$F1045,22)</f>
        <v>#NUM!</v>
      </c>
      <c r="AB1045" t="e">
        <f t="array" ref="AB1045">INDEX('Raw Data'!$A:$O,$F1045,23)</f>
        <v>#NUM!</v>
      </c>
      <c r="AR1045" s="25"/>
    </row>
    <row r="1046" spans="1:44" ht="28.5" x14ac:dyDescent="0.45">
      <c r="F1046" t="e">
        <f t="array" ref="F1046">SMALL(IF('Raw Data'!A:A=C1039,ROW('Raw Data'!A:A)),ROW('Raw Data'!$7:$7))</f>
        <v>#NUM!</v>
      </c>
      <c r="G1046" t="e">
        <f t="array" ref="G1046">INDEX('Raw Data'!A:A,F1046,9)</f>
        <v>#NUM!</v>
      </c>
      <c r="H1046" t="e">
        <f t="array" ref="H1046">INDEX('Raw Data'!A:A,F1046,10)</f>
        <v>#NUM!</v>
      </c>
      <c r="I1046" t="e">
        <f t="array" ref="I1046">INDEX('Raw Data'!$A:A,$F1046,11)</f>
        <v>#NUM!</v>
      </c>
      <c r="J1046" t="e">
        <f t="array" ref="J1046">INDEX('Raw Data'!$A:A,F1046,12)</f>
        <v>#NUM!</v>
      </c>
      <c r="K1046" t="e">
        <f t="array" ref="K1046">(--INDEX('Raw Data'!$A$4:B$998,F1046,4))</f>
        <v>#NUM!</v>
      </c>
      <c r="L1046" t="e">
        <f t="array" ref="L1046">(--INDEX('Raw Data'!$A$4:B$998,F1046,5))</f>
        <v>#NUM!</v>
      </c>
      <c r="M1046" t="e">
        <f t="array" ref="M1046">(--INDEX('Raw Data'!$A$4:D$998,$F1046,6))</f>
        <v>#NUM!</v>
      </c>
      <c r="N1046" t="e">
        <f t="array" ref="N1046">(--INDEX('Raw Data'!$A$4:D$998,$F1046,7))</f>
        <v>#NUM!</v>
      </c>
      <c r="O1046" t="e">
        <f t="array" ref="O1046">IF(--INDEX('Raw Data'!$A$4:E$998,$F1046,8)= 0, 1, 0)</f>
        <v>#NUM!</v>
      </c>
      <c r="P1046" t="e">
        <f t="array" ref="P1046">IF(--INDEX('Raw Data'!$A$4:F$998,$F1046,8)= 1, 1, 0)</f>
        <v>#NUM!</v>
      </c>
      <c r="Q1046" t="e">
        <f t="array" ref="Q1046">IF(--INDEX('Raw Data'!$A$4:G$998,$F1046,13)= 1, 1, 0)</f>
        <v>#NUM!</v>
      </c>
      <c r="R1046" t="e">
        <f t="array" ref="R1046">IF(--INDEX('Raw Data'!$A$4:H$998,$F1046,14)= 1, 1, 0)</f>
        <v>#NUM!</v>
      </c>
      <c r="S1046" t="e">
        <f t="array" ref="S1046">IF(--INDEX('Raw Data'!$A$4:I$998,$F1046,15)= 1, 1, 0)</f>
        <v>#NUM!</v>
      </c>
      <c r="T1046" t="e">
        <f t="array" ref="T1046">IF(--INDEX('Raw Data'!$A$4:I$998,$F1046,15)= 1, 1, 0)</f>
        <v>#NUM!</v>
      </c>
      <c r="U1046" t="e">
        <f t="array" ref="U1046">IF(--INDEX('Raw Data'!$A$4:J$998,$F1046,16)= 1, 1, 0)</f>
        <v>#NUM!</v>
      </c>
      <c r="V1046" t="e">
        <f t="array" ref="V1046">IF(--INDEX('Raw Data'!$A$4:K$998,$F1046,17)= 1, 1, 0)</f>
        <v>#NUM!</v>
      </c>
      <c r="W1046" t="e">
        <f t="array" ref="W1046">INDEX('Raw Data'!$A:$O,$F1046,19)</f>
        <v>#NUM!</v>
      </c>
      <c r="X1046" t="e">
        <f t="array" ref="X1046">INDEX('Raw Data'!$A:$O,$F1046,20)</f>
        <v>#NUM!</v>
      </c>
      <c r="Y1046" t="e">
        <f t="array" ref="Y1046">INDEX('Raw Data'!$A:$O,F1046,21)</f>
        <v>#NUM!</v>
      </c>
      <c r="Z1046" t="e">
        <f t="array" ref="Z1046">INDEX('Raw Data'!$A:$O,$F1046,3)</f>
        <v>#NUM!</v>
      </c>
      <c r="AA1046" t="e">
        <f t="array" ref="AA1046">INDEX('Raw Data'!$A:$O,$F1046,22)</f>
        <v>#NUM!</v>
      </c>
      <c r="AB1046" t="e">
        <f t="array" ref="AB1046">INDEX('Raw Data'!$A:$O,$F1046,23)</f>
        <v>#NUM!</v>
      </c>
      <c r="AM1046" s="21"/>
      <c r="AR1046" s="25"/>
    </row>
    <row r="1047" spans="1:44" x14ac:dyDescent="0.25">
      <c r="F1047" t="e">
        <f t="array" ref="F1047">SMALL(IF('Raw Data'!A:A=C1039,ROW('Raw Data'!A:A)),ROW('Raw Data'!$8:$8))</f>
        <v>#NUM!</v>
      </c>
      <c r="G1047" t="e">
        <f t="array" ref="G1047">INDEX('Raw Data'!A:A,F1047,9)</f>
        <v>#NUM!</v>
      </c>
      <c r="H1047" t="e">
        <f t="array" ref="H1047">INDEX('Raw Data'!A:A,F1047,10)</f>
        <v>#NUM!</v>
      </c>
      <c r="I1047" t="e">
        <f t="array" ref="I1047">INDEX('Raw Data'!$A:A,$F1047,11)</f>
        <v>#NUM!</v>
      </c>
      <c r="J1047" t="e">
        <f t="array" ref="J1047">INDEX('Raw Data'!$A:A,F1047,12)</f>
        <v>#NUM!</v>
      </c>
      <c r="K1047" t="e">
        <f t="array" ref="K1047">(--INDEX('Raw Data'!$A$4:B$998,F1047,4))</f>
        <v>#NUM!</v>
      </c>
      <c r="L1047" t="e">
        <f t="array" ref="L1047">(--INDEX('Raw Data'!$A$4:B$998,F1047,5))</f>
        <v>#NUM!</v>
      </c>
      <c r="M1047" t="e">
        <f t="array" ref="M1047">(--INDEX('Raw Data'!$A$4:D$998,$F1047,6))</f>
        <v>#NUM!</v>
      </c>
      <c r="N1047" t="e">
        <f t="array" ref="N1047">(--INDEX('Raw Data'!$A$4:D$998,$F1047,7))</f>
        <v>#NUM!</v>
      </c>
      <c r="O1047" t="e">
        <f t="array" ref="O1047">IF(--INDEX('Raw Data'!$A$4:E$998,$F1047,8)= 0, 1, 0)</f>
        <v>#NUM!</v>
      </c>
      <c r="P1047" t="e">
        <f t="array" ref="P1047">IF(--INDEX('Raw Data'!$A$4:F$998,$F1047,8)= 1, 1, 0)</f>
        <v>#NUM!</v>
      </c>
      <c r="Q1047" t="e">
        <f t="array" ref="Q1047">IF(--INDEX('Raw Data'!$A$4:G$998,$F1047,13)= 1, 1, 0)</f>
        <v>#NUM!</v>
      </c>
      <c r="R1047" t="e">
        <f t="array" ref="R1047">IF(--INDEX('Raw Data'!$A$4:H$998,$F1047,14)= 1, 1, 0)</f>
        <v>#NUM!</v>
      </c>
      <c r="S1047" t="e">
        <f t="array" ref="S1047">IF(--INDEX('Raw Data'!$A$4:I$998,$F1047,15)= 1, 1, 0)</f>
        <v>#NUM!</v>
      </c>
      <c r="T1047" t="e">
        <f t="array" ref="T1047">IF(--INDEX('Raw Data'!$A$4:I$998,$F1047,15)= 1, 1, 0)</f>
        <v>#NUM!</v>
      </c>
      <c r="U1047" t="e">
        <f t="array" ref="U1047">IF(--INDEX('Raw Data'!$A$4:J$998,$F1047,16)= 1, 1, 0)</f>
        <v>#NUM!</v>
      </c>
      <c r="V1047" t="e">
        <f t="array" ref="V1047">IF(--INDEX('Raw Data'!$A$4:K$998,$F1047,17)= 1, 1, 0)</f>
        <v>#NUM!</v>
      </c>
      <c r="W1047" t="e">
        <f t="array" ref="W1047">INDEX('Raw Data'!$A:$O,$F1047,19)</f>
        <v>#NUM!</v>
      </c>
      <c r="X1047" t="e">
        <f t="array" ref="X1047">INDEX('Raw Data'!$A:$O,$F1047,20)</f>
        <v>#NUM!</v>
      </c>
      <c r="Y1047" t="e">
        <f t="array" ref="Y1047">INDEX('Raw Data'!$A:$O,F1047,21)</f>
        <v>#NUM!</v>
      </c>
      <c r="Z1047" t="e">
        <f t="array" ref="Z1047">INDEX('Raw Data'!$A:$O,$F1047,3)</f>
        <v>#NUM!</v>
      </c>
      <c r="AA1047" t="e">
        <f t="array" ref="AA1047">INDEX('Raw Data'!$A:$O,$F1047,22)</f>
        <v>#NUM!</v>
      </c>
      <c r="AB1047" t="e">
        <f t="array" ref="AB1047">INDEX('Raw Data'!$A:$O,$F1047,23)</f>
        <v>#NUM!</v>
      </c>
      <c r="AR1047" s="25"/>
    </row>
    <row r="1048" spans="1:44" x14ac:dyDescent="0.25">
      <c r="F1048" t="e">
        <f t="array" ref="F1048">SMALL(IF('Raw Data'!A:A=C1039,ROW('Raw Data'!A:A)),ROW('Raw Data'!$9:$9))</f>
        <v>#NUM!</v>
      </c>
      <c r="G1048" t="e">
        <f t="array" ref="G1048">INDEX('Raw Data'!A:A,F1048,9)</f>
        <v>#NUM!</v>
      </c>
      <c r="H1048" t="e">
        <f t="array" ref="H1048">INDEX('Raw Data'!A:A,F1048,10)</f>
        <v>#NUM!</v>
      </c>
      <c r="I1048" t="e">
        <f t="array" ref="I1048">INDEX('Raw Data'!$A:A,$F1048,11)</f>
        <v>#NUM!</v>
      </c>
      <c r="J1048" t="e">
        <f t="array" ref="J1048">INDEX('Raw Data'!$A:A,F1048,12)</f>
        <v>#NUM!</v>
      </c>
      <c r="K1048" t="e">
        <f t="array" ref="K1048">(--INDEX('Raw Data'!$A$4:B$998,F1048,4))</f>
        <v>#NUM!</v>
      </c>
      <c r="L1048" t="e">
        <f t="array" ref="L1048">(--INDEX('Raw Data'!$A$4:B$998,F1048,5))</f>
        <v>#NUM!</v>
      </c>
      <c r="M1048" t="e">
        <f t="array" ref="M1048">(--INDEX('Raw Data'!$A$4:D$998,$F1048,6))</f>
        <v>#NUM!</v>
      </c>
      <c r="N1048" t="e">
        <f t="array" ref="N1048">(--INDEX('Raw Data'!$A$4:D$998,$F1048,7))</f>
        <v>#NUM!</v>
      </c>
      <c r="O1048" t="e">
        <f t="array" ref="O1048">IF(--INDEX('Raw Data'!$A$4:E$998,$F1048,8)= 0, 1, 0)</f>
        <v>#NUM!</v>
      </c>
      <c r="P1048" t="e">
        <f t="array" ref="P1048">IF(--INDEX('Raw Data'!$A$4:F$998,$F1048,8)= 1, 1, 0)</f>
        <v>#NUM!</v>
      </c>
      <c r="Q1048" t="e">
        <f t="array" ref="Q1048">IF(--INDEX('Raw Data'!$A$4:G$998,$F1048,13)= 1, 1, 0)</f>
        <v>#NUM!</v>
      </c>
      <c r="R1048" t="e">
        <f t="array" ref="R1048">IF(--INDEX('Raw Data'!$A$4:H$998,$F1048,14)= 1, 1, 0)</f>
        <v>#NUM!</v>
      </c>
      <c r="S1048" t="e">
        <f t="array" ref="S1048">IF(--INDEX('Raw Data'!$A$4:I$998,$F1048,15)= 1, 1, 0)</f>
        <v>#NUM!</v>
      </c>
      <c r="T1048" t="e">
        <f t="array" ref="T1048">IF(--INDEX('Raw Data'!$A$4:I$998,$F1048,15)= 1, 1, 0)</f>
        <v>#NUM!</v>
      </c>
      <c r="U1048" t="e">
        <f t="array" ref="U1048">IF(--INDEX('Raw Data'!$A$4:J$998,$F1048,16)= 1, 1, 0)</f>
        <v>#NUM!</v>
      </c>
      <c r="V1048" t="e">
        <f t="array" ref="V1048">IF(--INDEX('Raw Data'!$A$4:K$998,$F1048,17)= 1, 1, 0)</f>
        <v>#NUM!</v>
      </c>
      <c r="W1048" t="e">
        <f t="array" ref="W1048">INDEX('Raw Data'!$A:$O,$F1048,19)</f>
        <v>#NUM!</v>
      </c>
      <c r="X1048" t="e">
        <f t="array" ref="X1048">INDEX('Raw Data'!$A:$O,$F1048,20)</f>
        <v>#NUM!</v>
      </c>
      <c r="Y1048" t="e">
        <f t="array" ref="Y1048">INDEX('Raw Data'!$A:$O,F1048,21)</f>
        <v>#NUM!</v>
      </c>
      <c r="Z1048" t="e">
        <f t="array" ref="Z1048">INDEX('Raw Data'!$A:$O,$F1048,3)</f>
        <v>#NUM!</v>
      </c>
      <c r="AA1048" t="e">
        <f t="array" ref="AA1048">INDEX('Raw Data'!$A:$O,$F1048,22)</f>
        <v>#NUM!</v>
      </c>
      <c r="AB1048" t="e">
        <f t="array" ref="AB1048">INDEX('Raw Data'!$A:$O,$F1048,23)</f>
        <v>#NUM!</v>
      </c>
      <c r="AR1048" s="25"/>
    </row>
    <row r="1049" spans="1:44" x14ac:dyDescent="0.25">
      <c r="F1049" t="e">
        <f t="array" ref="F1049">SMALL(IF('Raw Data'!A:A=C1039,ROW('Raw Data'!A:A)),ROW('Raw Data'!$10:$10))</f>
        <v>#NUM!</v>
      </c>
      <c r="G1049" t="e">
        <f t="array" ref="G1049">INDEX('Raw Data'!A:A,F1049,9)</f>
        <v>#NUM!</v>
      </c>
      <c r="H1049" t="e">
        <f t="array" ref="H1049">INDEX('Raw Data'!A:A,F1049,10)</f>
        <v>#NUM!</v>
      </c>
      <c r="I1049" t="e">
        <f t="array" ref="I1049">INDEX('Raw Data'!$A:A,$F1049,11)</f>
        <v>#NUM!</v>
      </c>
      <c r="J1049" t="e">
        <f t="array" ref="J1049">INDEX('Raw Data'!$A:A,F1049,12)</f>
        <v>#NUM!</v>
      </c>
      <c r="K1049" t="e">
        <f t="array" ref="K1049">(--INDEX('Raw Data'!$A$4:B$998,F1049,4))</f>
        <v>#NUM!</v>
      </c>
      <c r="L1049" t="e">
        <f t="array" ref="L1049">(--INDEX('Raw Data'!$A$4:B$998,F1049,5))</f>
        <v>#NUM!</v>
      </c>
      <c r="M1049" t="e">
        <f t="array" ref="M1049">(--INDEX('Raw Data'!$A$4:D$998,$F1049,6))</f>
        <v>#NUM!</v>
      </c>
      <c r="N1049" t="e">
        <f t="array" ref="N1049">(--INDEX('Raw Data'!$A$4:D$998,$F1049,7))</f>
        <v>#NUM!</v>
      </c>
      <c r="O1049" t="e">
        <f t="array" ref="O1049">IF(--INDEX('Raw Data'!$A$4:E$998,$F1049,8)= 0, 1, 0)</f>
        <v>#NUM!</v>
      </c>
      <c r="P1049" t="e">
        <f t="array" ref="P1049">IF(--INDEX('Raw Data'!$A$4:F$998,$F1049,8)= 1, 1, 0)</f>
        <v>#NUM!</v>
      </c>
      <c r="Q1049" t="e">
        <f t="array" ref="Q1049">IF(--INDEX('Raw Data'!$A$4:G$998,$F1049,13)= 1, 1, 0)</f>
        <v>#NUM!</v>
      </c>
      <c r="R1049" t="e">
        <f t="array" ref="R1049">IF(--INDEX('Raw Data'!$A$4:H$998,$F1049,14)= 1, 1, 0)</f>
        <v>#NUM!</v>
      </c>
      <c r="S1049" t="e">
        <f t="array" ref="S1049">IF(--INDEX('Raw Data'!$A$4:I$998,$F1049,15)= 1, 1, 0)</f>
        <v>#NUM!</v>
      </c>
      <c r="T1049" t="e">
        <f t="array" ref="T1049">IF(--INDEX('Raw Data'!$A$4:I$998,$F1049,15)= 1, 1, 0)</f>
        <v>#NUM!</v>
      </c>
      <c r="U1049" t="e">
        <f t="array" ref="U1049">IF(--INDEX('Raw Data'!$A$4:J$998,$F1049,16)= 1, 1, 0)</f>
        <v>#NUM!</v>
      </c>
      <c r="V1049" t="e">
        <f t="array" ref="V1049">IF(--INDEX('Raw Data'!$A$4:K$998,$F1049,17)= 1, 1, 0)</f>
        <v>#NUM!</v>
      </c>
      <c r="W1049" t="e">
        <f t="array" ref="W1049">INDEX('Raw Data'!$A:$O,$F1049,19)</f>
        <v>#NUM!</v>
      </c>
      <c r="X1049" t="e">
        <f t="array" ref="X1049">INDEX('Raw Data'!$A:$O,$F1049,20)</f>
        <v>#NUM!</v>
      </c>
      <c r="Y1049" t="e">
        <f t="array" ref="Y1049">INDEX('Raw Data'!$A:$O,F1049,21)</f>
        <v>#NUM!</v>
      </c>
      <c r="Z1049" t="e">
        <f t="array" ref="Z1049">INDEX('Raw Data'!$A:$O,$F1049,3)</f>
        <v>#NUM!</v>
      </c>
      <c r="AA1049" t="e">
        <f t="array" ref="AA1049">INDEX('Raw Data'!$A:$O,$F1049,22)</f>
        <v>#NUM!</v>
      </c>
      <c r="AB1049" t="e">
        <f t="array" ref="AB1049">INDEX('Raw Data'!$A:$O,$F1049,23)</f>
        <v>#NUM!</v>
      </c>
      <c r="AR1049" s="25"/>
    </row>
    <row r="1050" spans="1:44" x14ac:dyDescent="0.25">
      <c r="F1050" t="e">
        <f t="array" ref="F1050">SMALL(IF('Raw Data'!A:A=C1039,ROW('Raw Data'!A:A)),ROW('Raw Data'!$11:$11))</f>
        <v>#NUM!</v>
      </c>
      <c r="G1050" t="e">
        <f t="array" ref="G1050">INDEX('Raw Data'!A:A,F1050,9)</f>
        <v>#NUM!</v>
      </c>
      <c r="H1050" t="e">
        <f t="array" ref="H1050">INDEX('Raw Data'!A:A,F1050,10)</f>
        <v>#NUM!</v>
      </c>
      <c r="I1050" t="e">
        <f t="array" ref="I1050">INDEX('Raw Data'!$A:A,$F1050,11)</f>
        <v>#NUM!</v>
      </c>
      <c r="J1050" t="e">
        <f t="array" ref="J1050">INDEX('Raw Data'!$A:A,F1050,12)</f>
        <v>#NUM!</v>
      </c>
      <c r="K1050" t="e">
        <f t="array" ref="K1050">(--INDEX('Raw Data'!$A$4:B$998,F1050,4))</f>
        <v>#NUM!</v>
      </c>
      <c r="L1050" t="e">
        <f t="array" ref="L1050">(--INDEX('Raw Data'!$A$4:B$998,F1050,5))</f>
        <v>#NUM!</v>
      </c>
      <c r="M1050" t="e">
        <f t="array" ref="M1050">(--INDEX('Raw Data'!$A$4:D$998,$F1050,6))</f>
        <v>#NUM!</v>
      </c>
      <c r="N1050" t="e">
        <f t="array" ref="N1050">(--INDEX('Raw Data'!$A$4:D$998,$F1050,7))</f>
        <v>#NUM!</v>
      </c>
      <c r="O1050" t="e">
        <f t="array" ref="O1050">IF(--INDEX('Raw Data'!$A$4:E$998,$F1050,8)= 0, 1, 0)</f>
        <v>#NUM!</v>
      </c>
      <c r="P1050" t="e">
        <f t="array" ref="P1050">IF(--INDEX('Raw Data'!$A$4:F$998,$F1050,8)= 1, 1, 0)</f>
        <v>#NUM!</v>
      </c>
      <c r="Q1050" t="e">
        <f t="array" ref="Q1050">IF(--INDEX('Raw Data'!$A$4:G$998,$F1050,13)= 1, 1, 0)</f>
        <v>#NUM!</v>
      </c>
      <c r="R1050" t="e">
        <f t="array" ref="R1050">IF(--INDEX('Raw Data'!$A$4:H$998,$F1050,14)= 1, 1, 0)</f>
        <v>#NUM!</v>
      </c>
      <c r="S1050" t="e">
        <f t="array" ref="S1050">IF(--INDEX('Raw Data'!$A$4:I$998,$F1050,15)= 1, 1, 0)</f>
        <v>#NUM!</v>
      </c>
      <c r="T1050" t="e">
        <f t="array" ref="T1050">IF(--INDEX('Raw Data'!$A$4:I$998,$F1050,15)= 1, 1, 0)</f>
        <v>#NUM!</v>
      </c>
      <c r="U1050" t="e">
        <f t="array" ref="U1050">IF(--INDEX('Raw Data'!$A$4:J$998,$F1050,16)= 1, 1, 0)</f>
        <v>#NUM!</v>
      </c>
      <c r="V1050" t="e">
        <f t="array" ref="V1050">IF(--INDEX('Raw Data'!$A$4:K$998,$F1050,17)= 1, 1, 0)</f>
        <v>#NUM!</v>
      </c>
      <c r="W1050" t="e">
        <f t="array" ref="W1050">INDEX('Raw Data'!$A:$O,$F1050,19)</f>
        <v>#NUM!</v>
      </c>
      <c r="X1050" t="e">
        <f t="array" ref="X1050">INDEX('Raw Data'!$A:$O,$F1050,20)</f>
        <v>#NUM!</v>
      </c>
      <c r="Y1050" t="e">
        <f t="array" ref="Y1050">INDEX('Raw Data'!$A:$O,F1050,21)</f>
        <v>#NUM!</v>
      </c>
      <c r="Z1050" t="e">
        <f t="array" ref="Z1050">INDEX('Raw Data'!$A:$O,$F1050,3)</f>
        <v>#NUM!</v>
      </c>
      <c r="AA1050" t="e">
        <f t="array" ref="AA1050">INDEX('Raw Data'!$A:$O,$F1050,22)</f>
        <v>#NUM!</v>
      </c>
      <c r="AB1050" t="e">
        <f t="array" ref="AB1050">INDEX('Raw Data'!$A:$O,$F1050,23)</f>
        <v>#NUM!</v>
      </c>
      <c r="AR1050" s="25"/>
    </row>
    <row r="1051" spans="1:44" x14ac:dyDescent="0.25">
      <c r="F1051" t="e">
        <f t="array" ref="F1051">SMALL(IF('Raw Data'!A:A=C1039,ROW('Raw Data'!A:A)),ROW('Raw Data'!$12:$12))</f>
        <v>#NUM!</v>
      </c>
      <c r="G1051" t="e">
        <f t="array" ref="G1051">INDEX('Raw Data'!A:A,F1051,9)</f>
        <v>#NUM!</v>
      </c>
      <c r="H1051" t="e">
        <f t="array" ref="H1051">INDEX('Raw Data'!A:A,F1051,10)</f>
        <v>#NUM!</v>
      </c>
      <c r="I1051" t="e">
        <f t="array" ref="I1051">INDEX('Raw Data'!$A:A,$F1051,11)</f>
        <v>#NUM!</v>
      </c>
      <c r="J1051" t="e">
        <f t="array" ref="J1051">INDEX('Raw Data'!$A:A,F1051,12)</f>
        <v>#NUM!</v>
      </c>
      <c r="K1051" t="e">
        <f t="array" ref="K1051">(--INDEX('Raw Data'!$A$4:B$998,F1051,4))</f>
        <v>#NUM!</v>
      </c>
      <c r="L1051" t="e">
        <f t="array" ref="L1051">(--INDEX('Raw Data'!$A$4:B$998,F1051,5))</f>
        <v>#NUM!</v>
      </c>
      <c r="M1051" t="e">
        <f t="array" ref="M1051">(--INDEX('Raw Data'!$A$4:D$998,$F1051,6))</f>
        <v>#NUM!</v>
      </c>
      <c r="N1051" t="e">
        <f t="array" ref="N1051">(--INDEX('Raw Data'!$A$4:D$998,$F1051,7))</f>
        <v>#NUM!</v>
      </c>
      <c r="O1051" t="e">
        <f t="array" ref="O1051">IF(--INDEX('Raw Data'!$A$4:E$998,$F1051,8)= 0, 1, 0)</f>
        <v>#NUM!</v>
      </c>
      <c r="P1051" t="e">
        <f t="array" ref="P1051">IF(--INDEX('Raw Data'!$A$4:F$998,$F1051,8)= 1, 1, 0)</f>
        <v>#NUM!</v>
      </c>
      <c r="Q1051" t="e">
        <f t="array" ref="Q1051">IF(--INDEX('Raw Data'!$A$4:G$998,$F1051,13)= 1, 1, 0)</f>
        <v>#NUM!</v>
      </c>
      <c r="R1051" t="e">
        <f t="array" ref="R1051">IF(--INDEX('Raw Data'!$A$4:H$998,$F1051,14)= 1, 1, 0)</f>
        <v>#NUM!</v>
      </c>
      <c r="S1051" t="e">
        <f t="array" ref="S1051">IF(--INDEX('Raw Data'!$A$4:I$998,$F1051,15)= 1, 1, 0)</f>
        <v>#NUM!</v>
      </c>
      <c r="T1051" t="e">
        <f t="array" ref="T1051">IF(--INDEX('Raw Data'!$A$4:I$998,$F1051,15)= 1, 1, 0)</f>
        <v>#NUM!</v>
      </c>
      <c r="U1051" t="e">
        <f t="array" ref="U1051">IF(--INDEX('Raw Data'!$A$4:J$998,$F1051,16)= 1, 1, 0)</f>
        <v>#NUM!</v>
      </c>
      <c r="V1051" t="e">
        <f t="array" ref="V1051">IF(--INDEX('Raw Data'!$A$4:K$998,$F1051,17)= 1, 1, 0)</f>
        <v>#NUM!</v>
      </c>
      <c r="W1051" t="e">
        <f t="array" ref="W1051">INDEX('Raw Data'!$A:$O,$F1051,19)</f>
        <v>#NUM!</v>
      </c>
      <c r="X1051" t="e">
        <f t="array" ref="X1051">INDEX('Raw Data'!$A:$O,$F1051,20)</f>
        <v>#NUM!</v>
      </c>
      <c r="Y1051" t="e">
        <f t="array" ref="Y1051">INDEX('Raw Data'!$A:$O,F1051,21)</f>
        <v>#NUM!</v>
      </c>
      <c r="Z1051" t="e">
        <f t="array" ref="Z1051">INDEX('Raw Data'!$A:$O,$F1051,3)</f>
        <v>#NUM!</v>
      </c>
      <c r="AA1051" t="e">
        <f t="array" ref="AA1051">INDEX('Raw Data'!$A:$O,$F1051,22)</f>
        <v>#NUM!</v>
      </c>
      <c r="AB1051" t="e">
        <f t="array" ref="AB1051">INDEX('Raw Data'!$A:$O,$F1051,23)</f>
        <v>#NUM!</v>
      </c>
      <c r="AR1051" s="25"/>
    </row>
    <row r="1052" spans="1:44" x14ac:dyDescent="0.25">
      <c r="F1052" t="e">
        <f t="array" ref="F1052">SMALL(IF('Raw Data'!A:A=C1039,ROW('Raw Data'!A:A)),ROW('Raw Data'!$13:$13))</f>
        <v>#NUM!</v>
      </c>
      <c r="G1052" t="e">
        <f t="array" ref="G1052">INDEX('Raw Data'!A:A,F1052,9)</f>
        <v>#NUM!</v>
      </c>
      <c r="H1052" t="e">
        <f t="array" ref="H1052">INDEX('Raw Data'!A:A,F1052,10)</f>
        <v>#NUM!</v>
      </c>
      <c r="I1052" t="e">
        <f t="array" ref="I1052">INDEX('Raw Data'!$A:A,$F1052,11)</f>
        <v>#NUM!</v>
      </c>
      <c r="J1052" t="e">
        <f t="array" ref="J1052">INDEX('Raw Data'!$A:A,F1052,12)</f>
        <v>#NUM!</v>
      </c>
      <c r="K1052" t="e">
        <f t="array" ref="K1052">(--INDEX('Raw Data'!$A$4:B$998,F1052,4))</f>
        <v>#NUM!</v>
      </c>
      <c r="L1052" t="e">
        <f t="array" ref="L1052">(--INDEX('Raw Data'!$A$4:B$998,F1052,5))</f>
        <v>#NUM!</v>
      </c>
      <c r="M1052" t="e">
        <f t="array" ref="M1052">(--INDEX('Raw Data'!$A$4:D$998,$F1052,6))</f>
        <v>#NUM!</v>
      </c>
      <c r="N1052" t="e">
        <f t="array" ref="N1052">(--INDEX('Raw Data'!$A$4:D$998,$F1052,7))</f>
        <v>#NUM!</v>
      </c>
      <c r="O1052" t="e">
        <f t="array" ref="O1052">IF(--INDEX('Raw Data'!$A$4:E$998,$F1052,8)= 0, 1, 0)</f>
        <v>#NUM!</v>
      </c>
      <c r="P1052" t="e">
        <f t="array" ref="P1052">IF(--INDEX('Raw Data'!$A$4:F$998,$F1052,8)= 1, 1, 0)</f>
        <v>#NUM!</v>
      </c>
      <c r="Q1052" t="e">
        <f t="array" ref="Q1052">IF(--INDEX('Raw Data'!$A$4:G$998,$F1052,13)= 1, 1, 0)</f>
        <v>#NUM!</v>
      </c>
      <c r="R1052" t="e">
        <f t="array" ref="R1052">IF(--INDEX('Raw Data'!$A$4:H$998,$F1052,14)= 1, 1, 0)</f>
        <v>#NUM!</v>
      </c>
      <c r="S1052" t="e">
        <f t="array" ref="S1052">IF(--INDEX('Raw Data'!$A$4:I$998,$F1052,15)= 1, 1, 0)</f>
        <v>#NUM!</v>
      </c>
      <c r="T1052" t="e">
        <f t="array" ref="T1052">IF(--INDEX('Raw Data'!$A$4:I$998,$F1052,15)= 1, 1, 0)</f>
        <v>#NUM!</v>
      </c>
      <c r="U1052" t="e">
        <f t="array" ref="U1052">IF(--INDEX('Raw Data'!$A$4:J$998,$F1052,16)= 1, 1, 0)</f>
        <v>#NUM!</v>
      </c>
      <c r="V1052" t="e">
        <f t="array" ref="V1052">IF(--INDEX('Raw Data'!$A$4:K$998,$F1052,17)= 1, 1, 0)</f>
        <v>#NUM!</v>
      </c>
      <c r="W1052" t="e">
        <f t="array" ref="W1052">INDEX('Raw Data'!$A:$O,$F1052,19)</f>
        <v>#NUM!</v>
      </c>
      <c r="X1052" t="e">
        <f t="array" ref="X1052">INDEX('Raw Data'!$A:$O,$F1052,20)</f>
        <v>#NUM!</v>
      </c>
      <c r="Y1052" t="e">
        <f t="array" ref="Y1052">INDEX('Raw Data'!$A:$O,F1052,21)</f>
        <v>#NUM!</v>
      </c>
      <c r="Z1052" t="e">
        <f t="array" ref="Z1052">INDEX('Raw Data'!$A:$O,$F1052,3)</f>
        <v>#NUM!</v>
      </c>
      <c r="AA1052" t="e">
        <f t="array" ref="AA1052">INDEX('Raw Data'!$A:$O,$F1052,22)</f>
        <v>#NUM!</v>
      </c>
      <c r="AB1052" t="e">
        <f t="array" ref="AB1052">INDEX('Raw Data'!$A:$O,$F1052,23)</f>
        <v>#NUM!</v>
      </c>
      <c r="AR1052" s="25"/>
    </row>
    <row r="1053" spans="1:44" x14ac:dyDescent="0.25">
      <c r="F1053" t="e">
        <f t="array" ref="F1053">SMALL(IF('Raw Data'!A:A=C1039,ROW('Raw Data'!A:A)),ROW('Raw Data'!$14:$14))</f>
        <v>#NUM!</v>
      </c>
      <c r="G1053" t="e">
        <f t="array" ref="G1053">INDEX('Raw Data'!A:A,F1053,9)</f>
        <v>#NUM!</v>
      </c>
      <c r="H1053" t="e">
        <f t="array" ref="H1053">INDEX('Raw Data'!A:A,F1053,10)</f>
        <v>#NUM!</v>
      </c>
      <c r="I1053" t="e">
        <f t="array" ref="I1053">INDEX('Raw Data'!$A:A,$F1053,11)</f>
        <v>#NUM!</v>
      </c>
      <c r="J1053" t="e">
        <f t="array" ref="J1053">INDEX('Raw Data'!$A:A,F1053,12)</f>
        <v>#NUM!</v>
      </c>
      <c r="K1053" t="e">
        <f t="array" ref="K1053">(--INDEX('Raw Data'!$A$4:B$998,F1053,4))</f>
        <v>#NUM!</v>
      </c>
      <c r="L1053" t="e">
        <f t="array" ref="L1053">(--INDEX('Raw Data'!$A$4:B$998,F1053,5))</f>
        <v>#NUM!</v>
      </c>
      <c r="M1053" t="e">
        <f t="array" ref="M1053">(--INDEX('Raw Data'!$A$4:D$998,$F1053,6))</f>
        <v>#NUM!</v>
      </c>
      <c r="N1053" t="e">
        <f t="array" ref="N1053">(--INDEX('Raw Data'!$A$4:D$998,$F1053,7))</f>
        <v>#NUM!</v>
      </c>
      <c r="O1053" t="e">
        <f t="array" ref="O1053">IF(--INDEX('Raw Data'!$A$4:E$998,$F1053,8)= 0, 1, 0)</f>
        <v>#NUM!</v>
      </c>
      <c r="P1053" t="e">
        <f t="array" ref="P1053">IF(--INDEX('Raw Data'!$A$4:F$998,$F1053,8)= 1, 1, 0)</f>
        <v>#NUM!</v>
      </c>
      <c r="Q1053" t="e">
        <f t="array" ref="Q1053">IF(--INDEX('Raw Data'!$A$4:G$998,$F1053,13)= 1, 1, 0)</f>
        <v>#NUM!</v>
      </c>
      <c r="R1053" t="e">
        <f t="array" ref="R1053">IF(--INDEX('Raw Data'!$A$4:H$998,$F1053,14)= 1, 1, 0)</f>
        <v>#NUM!</v>
      </c>
      <c r="S1053" t="e">
        <f t="array" ref="S1053">IF(--INDEX('Raw Data'!$A$4:I$998,$F1053,15)= 1, 1, 0)</f>
        <v>#NUM!</v>
      </c>
      <c r="T1053" t="e">
        <f t="array" ref="T1053">IF(--INDEX('Raw Data'!$A$4:I$998,$F1053,15)= 1, 1, 0)</f>
        <v>#NUM!</v>
      </c>
      <c r="U1053" t="e">
        <f t="array" ref="U1053">IF(--INDEX('Raw Data'!$A$4:J$998,$F1053,16)= 1, 1, 0)</f>
        <v>#NUM!</v>
      </c>
      <c r="V1053" t="e">
        <f t="array" ref="V1053">IF(--INDEX('Raw Data'!$A$4:K$998,$F1053,17)= 1, 1, 0)</f>
        <v>#NUM!</v>
      </c>
      <c r="W1053" t="e">
        <f t="array" ref="W1053">INDEX('Raw Data'!$A:$O,$F1053,19)</f>
        <v>#NUM!</v>
      </c>
      <c r="X1053" t="e">
        <f t="array" ref="X1053">INDEX('Raw Data'!$A:$O,$F1053,20)</f>
        <v>#NUM!</v>
      </c>
      <c r="Y1053" t="e">
        <f t="array" ref="Y1053">INDEX('Raw Data'!$A:$O,F1053,21)</f>
        <v>#NUM!</v>
      </c>
      <c r="Z1053" t="e">
        <f t="array" ref="Z1053">INDEX('Raw Data'!$A:$O,$F1053,3)</f>
        <v>#NUM!</v>
      </c>
      <c r="AA1053" t="e">
        <f t="array" ref="AA1053">INDEX('Raw Data'!$A:$O,$F1053,22)</f>
        <v>#NUM!</v>
      </c>
      <c r="AB1053" t="e">
        <f t="array" ref="AB1053">INDEX('Raw Data'!$A:$O,$F1053,23)</f>
        <v>#NUM!</v>
      </c>
      <c r="AR1053" s="25"/>
    </row>
    <row r="1054" spans="1:44" x14ac:dyDescent="0.25">
      <c r="F1054" t="e">
        <f t="array" ref="F1054">SMALL(IF('Raw Data'!A:A=C1039,ROW('Raw Data'!A:A)),ROW('Raw Data'!$15:$15))</f>
        <v>#NUM!</v>
      </c>
      <c r="G1054" t="e">
        <f t="array" ref="G1054">INDEX('Raw Data'!A:A,F1054,9)</f>
        <v>#NUM!</v>
      </c>
      <c r="H1054" t="e">
        <f t="array" ref="H1054">INDEX('Raw Data'!A:A,F1054,10)</f>
        <v>#NUM!</v>
      </c>
      <c r="I1054" t="e">
        <f t="array" ref="I1054">INDEX('Raw Data'!$A:A,$F1054,11)</f>
        <v>#NUM!</v>
      </c>
      <c r="J1054" t="e">
        <f t="array" ref="J1054">INDEX('Raw Data'!$A:A,F1054,12)</f>
        <v>#NUM!</v>
      </c>
      <c r="K1054" t="e">
        <f t="array" ref="K1054">(--INDEX('Raw Data'!$A$4:B$998,F1054,4))</f>
        <v>#NUM!</v>
      </c>
      <c r="L1054" t="e">
        <f t="array" ref="L1054">(--INDEX('Raw Data'!$A$4:B$998,F1054,5))</f>
        <v>#NUM!</v>
      </c>
      <c r="M1054" t="e">
        <f t="array" ref="M1054">(--INDEX('Raw Data'!$A$4:D$998,$F1054,6))</f>
        <v>#NUM!</v>
      </c>
      <c r="N1054" t="e">
        <f t="array" ref="N1054">(--INDEX('Raw Data'!$A$4:D$998,$F1054,7))</f>
        <v>#NUM!</v>
      </c>
      <c r="O1054" t="e">
        <f t="array" ref="O1054">IF(--INDEX('Raw Data'!$A$4:E$998,$F1054,8)= 0, 1, 0)</f>
        <v>#NUM!</v>
      </c>
      <c r="P1054" t="e">
        <f t="array" ref="P1054">IF(--INDEX('Raw Data'!$A$4:F$998,$F1054,8)= 1, 1, 0)</f>
        <v>#NUM!</v>
      </c>
      <c r="Q1054" t="e">
        <f t="array" ref="Q1054">IF(--INDEX('Raw Data'!$A$4:G$998,$F1054,13)= 1, 1, 0)</f>
        <v>#NUM!</v>
      </c>
      <c r="R1054" t="e">
        <f t="array" ref="R1054">IF(--INDEX('Raw Data'!$A$4:H$998,$F1054,14)= 1, 1, 0)</f>
        <v>#NUM!</v>
      </c>
      <c r="S1054" t="e">
        <f t="array" ref="S1054">IF(--INDEX('Raw Data'!$A$4:I$998,$F1054,15)= 1, 1, 0)</f>
        <v>#NUM!</v>
      </c>
      <c r="T1054" t="e">
        <f t="array" ref="T1054">IF(--INDEX('Raw Data'!$A$4:I$998,$F1054,15)= 1, 1, 0)</f>
        <v>#NUM!</v>
      </c>
      <c r="U1054" t="e">
        <f t="array" ref="U1054">IF(--INDEX('Raw Data'!$A$4:J$998,$F1054,16)= 1, 1, 0)</f>
        <v>#NUM!</v>
      </c>
      <c r="V1054" t="e">
        <f t="array" ref="V1054">IF(--INDEX('Raw Data'!$A$4:K$998,$F1054,17)= 1, 1, 0)</f>
        <v>#NUM!</v>
      </c>
      <c r="W1054" t="e">
        <f t="array" ref="W1054">INDEX('Raw Data'!$A:$O,$F1054,19)</f>
        <v>#NUM!</v>
      </c>
      <c r="X1054" t="e">
        <f t="array" ref="X1054">INDEX('Raw Data'!$A:$O,$F1054,20)</f>
        <v>#NUM!</v>
      </c>
      <c r="Y1054" t="e">
        <f t="array" ref="Y1054">INDEX('Raw Data'!$A:$O,F1054,21)</f>
        <v>#NUM!</v>
      </c>
      <c r="Z1054" t="e">
        <f t="array" ref="Z1054">INDEX('Raw Data'!$A:$O,$F1054,3)</f>
        <v>#NUM!</v>
      </c>
      <c r="AA1054" t="e">
        <f t="array" ref="AA1054">INDEX('Raw Data'!$A:$O,$F1054,22)</f>
        <v>#NUM!</v>
      </c>
      <c r="AB1054" t="e">
        <f t="array" ref="AB1054">INDEX('Raw Data'!$A:$O,$F1054,23)</f>
        <v>#NUM!</v>
      </c>
      <c r="AR1054" s="25"/>
    </row>
    <row r="1055" spans="1:44" x14ac:dyDescent="0.25">
      <c r="A1055" t="s">
        <v>55</v>
      </c>
      <c r="C1055" s="2" t="e">
        <f>B1045/B1044</f>
        <v>#DIV/0!</v>
      </c>
      <c r="F1055">
        <f t="array" ref="F1055">COUNTIF(F1040:F1054,"&gt;0")</f>
        <v>0</v>
      </c>
      <c r="G1055">
        <f t="array" ref="G1055">SUMIF(G1040:G1054,"&gt;0")</f>
        <v>0</v>
      </c>
      <c r="H1055">
        <f t="array" ref="H1055">SUMIF(H1040:H1054,"&gt;0")</f>
        <v>0</v>
      </c>
      <c r="I1055">
        <f t="array" ref="I1055">SUMIF(I1040:I1054,"&gt;0")</f>
        <v>0</v>
      </c>
      <c r="J1055">
        <f t="array" ref="J1055">SUMIF(J1040:J1054,"&gt;0")</f>
        <v>0</v>
      </c>
      <c r="K1055">
        <f t="array" ref="K1055">SUMIF(K1040:K1054,"&gt;0")</f>
        <v>0</v>
      </c>
      <c r="L1055">
        <f t="array" ref="L1055">SUMIF(L1040:L1054,"&gt;0")</f>
        <v>0</v>
      </c>
      <c r="M1055">
        <f t="array" ref="M1055">SUMIF(M1040:M1054,"&gt;0")</f>
        <v>0</v>
      </c>
      <c r="N1055">
        <f t="array" ref="N1055">SUMIF(N1040:N1054,"&gt;0")</f>
        <v>0</v>
      </c>
      <c r="O1055">
        <f t="array" ref="O1055">SUMIF(O1040:O1054,"&gt;0")</f>
        <v>0</v>
      </c>
      <c r="P1055">
        <f t="array" ref="P1055">SUMIF(P1040:P1054,"&gt;0")</f>
        <v>0</v>
      </c>
      <c r="Q1055">
        <f t="array" ref="Q1055">SUMIF(Q1040:Q1054,"&gt;0")</f>
        <v>0</v>
      </c>
      <c r="R1055">
        <f t="array" ref="R1055">SUMIF(R1040:R1054,"&gt;0")</f>
        <v>0</v>
      </c>
      <c r="S1055">
        <f t="array" ref="S1055">SUMIF(S1040:S1054,"&gt;0")</f>
        <v>0</v>
      </c>
      <c r="T1055">
        <f t="array" ref="T1055">SUMIF(T1040:T1054,"&gt;0")</f>
        <v>0</v>
      </c>
      <c r="U1055">
        <f t="array" ref="U1055">SUMIF(U1040:U1054,"&gt;0")</f>
        <v>0</v>
      </c>
      <c r="V1055">
        <f t="array" ref="V1055">SUMIF(V1040:V1054,"&gt;0")</f>
        <v>0</v>
      </c>
      <c r="W1055">
        <f t="array" ref="W1055">SUMIF(W1040:W1054,"&gt;0")</f>
        <v>0</v>
      </c>
      <c r="X1055">
        <f t="array" ref="X1055">SUMIF(X1040:X1054,"&gt;0")</f>
        <v>0</v>
      </c>
      <c r="Y1055">
        <f t="array" ref="Y1055">SUMIF(Y1040:Y1054,"&gt;0")</f>
        <v>0</v>
      </c>
      <c r="Z1055">
        <f t="array" ref="Z1055">SUMIF(Z1040:Z1054,"&gt;0")</f>
        <v>0</v>
      </c>
      <c r="AA1055">
        <f t="array" ref="AA1055">SUMIF(AA1040:AA1054,"&gt;0")</f>
        <v>0</v>
      </c>
      <c r="AB1055">
        <f t="array" ref="AB1055">SUMIF(AB1040:AB1054,"&gt;0")</f>
        <v>0</v>
      </c>
      <c r="AR1055" s="25"/>
    </row>
    <row r="1056" spans="1:44" x14ac:dyDescent="0.25">
      <c r="A1056" t="s">
        <v>58</v>
      </c>
      <c r="C1056" s="2">
        <f t="array" ref="C1056">IF((K1055+L1055)&lt;&gt;0, (L1055/(K1055+L1055)),0)</f>
        <v>0</v>
      </c>
      <c r="J1056" s="6">
        <f t="array" ref="J1056">J1055*10</f>
        <v>0</v>
      </c>
      <c r="K1056" s="6"/>
      <c r="P1056" t="s">
        <v>95</v>
      </c>
      <c r="Q1056" s="2" t="e">
        <f t="array" ref="Q1056">Q1055/$F1055</f>
        <v>#DIV/0!</v>
      </c>
      <c r="R1056" s="2" t="e">
        <f t="array" ref="R1056">R1055/$F1055</f>
        <v>#DIV/0!</v>
      </c>
      <c r="S1056" s="2" t="e">
        <f t="array" ref="S1056">S1055/$F1055</f>
        <v>#DIV/0!</v>
      </c>
      <c r="T1056" s="2" t="e">
        <f t="array" ref="T1056">T1055/$F1055</f>
        <v>#DIV/0!</v>
      </c>
      <c r="U1056" s="2" t="e">
        <f t="array" ref="U1056">U1055/$F1055</f>
        <v>#DIV/0!</v>
      </c>
      <c r="V1056" s="2" t="e">
        <f t="array" ref="V1056">V1055/$F1055</f>
        <v>#DIV/0!</v>
      </c>
      <c r="Z1056" s="2" t="e">
        <f t="array" ref="Z1056">Z1055/F1055</f>
        <v>#DIV/0!</v>
      </c>
      <c r="AR1056" s="25"/>
    </row>
    <row r="1057" spans="1:44" x14ac:dyDescent="0.25">
      <c r="A1057" t="s">
        <v>60</v>
      </c>
      <c r="C1057" s="2">
        <f t="array" ref="C1057">IF((M1055+N1055)&lt;&gt;0, (N1055/(M1055+N1055)),0)</f>
        <v>0</v>
      </c>
      <c r="J1057" s="6"/>
      <c r="K1057" s="6"/>
      <c r="AR1057" s="25"/>
    </row>
    <row r="1058" spans="1:44" ht="28.5" x14ac:dyDescent="0.45">
      <c r="A1058" t="s">
        <v>61</v>
      </c>
      <c r="C1058" s="2">
        <f t="array" ref="C1058">IF(((K1055+N1055+L1055+M1055)&lt;&gt;0), ((L1055+N1055)/(K1055+N1055+L1055+M1055)),0)</f>
        <v>0</v>
      </c>
      <c r="F1058" s="17" t="s">
        <v>106</v>
      </c>
      <c r="G1058" s="17" t="e">
        <f t="array" ref="G1058">'Weighting &amp; Ranking Sheet'!$B$3*Math!$C1056+'Weighting &amp; Ranking Sheet'!$B$4*Math!$C1057+'Weighting &amp; Ranking Sheet'!$B$5*Math!$C1058+'Weighting &amp; Ranking Sheet'!$B$6*Math!$C1059+'Weighting &amp; Ranking Sheet'!$B$7*Math!$C1043+'Weighting &amp; Ranking Sheet'!$B$8*Math!$C1055+'Weighting &amp; Ranking Sheet'!$B$9*Math!$C1062+'Weighting &amp; Ranking Sheet'!$B$10*Math!$C1060+'Weighting &amp; Ranking Sheet'!$B$11*Math!$C1061+'Weighting &amp; Ranking Sheet'!$B$12*Math!$C1063*0.01+'Weighting &amp; Ranking Sheet'!$B$13*Math!$Q1056+'Weighting &amp; Ranking Sheet'!$B$14*Math!$R1056+'Weighting &amp; Ranking Sheet'!$B$15*Math!$S1056+'Weighting &amp; Ranking Sheet'!$B$16*Math!$T1056+'Weighting &amp; Ranking Sheet'!$B$17*Math!$U1056+'Weighting &amp; Ranking Sheet'!$B$18*Math!$V1056+'Weighting &amp; Ranking Sheet'!$B$2*Math!$Z1056</f>
        <v>#DIV/0!</v>
      </c>
      <c r="J1058"/>
      <c r="K1058" s="6"/>
      <c r="AR1058" s="25"/>
    </row>
    <row r="1059" spans="1:44" x14ac:dyDescent="0.25">
      <c r="A1059" t="s">
        <v>62</v>
      </c>
      <c r="C1059" s="2">
        <f t="array" ref="C1059">IF((O1055+P1055&lt;&gt;0),(P1055/(O1055+P1055)), 0)</f>
        <v>0</v>
      </c>
      <c r="J1059"/>
      <c r="K1059" s="6"/>
      <c r="AR1059" s="25"/>
    </row>
    <row r="1060" spans="1:44" x14ac:dyDescent="0.25">
      <c r="A1060" t="s">
        <v>77</v>
      </c>
      <c r="C1060" s="8" t="e">
        <f t="array" ref="C1060">W1055/F1055</f>
        <v>#DIV/0!</v>
      </c>
      <c r="J1060"/>
      <c r="K1060" s="6"/>
      <c r="AR1060" s="23"/>
    </row>
    <row r="1061" spans="1:44" x14ac:dyDescent="0.25">
      <c r="A1061" t="s">
        <v>78</v>
      </c>
      <c r="C1061" s="8" t="e">
        <f t="array" ref="C1061">X1055/F1055</f>
        <v>#DIV/0!</v>
      </c>
      <c r="J1061"/>
      <c r="K1061" s="6"/>
    </row>
    <row r="1062" spans="1:44" x14ac:dyDescent="0.25">
      <c r="A1062" t="s">
        <v>91</v>
      </c>
      <c r="C1062" s="2" t="e">
        <f t="array" ref="C1062">(C1043+C1055)/2</f>
        <v>#DIV/0!</v>
      </c>
      <c r="J1062"/>
      <c r="K1062" s="6"/>
    </row>
    <row r="1063" spans="1:44" x14ac:dyDescent="0.25">
      <c r="A1063" t="s">
        <v>92</v>
      </c>
      <c r="C1063" s="8" t="e">
        <f t="array" ref="C1063">Y1055/F1055</f>
        <v>#DIV/0!</v>
      </c>
      <c r="J1063"/>
      <c r="K1063" s="6"/>
    </row>
    <row r="1064" spans="1:44" x14ac:dyDescent="0.25">
      <c r="C1064" s="8"/>
      <c r="J1064"/>
      <c r="K1064" s="6"/>
    </row>
    <row r="1065" spans="1:44" x14ac:dyDescent="0.25">
      <c r="C1065" s="8"/>
      <c r="J1065" s="6"/>
      <c r="K1065" s="6"/>
    </row>
    <row r="1066" spans="1:44" x14ac:dyDescent="0.25">
      <c r="J1066" s="6"/>
      <c r="K1066" s="6"/>
    </row>
    <row r="1067" spans="1:44" x14ac:dyDescent="0.25">
      <c r="A1067" t="s">
        <v>3</v>
      </c>
      <c r="C1067" s="5">
        <v>4750</v>
      </c>
      <c r="F1067" t="s">
        <v>33</v>
      </c>
    </row>
    <row r="1068" spans="1:44" x14ac:dyDescent="0.25">
      <c r="F1068" t="e">
        <f t="array" ref="F1068">SMALL(IF('Raw Data'!A:A=C1067,ROW('Raw Data'!A:A)),ROW('Raw Data'!$1:$1))</f>
        <v>#NUM!</v>
      </c>
      <c r="G1068" t="e">
        <f t="array" ref="G1068">INDEX('Raw Data'!A:A,F1068,9)</f>
        <v>#NUM!</v>
      </c>
      <c r="H1068" t="e">
        <f t="array" ref="H1068">INDEX('Raw Data'!A:A,F1068,10)</f>
        <v>#NUM!</v>
      </c>
      <c r="I1068" t="e">
        <f t="array" ref="I1068">INDEX('Raw Data'!$A:A,$F1068,11)</f>
        <v>#NUM!</v>
      </c>
      <c r="J1068" t="e">
        <f t="array" ref="J1068">INDEX('Raw Data'!$A:A,F1068,12)</f>
        <v>#NUM!</v>
      </c>
      <c r="K1068" t="e">
        <f>(--INDEX('Raw Data'!$A$4:B$993,F1068,4))</f>
        <v>#NUM!</v>
      </c>
      <c r="L1068" t="e">
        <f t="array" ref="L1068">(--INDEX('Raw Data'!$A$4:B$993,F1068,5))</f>
        <v>#NUM!</v>
      </c>
      <c r="M1068" t="e">
        <f t="array" ref="M1068">(--INDEX('Raw Data'!$A$4:D$993,$F1068,6))</f>
        <v>#NUM!</v>
      </c>
      <c r="N1068" t="e">
        <f t="array" ref="N1068">(--INDEX('Raw Data'!$A$4:D$993,$F1068,7))</f>
        <v>#NUM!</v>
      </c>
      <c r="O1068" t="e">
        <f t="array" ref="O1068">IF(--INDEX('Raw Data'!$A$4:E$993,$F1068,8)= 0, 1, 0)</f>
        <v>#NUM!</v>
      </c>
      <c r="P1068" t="e">
        <f t="array" ref="P1068">IF(--INDEX('Raw Data'!$A$4:F$993,$F1068,8)= 1, 1, 0)</f>
        <v>#NUM!</v>
      </c>
      <c r="Q1068" t="e">
        <f t="array" ref="Q1068">IF(--INDEX('Raw Data'!$A$4:G$993,$F1068,13)= 1, 1, 0)</f>
        <v>#NUM!</v>
      </c>
      <c r="R1068" t="e">
        <f t="array" ref="R1068">IF(--INDEX('Raw Data'!$A$4:H$993,$F1068,14)= 1, 1, 0)</f>
        <v>#NUM!</v>
      </c>
      <c r="S1068" t="e">
        <f t="array" ref="S1068">IF(--INDEX('Raw Data'!$A$4:I$993,$F1068,15)= 1, 1, 0)</f>
        <v>#NUM!</v>
      </c>
      <c r="T1068" t="e">
        <f t="array" ref="T1068">IF(--INDEX('Raw Data'!$A$4:I$993,$F1068,15)= 1, 1, 0)</f>
        <v>#NUM!</v>
      </c>
      <c r="U1068" t="e">
        <f t="array" ref="U1068">IF(--INDEX('Raw Data'!$A$4:J$993,$F1068,16)= 1, 1, 0)</f>
        <v>#NUM!</v>
      </c>
      <c r="V1068" t="e">
        <f t="array" ref="V1068">IF(--INDEX('Raw Data'!$A$4:K$993,$F1068,17)= 1, 1, 0)</f>
        <v>#NUM!</v>
      </c>
      <c r="W1068" t="e">
        <f t="array" ref="W1068">INDEX('Raw Data'!$A:$O,$F1068,19)</f>
        <v>#NUM!</v>
      </c>
      <c r="X1068" t="e">
        <f t="array" ref="X1068">INDEX('Raw Data'!$A:$O,$F1068,20)</f>
        <v>#NUM!</v>
      </c>
      <c r="Y1068" t="e">
        <f t="array" ref="Y1068">INDEX('Raw Data'!$A:$O,F1068,21)</f>
        <v>#NUM!</v>
      </c>
      <c r="Z1068" t="e">
        <f t="array" ref="Z1068">INDEX('Raw Data'!$A:$O,$F1068,3)</f>
        <v>#NUM!</v>
      </c>
      <c r="AA1068" t="e">
        <f t="array" ref="AA1068">INDEX('Raw Data'!$A:$O,$F1068,22)</f>
        <v>#NUM!</v>
      </c>
      <c r="AB1068" t="e">
        <f t="array" ref="AB1068">INDEX('Raw Data'!$A:$O,$F1068,23)</f>
        <v>#NUM!</v>
      </c>
    </row>
    <row r="1069" spans="1:44" x14ac:dyDescent="0.25">
      <c r="A1069" t="s">
        <v>0</v>
      </c>
      <c r="B1069">
        <f>G1083</f>
        <v>0</v>
      </c>
      <c r="F1069" t="e">
        <f t="array" ref="F1069">SMALL(IF('Raw Data'!A:A=C1067,ROW('Raw Data'!A:A)),ROW('Raw Data'!$2:$2))</f>
        <v>#NUM!</v>
      </c>
      <c r="G1069" t="e">
        <f t="array" ref="G1069">INDEX('Raw Data'!A:A,F1069,9)</f>
        <v>#NUM!</v>
      </c>
      <c r="H1069" t="e">
        <f t="array" ref="H1069">INDEX('Raw Data'!A:A,F1069,10)</f>
        <v>#NUM!</v>
      </c>
      <c r="I1069" t="e">
        <f t="array" ref="I1069">INDEX('Raw Data'!$A:A,$F1069,11)</f>
        <v>#NUM!</v>
      </c>
      <c r="J1069" t="e">
        <f t="array" ref="J1069">INDEX('Raw Data'!$A:A,F1069,12)</f>
        <v>#NUM!</v>
      </c>
      <c r="K1069" t="e">
        <f>(--INDEX('Raw Data'!$A$4:B$993,F1069,4))</f>
        <v>#NUM!</v>
      </c>
      <c r="L1069" t="e">
        <f t="array" ref="L1069">(--INDEX('Raw Data'!$A$4:B$993,F1069,5))</f>
        <v>#NUM!</v>
      </c>
      <c r="M1069" t="e">
        <f t="array" ref="M1069">(--INDEX('Raw Data'!$A$4:D$993,$F1069,6))</f>
        <v>#NUM!</v>
      </c>
      <c r="N1069" t="e">
        <f t="array" ref="N1069">(--INDEX('Raw Data'!$A$4:D$993,$F1069,7))</f>
        <v>#NUM!</v>
      </c>
      <c r="O1069" t="e">
        <f t="array" ref="O1069">IF(--INDEX('Raw Data'!$A$4:E$993,$F1069,8)= 0, 1, 0)</f>
        <v>#NUM!</v>
      </c>
      <c r="P1069" t="e">
        <f t="array" ref="P1069">IF(--INDEX('Raw Data'!$A$4:F$993,$F1069,8)= 1, 1, 0)</f>
        <v>#NUM!</v>
      </c>
      <c r="Q1069" t="e">
        <f t="array" ref="Q1069">IF(--INDEX('Raw Data'!$A$4:G$993,$F1069,13)= 1, 1, 0)</f>
        <v>#NUM!</v>
      </c>
      <c r="R1069" t="e">
        <f t="array" ref="R1069">IF(--INDEX('Raw Data'!$A$4:H$993,$F1069,14)= 1, 1, 0)</f>
        <v>#NUM!</v>
      </c>
      <c r="S1069" t="e">
        <f t="array" ref="S1069">IF(--INDEX('Raw Data'!$A$4:I$993,$F1069,15)= 1, 1, 0)</f>
        <v>#NUM!</v>
      </c>
      <c r="T1069" t="e">
        <f t="array" ref="T1069">IF(--INDEX('Raw Data'!$A$4:I$993,$F1069,15)= 1, 1, 0)</f>
        <v>#NUM!</v>
      </c>
      <c r="U1069" t="e">
        <f t="array" ref="U1069">IF(--INDEX('Raw Data'!$A$4:J$993,$F1069,16)= 1, 1, 0)</f>
        <v>#NUM!</v>
      </c>
      <c r="V1069" t="e">
        <f t="array" ref="V1069">IF(--INDEX('Raw Data'!$A$4:K$993,$F1069,17)= 1, 1, 0)</f>
        <v>#NUM!</v>
      </c>
      <c r="W1069" t="e">
        <f t="array" ref="W1069">INDEX('Raw Data'!$A:$O,$F1069,19)</f>
        <v>#NUM!</v>
      </c>
      <c r="X1069" t="e">
        <f t="array" ref="X1069">INDEX('Raw Data'!$A:$O,$F1069,20)</f>
        <v>#NUM!</v>
      </c>
      <c r="Y1069" t="e">
        <f t="array" ref="Y1069">INDEX('Raw Data'!$A:$O,F1069,21)</f>
        <v>#NUM!</v>
      </c>
      <c r="Z1069" t="e">
        <f t="array" ref="Z1069">INDEX('Raw Data'!$A:$O,$F1069,3)</f>
        <v>#NUM!</v>
      </c>
      <c r="AA1069" t="e">
        <f t="array" ref="AA1069">INDEX('Raw Data'!$A:$O,$F1069,22)</f>
        <v>#NUM!</v>
      </c>
      <c r="AB1069" t="e">
        <f t="array" ref="AB1069">INDEX('Raw Data'!$A:$O,$F1069,23)</f>
        <v>#NUM!</v>
      </c>
    </row>
    <row r="1070" spans="1:44" x14ac:dyDescent="0.25">
      <c r="A1070" t="s">
        <v>1</v>
      </c>
      <c r="B1070">
        <f>H1083</f>
        <v>0</v>
      </c>
      <c r="F1070" t="e">
        <f t="array" ref="F1070">SMALL(IF('Raw Data'!A:A=C1067,ROW('Raw Data'!A:A)),ROW('Raw Data'!$3:$3))</f>
        <v>#NUM!</v>
      </c>
      <c r="G1070" t="e">
        <f t="array" ref="G1070">INDEX('Raw Data'!A:A,F1070,9)</f>
        <v>#NUM!</v>
      </c>
      <c r="H1070" t="e">
        <f t="array" ref="H1070">INDEX('Raw Data'!A:A,F1070,10)</f>
        <v>#NUM!</v>
      </c>
      <c r="I1070" t="e">
        <f t="array" ref="I1070">INDEX('Raw Data'!$A:A,$F1070,11)</f>
        <v>#NUM!</v>
      </c>
      <c r="J1070" t="e">
        <f t="array" ref="J1070">INDEX('Raw Data'!$A:A,F1070,12)</f>
        <v>#NUM!</v>
      </c>
      <c r="K1070" t="e">
        <f>(--INDEX('Raw Data'!$A$4:B$993,F1070,4))</f>
        <v>#NUM!</v>
      </c>
      <c r="L1070" t="e">
        <f t="array" ref="L1070">(--INDEX('Raw Data'!$A$4:B$993,F1070,5))</f>
        <v>#NUM!</v>
      </c>
      <c r="M1070" t="e">
        <f t="array" ref="M1070">(--INDEX('Raw Data'!$A$4:D$993,$F1070,6))</f>
        <v>#NUM!</v>
      </c>
      <c r="N1070" t="e">
        <f t="array" ref="N1070">(--INDEX('Raw Data'!$A$4:D$993,$F1070,7))</f>
        <v>#NUM!</v>
      </c>
      <c r="O1070" t="e">
        <f t="array" ref="O1070">IF(--INDEX('Raw Data'!$A$4:E$993,$F1070,8)= 0, 1, 0)</f>
        <v>#NUM!</v>
      </c>
      <c r="P1070" t="e">
        <f t="array" ref="P1070">IF(--INDEX('Raw Data'!$A$4:F$993,$F1070,8)= 1, 1, 0)</f>
        <v>#NUM!</v>
      </c>
      <c r="Q1070" t="e">
        <f t="array" ref="Q1070">IF(--INDEX('Raw Data'!$A$4:G$993,$F1070,13)= 1, 1, 0)</f>
        <v>#NUM!</v>
      </c>
      <c r="R1070" t="e">
        <f t="array" ref="R1070">IF(--INDEX('Raw Data'!$A$4:H$993,$F1070,14)= 1, 1, 0)</f>
        <v>#NUM!</v>
      </c>
      <c r="S1070" t="e">
        <f t="array" ref="S1070">IF(--INDEX('Raw Data'!$A$4:I$993,$F1070,15)= 1, 1, 0)</f>
        <v>#NUM!</v>
      </c>
      <c r="T1070" t="e">
        <f t="array" ref="T1070">IF(--INDEX('Raw Data'!$A$4:I$993,$F1070,15)= 1, 1, 0)</f>
        <v>#NUM!</v>
      </c>
      <c r="U1070" t="e">
        <f t="array" ref="U1070">IF(--INDEX('Raw Data'!$A$4:J$993,$F1070,16)= 1, 1, 0)</f>
        <v>#NUM!</v>
      </c>
      <c r="V1070" t="e">
        <f t="array" ref="V1070">IF(--INDEX('Raw Data'!$A$4:K$993,$F1070,17)= 1, 1, 0)</f>
        <v>#NUM!</v>
      </c>
      <c r="W1070" t="e">
        <f t="array" ref="W1070">INDEX('Raw Data'!$A:$O,$F1070,19)</f>
        <v>#NUM!</v>
      </c>
      <c r="X1070" t="e">
        <f t="array" ref="X1070">INDEX('Raw Data'!$A:$O,$F1070,20)</f>
        <v>#NUM!</v>
      </c>
      <c r="Y1070" t="e">
        <f t="array" ref="Y1070">INDEX('Raw Data'!$A:$O,F1070,21)</f>
        <v>#NUM!</v>
      </c>
      <c r="Z1070" t="e">
        <f t="array" ref="Z1070">INDEX('Raw Data'!$A:$O,$F1070,3)</f>
        <v>#NUM!</v>
      </c>
      <c r="AA1070" t="e">
        <f t="array" ref="AA1070">INDEX('Raw Data'!$A:$O,$F1070,22)</f>
        <v>#NUM!</v>
      </c>
      <c r="AB1070" t="e">
        <f t="array" ref="AB1070">INDEX('Raw Data'!$A:$O,$F1070,23)</f>
        <v>#NUM!</v>
      </c>
    </row>
    <row r="1071" spans="1:44" x14ac:dyDescent="0.25">
      <c r="A1071" t="s">
        <v>2</v>
      </c>
      <c r="C1071" s="3" t="e">
        <f>B1070/B1069</f>
        <v>#DIV/0!</v>
      </c>
      <c r="F1071" t="e">
        <f t="array" ref="F1071">SMALL(IF('Raw Data'!A:A=C1067,ROW('Raw Data'!A:A)),ROW('Raw Data'!$4:$4))</f>
        <v>#NUM!</v>
      </c>
      <c r="G1071" t="e">
        <f t="array" ref="G1071">INDEX('Raw Data'!A:A,F1071,9)</f>
        <v>#NUM!</v>
      </c>
      <c r="H1071" t="e">
        <f t="array" ref="H1071">INDEX('Raw Data'!A:A,F1071,10)</f>
        <v>#NUM!</v>
      </c>
      <c r="I1071" t="e">
        <f t="array" ref="I1071">INDEX('Raw Data'!$A:A,$F1071,11)</f>
        <v>#NUM!</v>
      </c>
      <c r="J1071" t="e">
        <f t="array" ref="J1071">INDEX('Raw Data'!$A:A,F1071,12)</f>
        <v>#NUM!</v>
      </c>
      <c r="K1071" t="e">
        <f>(--INDEX('Raw Data'!$A$4:B$993,F1071,4))</f>
        <v>#NUM!</v>
      </c>
      <c r="L1071" t="e">
        <f t="array" ref="L1071">(--INDEX('Raw Data'!$A$4:B$993,F1071,5))</f>
        <v>#NUM!</v>
      </c>
      <c r="M1071" t="e">
        <f t="array" ref="M1071">(--INDEX('Raw Data'!$A$4:D$993,$F1071,6))</f>
        <v>#NUM!</v>
      </c>
      <c r="N1071" t="e">
        <f t="array" ref="N1071">(--INDEX('Raw Data'!$A$4:D$993,$F1071,7))</f>
        <v>#NUM!</v>
      </c>
      <c r="O1071" t="e">
        <f t="array" ref="O1071">IF(--INDEX('Raw Data'!$A$4:E$993,$F1071,8)= 0, 1, 0)</f>
        <v>#NUM!</v>
      </c>
      <c r="P1071" t="e">
        <f t="array" ref="P1071">IF(--INDEX('Raw Data'!$A$4:F$993,$F1071,8)= 1, 1, 0)</f>
        <v>#NUM!</v>
      </c>
      <c r="Q1071" t="e">
        <f t="array" ref="Q1071">IF(--INDEX('Raw Data'!$A$4:G$993,$F1071,13)= 1, 1, 0)</f>
        <v>#NUM!</v>
      </c>
      <c r="R1071" t="e">
        <f t="array" ref="R1071">IF(--INDEX('Raw Data'!$A$4:H$993,$F1071,14)= 1, 1, 0)</f>
        <v>#NUM!</v>
      </c>
      <c r="S1071" t="e">
        <f t="array" ref="S1071">IF(--INDEX('Raw Data'!$A$4:I$993,$F1071,15)= 1, 1, 0)</f>
        <v>#NUM!</v>
      </c>
      <c r="T1071" t="e">
        <f t="array" ref="T1071">IF(--INDEX('Raw Data'!$A$4:I$993,$F1071,15)= 1, 1, 0)</f>
        <v>#NUM!</v>
      </c>
      <c r="U1071" t="e">
        <f t="array" ref="U1071">IF(--INDEX('Raw Data'!$A$4:J$993,$F1071,16)= 1, 1, 0)</f>
        <v>#NUM!</v>
      </c>
      <c r="V1071" t="e">
        <f t="array" ref="V1071">IF(--INDEX('Raw Data'!$A$4:K$993,$F1071,17)= 1, 1, 0)</f>
        <v>#NUM!</v>
      </c>
      <c r="W1071" t="e">
        <f t="array" ref="W1071">INDEX('Raw Data'!$A:$O,$F1071,19)</f>
        <v>#NUM!</v>
      </c>
      <c r="X1071" t="e">
        <f t="array" ref="X1071">INDEX('Raw Data'!$A:$O,$F1071,20)</f>
        <v>#NUM!</v>
      </c>
      <c r="Y1071" t="e">
        <f t="array" ref="Y1071">INDEX('Raw Data'!$A:$O,F1071,21)</f>
        <v>#NUM!</v>
      </c>
      <c r="Z1071" t="e">
        <f t="array" ref="Z1071">INDEX('Raw Data'!$A:$O,$F1071,3)</f>
        <v>#NUM!</v>
      </c>
      <c r="AA1071" t="e">
        <f t="array" ref="AA1071">INDEX('Raw Data'!$A:$O,$F1071,22)</f>
        <v>#NUM!</v>
      </c>
      <c r="AB1071" t="e">
        <f t="array" ref="AB1071">INDEX('Raw Data'!$A:$O,$F1071,23)</f>
        <v>#NUM!</v>
      </c>
    </row>
    <row r="1072" spans="1:44" x14ac:dyDescent="0.25">
      <c r="A1072" t="s">
        <v>54</v>
      </c>
      <c r="B1072">
        <f>I1083</f>
        <v>0</v>
      </c>
      <c r="F1072" t="e">
        <f t="array" ref="F1072">SMALL(IF('Raw Data'!A:A=C1067,ROW('Raw Data'!A:A)),ROW('Raw Data'!$5:$5))</f>
        <v>#NUM!</v>
      </c>
      <c r="G1072" t="e">
        <f t="array" ref="G1072">INDEX('Raw Data'!A:A,F1072,9)</f>
        <v>#NUM!</v>
      </c>
      <c r="H1072" t="e">
        <f t="array" ref="H1072">INDEX('Raw Data'!A:A,F1072,10)</f>
        <v>#NUM!</v>
      </c>
      <c r="I1072" t="e">
        <f t="array" ref="I1072">INDEX('Raw Data'!$A:A,$F1072,11)</f>
        <v>#NUM!</v>
      </c>
      <c r="J1072" t="e">
        <f t="array" ref="J1072">INDEX('Raw Data'!$A:A,F1072,12)</f>
        <v>#NUM!</v>
      </c>
      <c r="K1072" t="e">
        <f>(--INDEX('Raw Data'!$A$4:B$993,F1072,4))</f>
        <v>#NUM!</v>
      </c>
      <c r="L1072" t="e">
        <f t="array" ref="L1072">(--INDEX('Raw Data'!$A$4:B$993,F1072,5))</f>
        <v>#NUM!</v>
      </c>
      <c r="M1072" t="e">
        <f t="array" ref="M1072">(--INDEX('Raw Data'!$A$4:D$993,$F1072,6))</f>
        <v>#NUM!</v>
      </c>
      <c r="N1072" t="e">
        <f t="array" ref="N1072">(--INDEX('Raw Data'!$A$4:D$993,$F1072,7))</f>
        <v>#NUM!</v>
      </c>
      <c r="O1072" t="e">
        <f t="array" ref="O1072">IF(--INDEX('Raw Data'!$A$4:E$993,$F1072,8)= 0, 1, 0)</f>
        <v>#NUM!</v>
      </c>
      <c r="P1072" t="e">
        <f t="array" ref="P1072">IF(--INDEX('Raw Data'!$A$4:F$993,$F1072,8)= 1, 1, 0)</f>
        <v>#NUM!</v>
      </c>
      <c r="Q1072" t="e">
        <f t="array" ref="Q1072">IF(--INDEX('Raw Data'!$A$4:G$993,$F1072,13)= 1, 1, 0)</f>
        <v>#NUM!</v>
      </c>
      <c r="R1072" t="e">
        <f t="array" ref="R1072">IF(--INDEX('Raw Data'!$A$4:H$993,$F1072,14)= 1, 1, 0)</f>
        <v>#NUM!</v>
      </c>
      <c r="S1072" t="e">
        <f t="array" ref="S1072">IF(--INDEX('Raw Data'!$A$4:I$993,$F1072,15)= 1, 1, 0)</f>
        <v>#NUM!</v>
      </c>
      <c r="T1072" t="e">
        <f t="array" ref="T1072">IF(--INDEX('Raw Data'!$A$4:I$993,$F1072,15)= 1, 1, 0)</f>
        <v>#NUM!</v>
      </c>
      <c r="U1072" t="e">
        <f t="array" ref="U1072">IF(--INDEX('Raw Data'!$A$4:J$993,$F1072,16)= 1, 1, 0)</f>
        <v>#NUM!</v>
      </c>
      <c r="V1072" t="e">
        <f t="array" ref="V1072">IF(--INDEX('Raw Data'!$A$4:K$993,$F1072,17)= 1, 1, 0)</f>
        <v>#NUM!</v>
      </c>
      <c r="W1072" t="e">
        <f t="array" ref="W1072">INDEX('Raw Data'!$A:$O,$F1072,19)</f>
        <v>#NUM!</v>
      </c>
      <c r="X1072" t="e">
        <f t="array" ref="X1072">INDEX('Raw Data'!$A:$O,$F1072,20)</f>
        <v>#NUM!</v>
      </c>
      <c r="Y1072" t="e">
        <f t="array" ref="Y1072">INDEX('Raw Data'!$A:$O,F1072,21)</f>
        <v>#NUM!</v>
      </c>
      <c r="Z1072" t="e">
        <f t="array" ref="Z1072">INDEX('Raw Data'!$A:$O,$F1072,3)</f>
        <v>#NUM!</v>
      </c>
      <c r="AA1072" t="e">
        <f t="array" ref="AA1072">INDEX('Raw Data'!$A:$O,$F1072,22)</f>
        <v>#NUM!</v>
      </c>
      <c r="AB1072" t="e">
        <f t="array" ref="AB1072">INDEX('Raw Data'!$A:$O,$F1072,23)</f>
        <v>#NUM!</v>
      </c>
      <c r="AR1072" s="25"/>
    </row>
    <row r="1073" spans="1:44" x14ac:dyDescent="0.25">
      <c r="A1073" t="s">
        <v>35</v>
      </c>
      <c r="B1073">
        <f>J1083</f>
        <v>0</v>
      </c>
      <c r="F1073" t="e">
        <f t="array" ref="F1073">SMALL(IF('Raw Data'!A:A=C1067,ROW('Raw Data'!A:A)),ROW('Raw Data'!$6:$6))</f>
        <v>#NUM!</v>
      </c>
      <c r="G1073" t="e">
        <f t="array" ref="G1073">INDEX('Raw Data'!A:A,F1073,9)</f>
        <v>#NUM!</v>
      </c>
      <c r="H1073" t="e">
        <f t="array" ref="H1073">INDEX('Raw Data'!A:A,F1073,10)</f>
        <v>#NUM!</v>
      </c>
      <c r="I1073" t="e">
        <f t="array" ref="I1073">INDEX('Raw Data'!$A:A,$F1073,11)</f>
        <v>#NUM!</v>
      </c>
      <c r="J1073" t="e">
        <f t="array" ref="J1073">INDEX('Raw Data'!$A:A,F1073,12)</f>
        <v>#NUM!</v>
      </c>
      <c r="K1073" t="e">
        <f>(--INDEX('Raw Data'!$A$4:B$993,F1073,4))</f>
        <v>#NUM!</v>
      </c>
      <c r="L1073" t="e">
        <f t="array" ref="L1073">(--INDEX('Raw Data'!$A$4:B$998,F1073,5))</f>
        <v>#NUM!</v>
      </c>
      <c r="M1073" t="e">
        <f t="array" ref="M1073">(--INDEX('Raw Data'!$A$4:D$998,$F1073,6))</f>
        <v>#NUM!</v>
      </c>
      <c r="N1073" t="e">
        <f t="array" ref="N1073">(--INDEX('Raw Data'!$A$4:D$993,$F1073,7))</f>
        <v>#NUM!</v>
      </c>
      <c r="O1073" t="e">
        <f t="array" ref="O1073">IF(--INDEX('Raw Data'!$A$4:E$993,$F1073,8)= 0, 1, 0)</f>
        <v>#NUM!</v>
      </c>
      <c r="P1073" t="e">
        <f t="array" ref="P1073">IF(--INDEX('Raw Data'!$A$4:F$998,$F1073,8)= 1, 1, 0)</f>
        <v>#NUM!</v>
      </c>
      <c r="Q1073" t="e">
        <f t="array" ref="Q1073">IF(--INDEX('Raw Data'!$A$4:G$998,$F1073,13)= 1, 1, 0)</f>
        <v>#NUM!</v>
      </c>
      <c r="R1073" t="e">
        <f t="array" ref="R1073">IF(--INDEX('Raw Data'!$A$4:H$998,$F1073,14)= 1, 1, 0)</f>
        <v>#NUM!</v>
      </c>
      <c r="S1073" t="e">
        <f t="array" ref="S1073">IF(--INDEX('Raw Data'!$A$4:I$993,$F1073,15)= 1, 1, 0)</f>
        <v>#NUM!</v>
      </c>
      <c r="T1073" t="e">
        <f t="array" ref="T1073">IF(--INDEX('Raw Data'!$A$4:I$998,$F1073,15)= 1, 1, 0)</f>
        <v>#NUM!</v>
      </c>
      <c r="U1073" t="e">
        <f t="array" ref="U1073">IF(--INDEX('Raw Data'!$A$4:J$998,$F1073,16)= 1, 1, 0)</f>
        <v>#NUM!</v>
      </c>
      <c r="V1073" t="e">
        <f t="array" ref="V1073">IF(--INDEX('Raw Data'!$A$4:K$993,$F1073,17)= 1, 1, 0)</f>
        <v>#NUM!</v>
      </c>
      <c r="W1073" t="e">
        <f t="array" ref="W1073">INDEX('Raw Data'!$A:$O,$F1073,19)</f>
        <v>#NUM!</v>
      </c>
      <c r="X1073" t="e">
        <f t="array" ref="X1073">INDEX('Raw Data'!$A:$O,$F1073,20)</f>
        <v>#NUM!</v>
      </c>
      <c r="Y1073" t="e">
        <f t="array" ref="Y1073">INDEX('Raw Data'!$A:$O,F1073,21)</f>
        <v>#NUM!</v>
      </c>
      <c r="Z1073" t="e">
        <f t="array" ref="Z1073">INDEX('Raw Data'!$A:$O,$F1073,3)</f>
        <v>#NUM!</v>
      </c>
      <c r="AA1073" t="e">
        <f t="array" ref="AA1073">INDEX('Raw Data'!$A:$O,$F1073,22)</f>
        <v>#NUM!</v>
      </c>
      <c r="AB1073" t="e">
        <f t="array" ref="AB1073">INDEX('Raw Data'!$A:$O,$F1073,23)</f>
        <v>#NUM!</v>
      </c>
      <c r="AR1073" s="25"/>
    </row>
    <row r="1074" spans="1:44" ht="28.5" x14ac:dyDescent="0.45">
      <c r="F1074" t="e">
        <f t="array" ref="F1074">SMALL(IF('Raw Data'!A:A=C1067,ROW('Raw Data'!A:A)),ROW('Raw Data'!$7:$7))</f>
        <v>#NUM!</v>
      </c>
      <c r="G1074" t="e">
        <f t="array" ref="G1074">INDEX('Raw Data'!A:A,F1074,9)</f>
        <v>#NUM!</v>
      </c>
      <c r="H1074" t="e">
        <f t="array" ref="H1074">INDEX('Raw Data'!A:A,F1074,10)</f>
        <v>#NUM!</v>
      </c>
      <c r="I1074" t="e">
        <f t="array" ref="I1074">INDEX('Raw Data'!$A:A,$F1074,11)</f>
        <v>#NUM!</v>
      </c>
      <c r="J1074" t="e">
        <f t="array" ref="J1074">INDEX('Raw Data'!$A:A,F1074,12)</f>
        <v>#NUM!</v>
      </c>
      <c r="K1074" t="e">
        <f t="array" ref="K1074">(--INDEX('Raw Data'!$A$4:B$998,F1074,4))</f>
        <v>#NUM!</v>
      </c>
      <c r="L1074" t="e">
        <f t="array" ref="L1074">(--INDEX('Raw Data'!$A$4:B$998,F1074,5))</f>
        <v>#NUM!</v>
      </c>
      <c r="M1074" t="e">
        <f t="array" ref="M1074">(--INDEX('Raw Data'!$A$4:D$998,$F1074,6))</f>
        <v>#NUM!</v>
      </c>
      <c r="N1074" t="e">
        <f t="array" ref="N1074">(--INDEX('Raw Data'!$A$4:D$998,$F1074,7))</f>
        <v>#NUM!</v>
      </c>
      <c r="O1074" t="e">
        <f t="array" ref="O1074">IF(--INDEX('Raw Data'!$A$4:E$998,$F1074,8)= 0, 1, 0)</f>
        <v>#NUM!</v>
      </c>
      <c r="P1074" t="e">
        <f t="array" ref="P1074">IF(--INDEX('Raw Data'!$A$4:F$998,$F1074,8)= 1, 1, 0)</f>
        <v>#NUM!</v>
      </c>
      <c r="Q1074" t="e">
        <f t="array" ref="Q1074">IF(--INDEX('Raw Data'!$A$4:G$998,$F1074,13)= 1, 1, 0)</f>
        <v>#NUM!</v>
      </c>
      <c r="R1074" t="e">
        <f t="array" ref="R1074">IF(--INDEX('Raw Data'!$A$4:H$998,$F1074,14)= 1, 1, 0)</f>
        <v>#NUM!</v>
      </c>
      <c r="S1074" t="e">
        <f t="array" ref="S1074">IF(--INDEX('Raw Data'!$A$4:I$998,$F1074,15)= 1, 1, 0)</f>
        <v>#NUM!</v>
      </c>
      <c r="T1074" t="e">
        <f t="array" ref="T1074">IF(--INDEX('Raw Data'!$A$4:I$998,$F1074,15)= 1, 1, 0)</f>
        <v>#NUM!</v>
      </c>
      <c r="U1074" t="e">
        <f t="array" ref="U1074">IF(--INDEX('Raw Data'!$A$4:J$998,$F1074,16)= 1, 1, 0)</f>
        <v>#NUM!</v>
      </c>
      <c r="V1074" t="e">
        <f t="array" ref="V1074">IF(--INDEX('Raw Data'!$A$4:K$998,$F1074,17)= 1, 1, 0)</f>
        <v>#NUM!</v>
      </c>
      <c r="W1074" t="e">
        <f t="array" ref="W1074">INDEX('Raw Data'!$A:$O,$F1074,19)</f>
        <v>#NUM!</v>
      </c>
      <c r="X1074" t="e">
        <f t="array" ref="X1074">INDEX('Raw Data'!$A:$O,$F1074,20)</f>
        <v>#NUM!</v>
      </c>
      <c r="Y1074" t="e">
        <f t="array" ref="Y1074">INDEX('Raw Data'!$A:$O,F1074,21)</f>
        <v>#NUM!</v>
      </c>
      <c r="Z1074" t="e">
        <f t="array" ref="Z1074">INDEX('Raw Data'!$A:$O,$F1074,3)</f>
        <v>#NUM!</v>
      </c>
      <c r="AA1074" t="e">
        <f t="array" ref="AA1074">INDEX('Raw Data'!$A:$O,$F1074,22)</f>
        <v>#NUM!</v>
      </c>
      <c r="AB1074" t="e">
        <f t="array" ref="AB1074">INDEX('Raw Data'!$A:$O,$F1074,23)</f>
        <v>#NUM!</v>
      </c>
      <c r="AM1074" s="21"/>
      <c r="AR1074" s="25"/>
    </row>
    <row r="1075" spans="1:44" x14ac:dyDescent="0.25">
      <c r="F1075" t="e">
        <f t="array" ref="F1075">SMALL(IF('Raw Data'!A:A=C1067,ROW('Raw Data'!A:A)),ROW('Raw Data'!$8:$8))</f>
        <v>#NUM!</v>
      </c>
      <c r="G1075" t="e">
        <f t="array" ref="G1075">INDEX('Raw Data'!A:A,F1075,9)</f>
        <v>#NUM!</v>
      </c>
      <c r="H1075" t="e">
        <f t="array" ref="H1075">INDEX('Raw Data'!A:A,F1075,10)</f>
        <v>#NUM!</v>
      </c>
      <c r="I1075" t="e">
        <f t="array" ref="I1075">INDEX('Raw Data'!$A:A,$F1075,11)</f>
        <v>#NUM!</v>
      </c>
      <c r="J1075" t="e">
        <f t="array" ref="J1075">INDEX('Raw Data'!$A:A,F1075,12)</f>
        <v>#NUM!</v>
      </c>
      <c r="K1075" t="e">
        <f t="array" ref="K1075">(--INDEX('Raw Data'!$A$4:B$998,F1075,4))</f>
        <v>#NUM!</v>
      </c>
      <c r="L1075" t="e">
        <f t="array" ref="L1075">(--INDEX('Raw Data'!$A$4:B$998,F1075,5))</f>
        <v>#NUM!</v>
      </c>
      <c r="M1075" t="e">
        <f t="array" ref="M1075">(--INDEX('Raw Data'!$A$4:D$998,$F1075,6))</f>
        <v>#NUM!</v>
      </c>
      <c r="N1075" t="e">
        <f t="array" ref="N1075">(--INDEX('Raw Data'!$A$4:D$998,$F1075,7))</f>
        <v>#NUM!</v>
      </c>
      <c r="O1075" t="e">
        <f t="array" ref="O1075">IF(--INDEX('Raw Data'!$A$4:E$998,$F1075,8)= 0, 1, 0)</f>
        <v>#NUM!</v>
      </c>
      <c r="P1075" t="e">
        <f t="array" ref="P1075">IF(--INDEX('Raw Data'!$A$4:F$998,$F1075,8)= 1, 1, 0)</f>
        <v>#NUM!</v>
      </c>
      <c r="Q1075" t="e">
        <f t="array" ref="Q1075">IF(--INDEX('Raw Data'!$A$4:G$998,$F1075,13)= 1, 1, 0)</f>
        <v>#NUM!</v>
      </c>
      <c r="R1075" t="e">
        <f t="array" ref="R1075">IF(--INDEX('Raw Data'!$A$4:H$998,$F1075,14)= 1, 1, 0)</f>
        <v>#NUM!</v>
      </c>
      <c r="S1075" t="e">
        <f t="array" ref="S1075">IF(--INDEX('Raw Data'!$A$4:I$998,$F1075,15)= 1, 1, 0)</f>
        <v>#NUM!</v>
      </c>
      <c r="T1075" t="e">
        <f t="array" ref="T1075">IF(--INDEX('Raw Data'!$A$4:I$998,$F1075,15)= 1, 1, 0)</f>
        <v>#NUM!</v>
      </c>
      <c r="U1075" t="e">
        <f t="array" ref="U1075">IF(--INDEX('Raw Data'!$A$4:J$998,$F1075,16)= 1, 1, 0)</f>
        <v>#NUM!</v>
      </c>
      <c r="V1075" t="e">
        <f t="array" ref="V1075">IF(--INDEX('Raw Data'!$A$4:K$998,$F1075,17)= 1, 1, 0)</f>
        <v>#NUM!</v>
      </c>
      <c r="W1075" t="e">
        <f t="array" ref="W1075">INDEX('Raw Data'!$A:$O,$F1075,19)</f>
        <v>#NUM!</v>
      </c>
      <c r="X1075" t="e">
        <f t="array" ref="X1075">INDEX('Raw Data'!$A:$O,$F1075,20)</f>
        <v>#NUM!</v>
      </c>
      <c r="Y1075" t="e">
        <f t="array" ref="Y1075">INDEX('Raw Data'!$A:$O,F1075,21)</f>
        <v>#NUM!</v>
      </c>
      <c r="Z1075" t="e">
        <f t="array" ref="Z1075">INDEX('Raw Data'!$A:$O,$F1075,3)</f>
        <v>#NUM!</v>
      </c>
      <c r="AA1075" t="e">
        <f t="array" ref="AA1075">INDEX('Raw Data'!$A:$O,$F1075,22)</f>
        <v>#NUM!</v>
      </c>
      <c r="AB1075" t="e">
        <f t="array" ref="AB1075">INDEX('Raw Data'!$A:$O,$F1075,23)</f>
        <v>#NUM!</v>
      </c>
      <c r="AR1075" s="25"/>
    </row>
    <row r="1076" spans="1:44" x14ac:dyDescent="0.25">
      <c r="F1076" t="e">
        <f t="array" ref="F1076">SMALL(IF('Raw Data'!A:A=C1067,ROW('Raw Data'!A:A)),ROW('Raw Data'!$9:$9))</f>
        <v>#NUM!</v>
      </c>
      <c r="G1076" t="e">
        <f t="array" ref="G1076">INDEX('Raw Data'!A:A,F1076,9)</f>
        <v>#NUM!</v>
      </c>
      <c r="H1076" t="e">
        <f t="array" ref="H1076">INDEX('Raw Data'!A:A,F1076,10)</f>
        <v>#NUM!</v>
      </c>
      <c r="I1076" t="e">
        <f t="array" ref="I1076">INDEX('Raw Data'!$A:A,$F1076,11)</f>
        <v>#NUM!</v>
      </c>
      <c r="J1076" t="e">
        <f t="array" ref="J1076">INDEX('Raw Data'!$A:A,F1076,12)</f>
        <v>#NUM!</v>
      </c>
      <c r="K1076" t="e">
        <f t="array" ref="K1076">(--INDEX('Raw Data'!$A$4:B$998,F1076,4))</f>
        <v>#NUM!</v>
      </c>
      <c r="L1076" t="e">
        <f t="array" ref="L1076">(--INDEX('Raw Data'!$A$4:B$998,F1076,5))</f>
        <v>#NUM!</v>
      </c>
      <c r="M1076" t="e">
        <f t="array" ref="M1076">(--INDEX('Raw Data'!$A$4:D$998,$F1076,6))</f>
        <v>#NUM!</v>
      </c>
      <c r="N1076" t="e">
        <f t="array" ref="N1076">(--INDEX('Raw Data'!$A$4:D$998,$F1076,7))</f>
        <v>#NUM!</v>
      </c>
      <c r="O1076" t="e">
        <f t="array" ref="O1076">IF(--INDEX('Raw Data'!$A$4:E$998,$F1076,8)= 0, 1, 0)</f>
        <v>#NUM!</v>
      </c>
      <c r="P1076" t="e">
        <f t="array" ref="P1076">IF(--INDEX('Raw Data'!$A$4:F$998,$F1076,8)= 1, 1, 0)</f>
        <v>#NUM!</v>
      </c>
      <c r="Q1076" t="e">
        <f t="array" ref="Q1076">IF(--INDEX('Raw Data'!$A$4:G$998,$F1076,13)= 1, 1, 0)</f>
        <v>#NUM!</v>
      </c>
      <c r="R1076" t="e">
        <f t="array" ref="R1076">IF(--INDEX('Raw Data'!$A$4:H$998,$F1076,14)= 1, 1, 0)</f>
        <v>#NUM!</v>
      </c>
      <c r="S1076" t="e">
        <f t="array" ref="S1076">IF(--INDEX('Raw Data'!$A$4:I$998,$F1076,15)= 1, 1, 0)</f>
        <v>#NUM!</v>
      </c>
      <c r="T1076" t="e">
        <f t="array" ref="T1076">IF(--INDEX('Raw Data'!$A$4:I$998,$F1076,15)= 1, 1, 0)</f>
        <v>#NUM!</v>
      </c>
      <c r="U1076" t="e">
        <f t="array" ref="U1076">IF(--INDEX('Raw Data'!$A$4:J$998,$F1076,16)= 1, 1, 0)</f>
        <v>#NUM!</v>
      </c>
      <c r="V1076" t="e">
        <f t="array" ref="V1076">IF(--INDEX('Raw Data'!$A$4:K$998,$F1076,17)= 1, 1, 0)</f>
        <v>#NUM!</v>
      </c>
      <c r="W1076" t="e">
        <f t="array" ref="W1076">INDEX('Raw Data'!$A:$O,$F1076,19)</f>
        <v>#NUM!</v>
      </c>
      <c r="X1076" t="e">
        <f t="array" ref="X1076">INDEX('Raw Data'!$A:$O,$F1076,20)</f>
        <v>#NUM!</v>
      </c>
      <c r="Y1076" t="e">
        <f t="array" ref="Y1076">INDEX('Raw Data'!$A:$O,F1076,21)</f>
        <v>#NUM!</v>
      </c>
      <c r="Z1076" t="e">
        <f t="array" ref="Z1076">INDEX('Raw Data'!$A:$O,$F1076,3)</f>
        <v>#NUM!</v>
      </c>
      <c r="AA1076" t="e">
        <f t="array" ref="AA1076">INDEX('Raw Data'!$A:$O,$F1076,22)</f>
        <v>#NUM!</v>
      </c>
      <c r="AB1076" t="e">
        <f t="array" ref="AB1076">INDEX('Raw Data'!$A:$O,$F1076,23)</f>
        <v>#NUM!</v>
      </c>
      <c r="AR1076" s="25"/>
    </row>
    <row r="1077" spans="1:44" x14ac:dyDescent="0.25">
      <c r="F1077" t="e">
        <f t="array" ref="F1077">SMALL(IF('Raw Data'!A:A=C1067,ROW('Raw Data'!A:A)),ROW('Raw Data'!$10:$10))</f>
        <v>#NUM!</v>
      </c>
      <c r="G1077" t="e">
        <f t="array" ref="G1077">INDEX('Raw Data'!A:A,F1077,9)</f>
        <v>#NUM!</v>
      </c>
      <c r="H1077" t="e">
        <f t="array" ref="H1077">INDEX('Raw Data'!A:A,F1077,10)</f>
        <v>#NUM!</v>
      </c>
      <c r="I1077" t="e">
        <f t="array" ref="I1077">INDEX('Raw Data'!$A:A,$F1077,11)</f>
        <v>#NUM!</v>
      </c>
      <c r="J1077" t="e">
        <f t="array" ref="J1077">INDEX('Raw Data'!$A:A,F1077,12)</f>
        <v>#NUM!</v>
      </c>
      <c r="K1077" t="e">
        <f t="array" ref="K1077">(--INDEX('Raw Data'!$A$4:B$998,F1077,4))</f>
        <v>#NUM!</v>
      </c>
      <c r="L1077" t="e">
        <f t="array" ref="L1077">(--INDEX('Raw Data'!$A$4:B$998,F1077,5))</f>
        <v>#NUM!</v>
      </c>
      <c r="M1077" t="e">
        <f t="array" ref="M1077">(--INDEX('Raw Data'!$A$4:D$998,$F1077,6))</f>
        <v>#NUM!</v>
      </c>
      <c r="N1077" t="e">
        <f t="array" ref="N1077">(--INDEX('Raw Data'!$A$4:D$998,$F1077,7))</f>
        <v>#NUM!</v>
      </c>
      <c r="O1077" t="e">
        <f t="array" ref="O1077">IF(--INDEX('Raw Data'!$A$4:E$998,$F1077,8)= 0, 1, 0)</f>
        <v>#NUM!</v>
      </c>
      <c r="P1077" t="e">
        <f t="array" ref="P1077">IF(--INDEX('Raw Data'!$A$4:F$998,$F1077,8)= 1, 1, 0)</f>
        <v>#NUM!</v>
      </c>
      <c r="Q1077" t="e">
        <f t="array" ref="Q1077">IF(--INDEX('Raw Data'!$A$4:G$998,$F1077,13)= 1, 1, 0)</f>
        <v>#NUM!</v>
      </c>
      <c r="R1077" t="e">
        <f t="array" ref="R1077">IF(--INDEX('Raw Data'!$A$4:H$998,$F1077,14)= 1, 1, 0)</f>
        <v>#NUM!</v>
      </c>
      <c r="S1077" t="e">
        <f t="array" ref="S1077">IF(--INDEX('Raw Data'!$A$4:I$998,$F1077,15)= 1, 1, 0)</f>
        <v>#NUM!</v>
      </c>
      <c r="T1077" t="e">
        <f t="array" ref="T1077">IF(--INDEX('Raw Data'!$A$4:I$998,$F1077,15)= 1, 1, 0)</f>
        <v>#NUM!</v>
      </c>
      <c r="U1077" t="e">
        <f t="array" ref="U1077">IF(--INDEX('Raw Data'!$A$4:J$998,$F1077,16)= 1, 1, 0)</f>
        <v>#NUM!</v>
      </c>
      <c r="V1077" t="e">
        <f t="array" ref="V1077">IF(--INDEX('Raw Data'!$A$4:K$998,$F1077,17)= 1, 1, 0)</f>
        <v>#NUM!</v>
      </c>
      <c r="W1077" t="e">
        <f t="array" ref="W1077">INDEX('Raw Data'!$A:$O,$F1077,19)</f>
        <v>#NUM!</v>
      </c>
      <c r="X1077" t="e">
        <f t="array" ref="X1077">INDEX('Raw Data'!$A:$O,$F1077,20)</f>
        <v>#NUM!</v>
      </c>
      <c r="Y1077" t="e">
        <f t="array" ref="Y1077">INDEX('Raw Data'!$A:$O,F1077,21)</f>
        <v>#NUM!</v>
      </c>
      <c r="Z1077" t="e">
        <f t="array" ref="Z1077">INDEX('Raw Data'!$A:$O,$F1077,3)</f>
        <v>#NUM!</v>
      </c>
      <c r="AA1077" t="e">
        <f t="array" ref="AA1077">INDEX('Raw Data'!$A:$O,$F1077,22)</f>
        <v>#NUM!</v>
      </c>
      <c r="AB1077" t="e">
        <f t="array" ref="AB1077">INDEX('Raw Data'!$A:$O,$F1077,23)</f>
        <v>#NUM!</v>
      </c>
      <c r="AR1077" s="25"/>
    </row>
    <row r="1078" spans="1:44" x14ac:dyDescent="0.25">
      <c r="F1078" t="e">
        <f t="array" ref="F1078">SMALL(IF('Raw Data'!A:A=C1067,ROW('Raw Data'!A:A)),ROW('Raw Data'!$11:$11))</f>
        <v>#NUM!</v>
      </c>
      <c r="G1078" t="e">
        <f t="array" ref="G1078">INDEX('Raw Data'!A:A,F1078,9)</f>
        <v>#NUM!</v>
      </c>
      <c r="H1078" t="e">
        <f t="array" ref="H1078">INDEX('Raw Data'!A:A,F1078,10)</f>
        <v>#NUM!</v>
      </c>
      <c r="I1078" t="e">
        <f t="array" ref="I1078">INDEX('Raw Data'!$A:A,$F1078,11)</f>
        <v>#NUM!</v>
      </c>
      <c r="J1078" t="e">
        <f t="array" ref="J1078">INDEX('Raw Data'!$A:A,F1078,12)</f>
        <v>#NUM!</v>
      </c>
      <c r="K1078" t="e">
        <f t="array" ref="K1078">(--INDEX('Raw Data'!$A$4:B$998,F1078,4))</f>
        <v>#NUM!</v>
      </c>
      <c r="L1078" t="e">
        <f t="array" ref="L1078">(--INDEX('Raw Data'!$A$4:B$998,F1078,5))</f>
        <v>#NUM!</v>
      </c>
      <c r="M1078" t="e">
        <f t="array" ref="M1078">(--INDEX('Raw Data'!$A$4:D$998,$F1078,6))</f>
        <v>#NUM!</v>
      </c>
      <c r="N1078" t="e">
        <f t="array" ref="N1078">(--INDEX('Raw Data'!$A$4:D$998,$F1078,7))</f>
        <v>#NUM!</v>
      </c>
      <c r="O1078" t="e">
        <f t="array" ref="O1078">IF(--INDEX('Raw Data'!$A$4:E$998,$F1078,8)= 0, 1, 0)</f>
        <v>#NUM!</v>
      </c>
      <c r="P1078" t="e">
        <f t="array" ref="P1078">IF(--INDEX('Raw Data'!$A$4:F$998,$F1078,8)= 1, 1, 0)</f>
        <v>#NUM!</v>
      </c>
      <c r="Q1078" t="e">
        <f t="array" ref="Q1078">IF(--INDEX('Raw Data'!$A$4:G$998,$F1078,13)= 1, 1, 0)</f>
        <v>#NUM!</v>
      </c>
      <c r="R1078" t="e">
        <f t="array" ref="R1078">IF(--INDEX('Raw Data'!$A$4:H$998,$F1078,14)= 1, 1, 0)</f>
        <v>#NUM!</v>
      </c>
      <c r="S1078" t="e">
        <f t="array" ref="S1078">IF(--INDEX('Raw Data'!$A$4:I$998,$F1078,15)= 1, 1, 0)</f>
        <v>#NUM!</v>
      </c>
      <c r="T1078" t="e">
        <f t="array" ref="T1078">IF(--INDEX('Raw Data'!$A$4:I$998,$F1078,15)= 1, 1, 0)</f>
        <v>#NUM!</v>
      </c>
      <c r="U1078" t="e">
        <f t="array" ref="U1078">IF(--INDEX('Raw Data'!$A$4:J$998,$F1078,16)= 1, 1, 0)</f>
        <v>#NUM!</v>
      </c>
      <c r="V1078" t="e">
        <f t="array" ref="V1078">IF(--INDEX('Raw Data'!$A$4:K$998,$F1078,17)= 1, 1, 0)</f>
        <v>#NUM!</v>
      </c>
      <c r="W1078" t="e">
        <f t="array" ref="W1078">INDEX('Raw Data'!$A:$O,$F1078,19)</f>
        <v>#NUM!</v>
      </c>
      <c r="X1078" t="e">
        <f t="array" ref="X1078">INDEX('Raw Data'!$A:$O,$F1078,20)</f>
        <v>#NUM!</v>
      </c>
      <c r="Y1078" t="e">
        <f t="array" ref="Y1078">INDEX('Raw Data'!$A:$O,F1078,21)</f>
        <v>#NUM!</v>
      </c>
      <c r="Z1078" t="e">
        <f t="array" ref="Z1078">INDEX('Raw Data'!$A:$O,$F1078,3)</f>
        <v>#NUM!</v>
      </c>
      <c r="AA1078" t="e">
        <f t="array" ref="AA1078">INDEX('Raw Data'!$A:$O,$F1078,22)</f>
        <v>#NUM!</v>
      </c>
      <c r="AB1078" t="e">
        <f t="array" ref="AB1078">INDEX('Raw Data'!$A:$O,$F1078,23)</f>
        <v>#NUM!</v>
      </c>
      <c r="AR1078" s="25"/>
    </row>
    <row r="1079" spans="1:44" x14ac:dyDescent="0.25">
      <c r="F1079" t="e">
        <f t="array" ref="F1079">SMALL(IF('Raw Data'!A:A=C1067,ROW('Raw Data'!A:A)),ROW('Raw Data'!$12:$12))</f>
        <v>#NUM!</v>
      </c>
      <c r="G1079" t="e">
        <f t="array" ref="G1079">INDEX('Raw Data'!A:A,F1079,9)</f>
        <v>#NUM!</v>
      </c>
      <c r="H1079" t="e">
        <f t="array" ref="H1079">INDEX('Raw Data'!A:A,F1079,10)</f>
        <v>#NUM!</v>
      </c>
      <c r="I1079" t="e">
        <f t="array" ref="I1079">INDEX('Raw Data'!$A:A,$F1079,11)</f>
        <v>#NUM!</v>
      </c>
      <c r="J1079" t="e">
        <f t="array" ref="J1079">INDEX('Raw Data'!$A:A,F1079,12)</f>
        <v>#NUM!</v>
      </c>
      <c r="K1079" t="e">
        <f t="array" ref="K1079">(--INDEX('Raw Data'!$A$4:B$998,F1079,4))</f>
        <v>#NUM!</v>
      </c>
      <c r="L1079" t="e">
        <f t="array" ref="L1079">(--INDEX('Raw Data'!$A$4:B$998,F1079,5))</f>
        <v>#NUM!</v>
      </c>
      <c r="M1079" t="e">
        <f t="array" ref="M1079">(--INDEX('Raw Data'!$A$4:D$998,$F1079,6))</f>
        <v>#NUM!</v>
      </c>
      <c r="N1079" t="e">
        <f t="array" ref="N1079">(--INDEX('Raw Data'!$A$4:D$998,$F1079,7))</f>
        <v>#NUM!</v>
      </c>
      <c r="O1079" t="e">
        <f t="array" ref="O1079">IF(--INDEX('Raw Data'!$A$4:E$998,$F1079,8)= 0, 1, 0)</f>
        <v>#NUM!</v>
      </c>
      <c r="P1079" t="e">
        <f t="array" ref="P1079">IF(--INDEX('Raw Data'!$A$4:F$998,$F1079,8)= 1, 1, 0)</f>
        <v>#NUM!</v>
      </c>
      <c r="Q1079" t="e">
        <f t="array" ref="Q1079">IF(--INDEX('Raw Data'!$A$4:G$998,$F1079,13)= 1, 1, 0)</f>
        <v>#NUM!</v>
      </c>
      <c r="R1079" t="e">
        <f t="array" ref="R1079">IF(--INDEX('Raw Data'!$A$4:H$998,$F1079,14)= 1, 1, 0)</f>
        <v>#NUM!</v>
      </c>
      <c r="S1079" t="e">
        <f t="array" ref="S1079">IF(--INDEX('Raw Data'!$A$4:I$998,$F1079,15)= 1, 1, 0)</f>
        <v>#NUM!</v>
      </c>
      <c r="T1079" t="e">
        <f t="array" ref="T1079">IF(--INDEX('Raw Data'!$A$4:I$998,$F1079,15)= 1, 1, 0)</f>
        <v>#NUM!</v>
      </c>
      <c r="U1079" t="e">
        <f t="array" ref="U1079">IF(--INDEX('Raw Data'!$A$4:J$998,$F1079,16)= 1, 1, 0)</f>
        <v>#NUM!</v>
      </c>
      <c r="V1079" t="e">
        <f t="array" ref="V1079">IF(--INDEX('Raw Data'!$A$4:K$998,$F1079,17)= 1, 1, 0)</f>
        <v>#NUM!</v>
      </c>
      <c r="W1079" t="e">
        <f t="array" ref="W1079">INDEX('Raw Data'!$A:$O,$F1079,19)</f>
        <v>#NUM!</v>
      </c>
      <c r="X1079" t="e">
        <f t="array" ref="X1079">INDEX('Raw Data'!$A:$O,$F1079,20)</f>
        <v>#NUM!</v>
      </c>
      <c r="Y1079" t="e">
        <f t="array" ref="Y1079">INDEX('Raw Data'!$A:$O,F1079,21)</f>
        <v>#NUM!</v>
      </c>
      <c r="Z1079" t="e">
        <f t="array" ref="Z1079">INDEX('Raw Data'!$A:$O,$F1079,3)</f>
        <v>#NUM!</v>
      </c>
      <c r="AA1079" t="e">
        <f t="array" ref="AA1079">INDEX('Raw Data'!$A:$O,$F1079,22)</f>
        <v>#NUM!</v>
      </c>
      <c r="AB1079" t="e">
        <f t="array" ref="AB1079">INDEX('Raw Data'!$A:$O,$F1079,23)</f>
        <v>#NUM!</v>
      </c>
      <c r="AR1079" s="25"/>
    </row>
    <row r="1080" spans="1:44" x14ac:dyDescent="0.25">
      <c r="F1080" t="e">
        <f t="array" ref="F1080">SMALL(IF('Raw Data'!A:A=C1067,ROW('Raw Data'!A:A)),ROW('Raw Data'!$13:$13))</f>
        <v>#NUM!</v>
      </c>
      <c r="G1080" t="e">
        <f t="array" ref="G1080">INDEX('Raw Data'!A:A,F1080,9)</f>
        <v>#NUM!</v>
      </c>
      <c r="H1080" t="e">
        <f t="array" ref="H1080">INDEX('Raw Data'!A:A,F1080,10)</f>
        <v>#NUM!</v>
      </c>
      <c r="I1080" t="e">
        <f t="array" ref="I1080">INDEX('Raw Data'!$A:A,$F1080,11)</f>
        <v>#NUM!</v>
      </c>
      <c r="J1080" t="e">
        <f t="array" ref="J1080">INDEX('Raw Data'!$A:A,F1080,12)</f>
        <v>#NUM!</v>
      </c>
      <c r="K1080" t="e">
        <f t="array" ref="K1080">(--INDEX('Raw Data'!$A$4:B$998,F1080,4))</f>
        <v>#NUM!</v>
      </c>
      <c r="L1080" t="e">
        <f t="array" ref="L1080">(--INDEX('Raw Data'!$A$4:B$998,F1080,5))</f>
        <v>#NUM!</v>
      </c>
      <c r="M1080" t="e">
        <f t="array" ref="M1080">(--INDEX('Raw Data'!$A$4:D$998,$F1080,6))</f>
        <v>#NUM!</v>
      </c>
      <c r="N1080" t="e">
        <f t="array" ref="N1080">(--INDEX('Raw Data'!$A$4:D$998,$F1080,7))</f>
        <v>#NUM!</v>
      </c>
      <c r="O1080" t="e">
        <f t="array" ref="O1080">IF(--INDEX('Raw Data'!$A$4:E$998,$F1080,8)= 0, 1, 0)</f>
        <v>#NUM!</v>
      </c>
      <c r="P1080" t="e">
        <f t="array" ref="P1080">IF(--INDEX('Raw Data'!$A$4:F$998,$F1080,8)= 1, 1, 0)</f>
        <v>#NUM!</v>
      </c>
      <c r="Q1080" t="e">
        <f t="array" ref="Q1080">IF(--INDEX('Raw Data'!$A$4:G$998,$F1080,13)= 1, 1, 0)</f>
        <v>#NUM!</v>
      </c>
      <c r="R1080" t="e">
        <f t="array" ref="R1080">IF(--INDEX('Raw Data'!$A$4:H$998,$F1080,14)= 1, 1, 0)</f>
        <v>#NUM!</v>
      </c>
      <c r="S1080" t="e">
        <f t="array" ref="S1080">IF(--INDEX('Raw Data'!$A$4:I$998,$F1080,15)= 1, 1, 0)</f>
        <v>#NUM!</v>
      </c>
      <c r="T1080" t="e">
        <f t="array" ref="T1080">IF(--INDEX('Raw Data'!$A$4:I$998,$F1080,15)= 1, 1, 0)</f>
        <v>#NUM!</v>
      </c>
      <c r="U1080" t="e">
        <f t="array" ref="U1080">IF(--INDEX('Raw Data'!$A$4:J$998,$F1080,16)= 1, 1, 0)</f>
        <v>#NUM!</v>
      </c>
      <c r="V1080" t="e">
        <f t="array" ref="V1080">IF(--INDEX('Raw Data'!$A$4:K$998,$F1080,17)= 1, 1, 0)</f>
        <v>#NUM!</v>
      </c>
      <c r="W1080" t="e">
        <f t="array" ref="W1080">INDEX('Raw Data'!$A:$O,$F1080,19)</f>
        <v>#NUM!</v>
      </c>
      <c r="X1080" t="e">
        <f t="array" ref="X1080">INDEX('Raw Data'!$A:$O,$F1080,20)</f>
        <v>#NUM!</v>
      </c>
      <c r="Y1080" t="e">
        <f t="array" ref="Y1080">INDEX('Raw Data'!$A:$O,F1080,21)</f>
        <v>#NUM!</v>
      </c>
      <c r="Z1080" t="e">
        <f t="array" ref="Z1080">INDEX('Raw Data'!$A:$O,$F1080,3)</f>
        <v>#NUM!</v>
      </c>
      <c r="AA1080" t="e">
        <f t="array" ref="AA1080">INDEX('Raw Data'!$A:$O,$F1080,22)</f>
        <v>#NUM!</v>
      </c>
      <c r="AB1080" t="e">
        <f t="array" ref="AB1080">INDEX('Raw Data'!$A:$O,$F1080,23)</f>
        <v>#NUM!</v>
      </c>
      <c r="AR1080" s="25"/>
    </row>
    <row r="1081" spans="1:44" x14ac:dyDescent="0.25">
      <c r="F1081" t="e">
        <f t="array" ref="F1081">SMALL(IF('Raw Data'!A:A=C1067,ROW('Raw Data'!A:A)),ROW('Raw Data'!$14:$14))</f>
        <v>#NUM!</v>
      </c>
      <c r="G1081" t="e">
        <f t="array" ref="G1081">INDEX('Raw Data'!A:A,F1081,9)</f>
        <v>#NUM!</v>
      </c>
      <c r="H1081" t="e">
        <f t="array" ref="H1081">INDEX('Raw Data'!A:A,F1081,10)</f>
        <v>#NUM!</v>
      </c>
      <c r="I1081" t="e">
        <f t="array" ref="I1081">INDEX('Raw Data'!$A:A,$F1081,11)</f>
        <v>#NUM!</v>
      </c>
      <c r="J1081" t="e">
        <f t="array" ref="J1081">INDEX('Raw Data'!$A:A,F1081,12)</f>
        <v>#NUM!</v>
      </c>
      <c r="K1081" t="e">
        <f t="array" ref="K1081">(--INDEX('Raw Data'!$A$4:B$998,F1081,4))</f>
        <v>#NUM!</v>
      </c>
      <c r="L1081" t="e">
        <f t="array" ref="L1081">(--INDEX('Raw Data'!$A$4:B$998,F1081,5))</f>
        <v>#NUM!</v>
      </c>
      <c r="M1081" t="e">
        <f t="array" ref="M1081">(--INDEX('Raw Data'!$A$4:D$998,$F1081,6))</f>
        <v>#NUM!</v>
      </c>
      <c r="N1081" t="e">
        <f t="array" ref="N1081">(--INDEX('Raw Data'!$A$4:D$998,$F1081,7))</f>
        <v>#NUM!</v>
      </c>
      <c r="O1081" t="e">
        <f t="array" ref="O1081">IF(--INDEX('Raw Data'!$A$4:E$998,$F1081,8)= 0, 1, 0)</f>
        <v>#NUM!</v>
      </c>
      <c r="P1081" t="e">
        <f t="array" ref="P1081">IF(--INDEX('Raw Data'!$A$4:F$998,$F1081,8)= 1, 1, 0)</f>
        <v>#NUM!</v>
      </c>
      <c r="Q1081" t="e">
        <f t="array" ref="Q1081">IF(--INDEX('Raw Data'!$A$4:G$998,$F1081,13)= 1, 1, 0)</f>
        <v>#NUM!</v>
      </c>
      <c r="R1081" t="e">
        <f t="array" ref="R1081">IF(--INDEX('Raw Data'!$A$4:H$998,$F1081,14)= 1, 1, 0)</f>
        <v>#NUM!</v>
      </c>
      <c r="S1081" t="e">
        <f t="array" ref="S1081">IF(--INDEX('Raw Data'!$A$4:I$998,$F1081,15)= 1, 1, 0)</f>
        <v>#NUM!</v>
      </c>
      <c r="T1081" t="e">
        <f t="array" ref="T1081">IF(--INDEX('Raw Data'!$A$4:I$998,$F1081,15)= 1, 1, 0)</f>
        <v>#NUM!</v>
      </c>
      <c r="U1081" t="e">
        <f t="array" ref="U1081">IF(--INDEX('Raw Data'!$A$4:J$998,$F1081,16)= 1, 1, 0)</f>
        <v>#NUM!</v>
      </c>
      <c r="V1081" t="e">
        <f t="array" ref="V1081">IF(--INDEX('Raw Data'!$A$4:K$998,$F1081,17)= 1, 1, 0)</f>
        <v>#NUM!</v>
      </c>
      <c r="W1081" t="e">
        <f t="array" ref="W1081">INDEX('Raw Data'!$A:$O,$F1081,19)</f>
        <v>#NUM!</v>
      </c>
      <c r="X1081" t="e">
        <f t="array" ref="X1081">INDEX('Raw Data'!$A:$O,$F1081,20)</f>
        <v>#NUM!</v>
      </c>
      <c r="Y1081" t="e">
        <f t="array" ref="Y1081">INDEX('Raw Data'!$A:$O,F1081,21)</f>
        <v>#NUM!</v>
      </c>
      <c r="Z1081" t="e">
        <f t="array" ref="Z1081">INDEX('Raw Data'!$A:$O,$F1081,3)</f>
        <v>#NUM!</v>
      </c>
      <c r="AA1081" t="e">
        <f t="array" ref="AA1081">INDEX('Raw Data'!$A:$O,$F1081,22)</f>
        <v>#NUM!</v>
      </c>
      <c r="AB1081" t="e">
        <f t="array" ref="AB1081">INDEX('Raw Data'!$A:$O,$F1081,23)</f>
        <v>#NUM!</v>
      </c>
      <c r="AR1081" s="25"/>
    </row>
    <row r="1082" spans="1:44" x14ac:dyDescent="0.25">
      <c r="F1082" t="e">
        <f t="array" ref="F1082">SMALL(IF('Raw Data'!A:A=C1067,ROW('Raw Data'!A:A)),ROW('Raw Data'!$15:$15))</f>
        <v>#NUM!</v>
      </c>
      <c r="G1082" t="e">
        <f t="array" ref="G1082">INDEX('Raw Data'!A:A,F1082,9)</f>
        <v>#NUM!</v>
      </c>
      <c r="H1082" t="e">
        <f t="array" ref="H1082">INDEX('Raw Data'!A:A,F1082,10)</f>
        <v>#NUM!</v>
      </c>
      <c r="I1082" t="e">
        <f t="array" ref="I1082">INDEX('Raw Data'!$A:A,$F1082,11)</f>
        <v>#NUM!</v>
      </c>
      <c r="J1082" t="e">
        <f t="array" ref="J1082">INDEX('Raw Data'!$A:A,F1082,12)</f>
        <v>#NUM!</v>
      </c>
      <c r="K1082" t="e">
        <f t="array" ref="K1082">(--INDEX('Raw Data'!$A$4:B$998,F1082,4))</f>
        <v>#NUM!</v>
      </c>
      <c r="L1082" t="e">
        <f t="array" ref="L1082">(--INDEX('Raw Data'!$A$4:B$998,F1082,5))</f>
        <v>#NUM!</v>
      </c>
      <c r="M1082" t="e">
        <f t="array" ref="M1082">(--INDEX('Raw Data'!$A$4:D$998,$F1082,6))</f>
        <v>#NUM!</v>
      </c>
      <c r="N1082" t="e">
        <f t="array" ref="N1082">(--INDEX('Raw Data'!$A$4:D$998,$F1082,7))</f>
        <v>#NUM!</v>
      </c>
      <c r="O1082" t="e">
        <f t="array" ref="O1082">IF(--INDEX('Raw Data'!$A$4:E$998,$F1082,8)= 0, 1, 0)</f>
        <v>#NUM!</v>
      </c>
      <c r="P1082" t="e">
        <f t="array" ref="P1082">IF(--INDEX('Raw Data'!$A$4:F$998,$F1082,8)= 1, 1, 0)</f>
        <v>#NUM!</v>
      </c>
      <c r="Q1082" t="e">
        <f t="array" ref="Q1082">IF(--INDEX('Raw Data'!$A$4:G$998,$F1082,13)= 1, 1, 0)</f>
        <v>#NUM!</v>
      </c>
      <c r="R1082" t="e">
        <f t="array" ref="R1082">IF(--INDEX('Raw Data'!$A$4:H$998,$F1082,14)= 1, 1, 0)</f>
        <v>#NUM!</v>
      </c>
      <c r="S1082" t="e">
        <f t="array" ref="S1082">IF(--INDEX('Raw Data'!$A$4:I$998,$F1082,15)= 1, 1, 0)</f>
        <v>#NUM!</v>
      </c>
      <c r="T1082" t="e">
        <f t="array" ref="T1082">IF(--INDEX('Raw Data'!$A$4:I$998,$F1082,15)= 1, 1, 0)</f>
        <v>#NUM!</v>
      </c>
      <c r="U1082" t="e">
        <f t="array" ref="U1082">IF(--INDEX('Raw Data'!$A$4:J$998,$F1082,16)= 1, 1, 0)</f>
        <v>#NUM!</v>
      </c>
      <c r="V1082" t="e">
        <f t="array" ref="V1082">IF(--INDEX('Raw Data'!$A$4:K$998,$F1082,17)= 1, 1, 0)</f>
        <v>#NUM!</v>
      </c>
      <c r="W1082" t="e">
        <f t="array" ref="W1082">INDEX('Raw Data'!$A:$O,$F1082,19)</f>
        <v>#NUM!</v>
      </c>
      <c r="X1082" t="e">
        <f t="array" ref="X1082">INDEX('Raw Data'!$A:$O,$F1082,20)</f>
        <v>#NUM!</v>
      </c>
      <c r="Y1082" t="e">
        <f t="array" ref="Y1082">INDEX('Raw Data'!$A:$O,F1082,21)</f>
        <v>#NUM!</v>
      </c>
      <c r="Z1082" t="e">
        <f t="array" ref="Z1082">INDEX('Raw Data'!$A:$O,$F1082,3)</f>
        <v>#NUM!</v>
      </c>
      <c r="AA1082" t="e">
        <f t="array" ref="AA1082">INDEX('Raw Data'!$A:$O,$F1082,22)</f>
        <v>#NUM!</v>
      </c>
      <c r="AB1082" t="e">
        <f t="array" ref="AB1082">INDEX('Raw Data'!$A:$O,$F1082,23)</f>
        <v>#NUM!</v>
      </c>
      <c r="AR1082" s="25"/>
    </row>
    <row r="1083" spans="1:44" x14ac:dyDescent="0.25">
      <c r="A1083" t="s">
        <v>55</v>
      </c>
      <c r="C1083" s="2" t="e">
        <f>B1073/B1072</f>
        <v>#DIV/0!</v>
      </c>
      <c r="F1083">
        <f t="array" ref="F1083">COUNTIF(F1068:F1082,"&gt;0")</f>
        <v>0</v>
      </c>
      <c r="G1083">
        <f t="array" ref="G1083">SUMIF(G1068:G1082,"&gt;0")</f>
        <v>0</v>
      </c>
      <c r="H1083">
        <f t="array" ref="H1083">SUMIF(H1068:H1082,"&gt;0")</f>
        <v>0</v>
      </c>
      <c r="I1083">
        <f t="array" ref="I1083">SUMIF(I1068:I1082,"&gt;0")</f>
        <v>0</v>
      </c>
      <c r="J1083">
        <f t="array" ref="J1083">SUMIF(J1068:J1082,"&gt;0")</f>
        <v>0</v>
      </c>
      <c r="K1083">
        <f t="array" ref="K1083">SUMIF(K1068:K1082,"&gt;0")</f>
        <v>0</v>
      </c>
      <c r="L1083">
        <f t="array" ref="L1083">SUMIF(L1068:L1082,"&gt;0")</f>
        <v>0</v>
      </c>
      <c r="M1083">
        <f t="array" ref="M1083">SUMIF(M1068:M1082,"&gt;0")</f>
        <v>0</v>
      </c>
      <c r="N1083">
        <f t="array" ref="N1083">SUMIF(N1068:N1082,"&gt;0")</f>
        <v>0</v>
      </c>
      <c r="O1083">
        <f t="array" ref="O1083">SUMIF(O1068:O1082,"&gt;0")</f>
        <v>0</v>
      </c>
      <c r="P1083">
        <f t="array" ref="P1083">SUMIF(P1068:P1082,"&gt;0")</f>
        <v>0</v>
      </c>
      <c r="Q1083">
        <f t="array" ref="Q1083">SUMIF(Q1068:Q1082,"&gt;0")</f>
        <v>0</v>
      </c>
      <c r="R1083">
        <f t="array" ref="R1083">SUMIF(R1068:R1082,"&gt;0")</f>
        <v>0</v>
      </c>
      <c r="S1083">
        <f t="array" ref="S1083">SUMIF(S1068:S1082,"&gt;0")</f>
        <v>0</v>
      </c>
      <c r="T1083">
        <f t="array" ref="T1083">SUMIF(T1068:T1082,"&gt;0")</f>
        <v>0</v>
      </c>
      <c r="U1083">
        <f t="array" ref="U1083">SUMIF(U1068:U1082,"&gt;0")</f>
        <v>0</v>
      </c>
      <c r="V1083">
        <f t="array" ref="V1083">SUMIF(V1068:V1082,"&gt;0")</f>
        <v>0</v>
      </c>
      <c r="W1083">
        <f t="array" ref="W1083">SUMIF(W1068:W1082,"&gt;0")</f>
        <v>0</v>
      </c>
      <c r="X1083">
        <f t="array" ref="X1083">SUMIF(X1068:X1082,"&gt;0")</f>
        <v>0</v>
      </c>
      <c r="Y1083">
        <f t="array" ref="Y1083">SUMIF(Y1068:Y1082,"&gt;0")</f>
        <v>0</v>
      </c>
      <c r="Z1083">
        <f t="array" ref="Z1083">SUMIF(Z1068:Z1082,"&gt;0")</f>
        <v>0</v>
      </c>
      <c r="AA1083">
        <f t="array" ref="AA1083">SUMIF(AA1068:AA1082,"&gt;0")</f>
        <v>0</v>
      </c>
      <c r="AB1083">
        <f t="array" ref="AB1083">SUMIF(AB1068:AB1082,"&gt;0")</f>
        <v>0</v>
      </c>
      <c r="AR1083" s="25"/>
    </row>
    <row r="1084" spans="1:44" x14ac:dyDescent="0.25">
      <c r="A1084" t="s">
        <v>58</v>
      </c>
      <c r="C1084" s="2">
        <f t="array" ref="C1084">IF((K1083+L1083)&lt;&gt;0, (L1083/(K1083+L1083)),0)</f>
        <v>0</v>
      </c>
      <c r="J1084" s="6">
        <f t="array" ref="J1084">J1083*10</f>
        <v>0</v>
      </c>
      <c r="K1084" s="6"/>
      <c r="P1084" t="s">
        <v>95</v>
      </c>
      <c r="Q1084" s="2" t="e">
        <f t="array" ref="Q1084">Q1083/$F1083</f>
        <v>#DIV/0!</v>
      </c>
      <c r="R1084" s="2" t="e">
        <f t="array" ref="R1084">R1083/$F1083</f>
        <v>#DIV/0!</v>
      </c>
      <c r="S1084" s="2" t="e">
        <f t="array" ref="S1084">S1083/$F1083</f>
        <v>#DIV/0!</v>
      </c>
      <c r="T1084" s="2" t="e">
        <f t="array" ref="T1084">T1083/$F1083</f>
        <v>#DIV/0!</v>
      </c>
      <c r="U1084" s="2" t="e">
        <f t="array" ref="U1084">U1083/$F1083</f>
        <v>#DIV/0!</v>
      </c>
      <c r="V1084" s="2" t="e">
        <f t="array" ref="V1084">V1083/$F1083</f>
        <v>#DIV/0!</v>
      </c>
      <c r="Z1084" s="2" t="e">
        <f t="array" ref="Z1084">Z1083/F1083</f>
        <v>#DIV/0!</v>
      </c>
      <c r="AR1084" s="25"/>
    </row>
    <row r="1085" spans="1:44" x14ac:dyDescent="0.25">
      <c r="A1085" t="s">
        <v>60</v>
      </c>
      <c r="C1085" s="2">
        <f t="array" ref="C1085">IF((M1083+N1083)&lt;&gt;0, (N1083/(M1083+N1083)),0)</f>
        <v>0</v>
      </c>
      <c r="J1085" s="6"/>
      <c r="K1085" s="6"/>
      <c r="AR1085" s="25"/>
    </row>
    <row r="1086" spans="1:44" ht="28.5" x14ac:dyDescent="0.45">
      <c r="A1086" t="s">
        <v>61</v>
      </c>
      <c r="C1086" s="2">
        <f t="array" ref="C1086">IF(((K1083+N1083+L1083+M1083)&lt;&gt;0), ((L1083+N1083)/(K1083+N1083+L1083+M1083)),0)</f>
        <v>0</v>
      </c>
      <c r="F1086" s="17" t="s">
        <v>106</v>
      </c>
      <c r="G1086" s="17" t="e">
        <f t="array" ref="G1086">'Weighting &amp; Ranking Sheet'!$B$3*Math!$C1084+'Weighting &amp; Ranking Sheet'!$B$4*Math!$C1085+'Weighting &amp; Ranking Sheet'!$B$5*Math!$C1086+'Weighting &amp; Ranking Sheet'!$B$6*Math!$C1087+'Weighting &amp; Ranking Sheet'!$B$7*Math!$C1071+'Weighting &amp; Ranking Sheet'!$B$8*Math!$C1083+'Weighting &amp; Ranking Sheet'!$B$9*Math!$C1090+'Weighting &amp; Ranking Sheet'!$B$10*Math!$C1088+'Weighting &amp; Ranking Sheet'!$B$11*Math!$C1089+'Weighting &amp; Ranking Sheet'!$B$12*Math!$C1091*0.01+'Weighting &amp; Ranking Sheet'!$B$13*Math!$Q1084+'Weighting &amp; Ranking Sheet'!$B$14*Math!$R1084+'Weighting &amp; Ranking Sheet'!$B$15*Math!$S1084+'Weighting &amp; Ranking Sheet'!$B$16*Math!$T1084+'Weighting &amp; Ranking Sheet'!$B$17*Math!$U1084+'Weighting &amp; Ranking Sheet'!$B$18*Math!$V1084+'Weighting &amp; Ranking Sheet'!$B$2*Math!$Z1084</f>
        <v>#DIV/0!</v>
      </c>
      <c r="J1086"/>
      <c r="K1086"/>
      <c r="AR1086" s="25"/>
    </row>
    <row r="1087" spans="1:44" x14ac:dyDescent="0.25">
      <c r="A1087" t="s">
        <v>62</v>
      </c>
      <c r="C1087" s="2">
        <f t="array" ref="C1087">IF((O1083+P1083&lt;&gt;0),(P1083/(O1083+P1083)), 0)</f>
        <v>0</v>
      </c>
      <c r="J1087"/>
      <c r="K1087"/>
      <c r="AR1087" s="25"/>
    </row>
    <row r="1088" spans="1:44" x14ac:dyDescent="0.25">
      <c r="A1088" t="s">
        <v>77</v>
      </c>
      <c r="C1088" s="8" t="e">
        <f t="array" ref="C1088">W1083/F1083</f>
        <v>#DIV/0!</v>
      </c>
      <c r="J1088"/>
      <c r="K1088"/>
      <c r="AR1088" s="23"/>
    </row>
    <row r="1089" spans="1:44" x14ac:dyDescent="0.25">
      <c r="A1089" t="s">
        <v>78</v>
      </c>
      <c r="C1089" s="8" t="e">
        <f t="array" ref="C1089">X1083/F1083</f>
        <v>#DIV/0!</v>
      </c>
      <c r="J1089"/>
      <c r="K1089"/>
    </row>
    <row r="1090" spans="1:44" x14ac:dyDescent="0.25">
      <c r="A1090" t="s">
        <v>91</v>
      </c>
      <c r="C1090" s="2" t="e">
        <f t="array" ref="C1090">(C1071+C1083)/2</f>
        <v>#DIV/0!</v>
      </c>
      <c r="J1090"/>
      <c r="K1090"/>
    </row>
    <row r="1091" spans="1:44" x14ac:dyDescent="0.25">
      <c r="A1091" t="s">
        <v>92</v>
      </c>
      <c r="C1091" s="8" t="e">
        <f t="array" ref="C1091">Y1083/F1083</f>
        <v>#DIV/0!</v>
      </c>
      <c r="J1091" s="6"/>
      <c r="K1091" s="6"/>
    </row>
    <row r="1092" spans="1:44" x14ac:dyDescent="0.25">
      <c r="C1092" s="8"/>
      <c r="J1092" s="6"/>
      <c r="K1092" s="6"/>
    </row>
    <row r="1093" spans="1:44" x14ac:dyDescent="0.25">
      <c r="C1093" s="8"/>
      <c r="J1093" s="6"/>
      <c r="K1093" s="6"/>
    </row>
    <row r="1094" spans="1:44" x14ac:dyDescent="0.25">
      <c r="C1094" s="8"/>
      <c r="J1094" s="6"/>
      <c r="K1094" s="6"/>
    </row>
    <row r="1095" spans="1:44" x14ac:dyDescent="0.25">
      <c r="A1095" t="s">
        <v>3</v>
      </c>
      <c r="C1095" s="5">
        <v>5105</v>
      </c>
      <c r="F1095" t="s">
        <v>33</v>
      </c>
    </row>
    <row r="1096" spans="1:44" x14ac:dyDescent="0.25">
      <c r="F1096" t="e">
        <f t="array" ref="F1096">SMALL(IF('Raw Data'!A:A=C1095,ROW('Raw Data'!A:A)),ROW('Raw Data'!$1:$1))</f>
        <v>#NUM!</v>
      </c>
      <c r="G1096" t="e">
        <f t="array" ref="G1096">INDEX('Raw Data'!A:A,F1096,9)</f>
        <v>#NUM!</v>
      </c>
      <c r="H1096" t="e">
        <f t="array" ref="H1096">INDEX('Raw Data'!A:A,F1096,10)</f>
        <v>#NUM!</v>
      </c>
      <c r="I1096" t="e">
        <f t="array" ref="I1096">INDEX('Raw Data'!$A:A,$F1096,11)</f>
        <v>#NUM!</v>
      </c>
      <c r="J1096" t="e">
        <f t="array" ref="J1096">INDEX('Raw Data'!$A:A,F1096,12)</f>
        <v>#NUM!</v>
      </c>
      <c r="K1096" t="e">
        <f>(--INDEX('Raw Data'!$A$4:B$993,F1096,4))</f>
        <v>#NUM!</v>
      </c>
      <c r="L1096" t="e">
        <f t="array" ref="L1096">(--INDEX('Raw Data'!$A$4:B$993,F1096,5))</f>
        <v>#NUM!</v>
      </c>
      <c r="M1096" t="e">
        <f t="array" ref="M1096">(--INDEX('Raw Data'!$A$4:D$993,$F1096,6))</f>
        <v>#NUM!</v>
      </c>
      <c r="N1096" t="e">
        <f t="array" ref="N1096">(--INDEX('Raw Data'!$A$4:D$993,$F1096,7))</f>
        <v>#NUM!</v>
      </c>
      <c r="O1096" t="e">
        <f t="array" ref="O1096">IF(--INDEX('Raw Data'!$A$4:E$993,$F1096,8)= 0, 1, 0)</f>
        <v>#NUM!</v>
      </c>
      <c r="P1096" t="e">
        <f t="array" ref="P1096">IF(--INDEX('Raw Data'!$A$4:F$993,$F1096,8)= 1, 1, 0)</f>
        <v>#NUM!</v>
      </c>
      <c r="Q1096" t="e">
        <f t="array" ref="Q1096">IF(--INDEX('Raw Data'!$A$4:G$993,$F1096,13)= 1, 1, 0)</f>
        <v>#NUM!</v>
      </c>
      <c r="R1096" t="e">
        <f t="array" ref="R1096">IF(--INDEX('Raw Data'!$A$4:H$993,$F1096,14)= 1, 1, 0)</f>
        <v>#NUM!</v>
      </c>
      <c r="S1096" t="e">
        <f t="array" ref="S1096">IF(--INDEX('Raw Data'!$A$4:I$993,$F1096,15)= 1, 1, 0)</f>
        <v>#NUM!</v>
      </c>
      <c r="T1096" t="e">
        <f t="array" ref="T1096">IF(--INDEX('Raw Data'!$A$4:I$993,$F1096,15)= 1, 1, 0)</f>
        <v>#NUM!</v>
      </c>
      <c r="U1096" t="e">
        <f t="array" ref="U1096">IF(--INDEX('Raw Data'!$A$4:J$993,$F1096,16)= 1, 1, 0)</f>
        <v>#NUM!</v>
      </c>
      <c r="V1096" t="e">
        <f t="array" ref="V1096">IF(--INDEX('Raw Data'!$A$4:K$993,$F1096,17)= 1, 1, 0)</f>
        <v>#NUM!</v>
      </c>
      <c r="W1096" t="e">
        <f t="array" ref="W1096">INDEX('Raw Data'!$A:$O,$F1096,19)</f>
        <v>#NUM!</v>
      </c>
      <c r="X1096" t="e">
        <f t="array" ref="X1096">INDEX('Raw Data'!$A:$O,$F1096,20)</f>
        <v>#NUM!</v>
      </c>
      <c r="Y1096" t="e">
        <f t="array" ref="Y1096">INDEX('Raw Data'!$A:$O,F1096,21)</f>
        <v>#NUM!</v>
      </c>
      <c r="Z1096" t="e">
        <f t="array" ref="Z1096">INDEX('Raw Data'!$A:$O,$F1096,3)</f>
        <v>#NUM!</v>
      </c>
      <c r="AA1096" t="e">
        <f t="array" ref="AA1096">INDEX('Raw Data'!$A:$O,$F1096,22)</f>
        <v>#NUM!</v>
      </c>
      <c r="AB1096" t="e">
        <f t="array" ref="AB1096">INDEX('Raw Data'!$A:$O,$F1096,23)</f>
        <v>#NUM!</v>
      </c>
    </row>
    <row r="1097" spans="1:44" x14ac:dyDescent="0.25">
      <c r="A1097" t="s">
        <v>0</v>
      </c>
      <c r="B1097">
        <f>G1111</f>
        <v>0</v>
      </c>
      <c r="F1097" t="e">
        <f t="array" ref="F1097">SMALL(IF('Raw Data'!A:A=C1095,ROW('Raw Data'!A:A)),ROW('Raw Data'!$2:$2))</f>
        <v>#NUM!</v>
      </c>
      <c r="G1097" t="e">
        <f t="array" ref="G1097">INDEX('Raw Data'!A:A,F1097,9)</f>
        <v>#NUM!</v>
      </c>
      <c r="H1097" t="e">
        <f t="array" ref="H1097">INDEX('Raw Data'!A:A,F1097,10)</f>
        <v>#NUM!</v>
      </c>
      <c r="I1097" t="e">
        <f t="array" ref="I1097">INDEX('Raw Data'!$A:A,$F1097,11)</f>
        <v>#NUM!</v>
      </c>
      <c r="J1097" t="e">
        <f t="array" ref="J1097">INDEX('Raw Data'!$A:A,F1097,12)</f>
        <v>#NUM!</v>
      </c>
      <c r="K1097" t="e">
        <f>(--INDEX('Raw Data'!$A$4:B$993,F1097,4))</f>
        <v>#NUM!</v>
      </c>
      <c r="L1097" t="e">
        <f t="array" ref="L1097">(--INDEX('Raw Data'!$A$4:B$993,F1097,5))</f>
        <v>#NUM!</v>
      </c>
      <c r="M1097" t="e">
        <f t="array" ref="M1097">(--INDEX('Raw Data'!$A$4:D$993,$F1097,6))</f>
        <v>#NUM!</v>
      </c>
      <c r="N1097" t="e">
        <f t="array" ref="N1097">(--INDEX('Raw Data'!$A$4:D$993,$F1097,7))</f>
        <v>#NUM!</v>
      </c>
      <c r="O1097" t="e">
        <f t="array" ref="O1097">IF(--INDEX('Raw Data'!$A$4:E$993,$F1097,8)= 0, 1, 0)</f>
        <v>#NUM!</v>
      </c>
      <c r="P1097" t="e">
        <f t="array" ref="P1097">IF(--INDEX('Raw Data'!$A$4:F$993,$F1097,8)= 1, 1, 0)</f>
        <v>#NUM!</v>
      </c>
      <c r="Q1097" t="e">
        <f t="array" ref="Q1097">IF(--INDEX('Raw Data'!$A$4:G$993,$F1097,13)= 1, 1, 0)</f>
        <v>#NUM!</v>
      </c>
      <c r="R1097" t="e">
        <f t="array" ref="R1097">IF(--INDEX('Raw Data'!$A$4:H$993,$F1097,14)= 1, 1, 0)</f>
        <v>#NUM!</v>
      </c>
      <c r="S1097" t="e">
        <f t="array" ref="S1097">IF(--INDEX('Raw Data'!$A$4:I$993,$F1097,15)= 1, 1, 0)</f>
        <v>#NUM!</v>
      </c>
      <c r="T1097" t="e">
        <f t="array" ref="T1097">IF(--INDEX('Raw Data'!$A$4:I$993,$F1097,15)= 1, 1, 0)</f>
        <v>#NUM!</v>
      </c>
      <c r="U1097" t="e">
        <f t="array" ref="U1097">IF(--INDEX('Raw Data'!$A$4:J$993,$F1097,16)= 1, 1, 0)</f>
        <v>#NUM!</v>
      </c>
      <c r="V1097" t="e">
        <f t="array" ref="V1097">IF(--INDEX('Raw Data'!$A$4:K$993,$F1097,17)= 1, 1, 0)</f>
        <v>#NUM!</v>
      </c>
      <c r="W1097" t="e">
        <f t="array" ref="W1097">INDEX('Raw Data'!$A:$O,$F1097,19)</f>
        <v>#NUM!</v>
      </c>
      <c r="X1097" t="e">
        <f t="array" ref="X1097">INDEX('Raw Data'!$A:$O,$F1097,20)</f>
        <v>#NUM!</v>
      </c>
      <c r="Y1097" t="e">
        <f t="array" ref="Y1097">INDEX('Raw Data'!$A:$O,F1097,21)</f>
        <v>#NUM!</v>
      </c>
      <c r="Z1097" t="e">
        <f t="array" ref="Z1097">INDEX('Raw Data'!$A:$O,$F1097,3)</f>
        <v>#NUM!</v>
      </c>
      <c r="AA1097" t="e">
        <f t="array" ref="AA1097">INDEX('Raw Data'!$A:$O,$F1097,22)</f>
        <v>#NUM!</v>
      </c>
      <c r="AB1097" t="e">
        <f t="array" ref="AB1097">INDEX('Raw Data'!$A:$O,$F1097,23)</f>
        <v>#NUM!</v>
      </c>
    </row>
    <row r="1098" spans="1:44" x14ac:dyDescent="0.25">
      <c r="A1098" t="s">
        <v>1</v>
      </c>
      <c r="B1098">
        <f>H1111</f>
        <v>0</v>
      </c>
      <c r="F1098" t="e">
        <f t="array" ref="F1098">SMALL(IF('Raw Data'!A:A=C1095,ROW('Raw Data'!A:A)),ROW('Raw Data'!$3:$3))</f>
        <v>#NUM!</v>
      </c>
      <c r="G1098" t="e">
        <f t="array" ref="G1098">INDEX('Raw Data'!A:A,F1098,9)</f>
        <v>#NUM!</v>
      </c>
      <c r="H1098" t="e">
        <f t="array" ref="H1098">INDEX('Raw Data'!A:A,F1098,10)</f>
        <v>#NUM!</v>
      </c>
      <c r="I1098" t="e">
        <f t="array" ref="I1098">INDEX('Raw Data'!$A:A,$F1098,11)</f>
        <v>#NUM!</v>
      </c>
      <c r="J1098" t="e">
        <f t="array" ref="J1098">INDEX('Raw Data'!$A:A,F1098,12)</f>
        <v>#NUM!</v>
      </c>
      <c r="K1098" t="e">
        <f>(--INDEX('Raw Data'!$A$4:B$993,F1098,4))</f>
        <v>#NUM!</v>
      </c>
      <c r="L1098" t="e">
        <f t="array" ref="L1098">(--INDEX('Raw Data'!$A$4:B$993,F1098,5))</f>
        <v>#NUM!</v>
      </c>
      <c r="M1098" t="e">
        <f t="array" ref="M1098">(--INDEX('Raw Data'!$A$4:D$993,$F1098,6))</f>
        <v>#NUM!</v>
      </c>
      <c r="N1098" t="e">
        <f t="array" ref="N1098">(--INDEX('Raw Data'!$A$4:D$993,$F1098,7))</f>
        <v>#NUM!</v>
      </c>
      <c r="O1098" t="e">
        <f t="array" ref="O1098">IF(--INDEX('Raw Data'!$A$4:E$993,$F1098,8)= 0, 1, 0)</f>
        <v>#NUM!</v>
      </c>
      <c r="P1098" t="e">
        <f t="array" ref="P1098">IF(--INDEX('Raw Data'!$A$4:F$993,$F1098,8)= 1, 1, 0)</f>
        <v>#NUM!</v>
      </c>
      <c r="Q1098" t="e">
        <f t="array" ref="Q1098">IF(--INDEX('Raw Data'!$A$4:G$993,$F1098,13)= 1, 1, 0)</f>
        <v>#NUM!</v>
      </c>
      <c r="R1098" t="e">
        <f t="array" ref="R1098">IF(--INDEX('Raw Data'!$A$4:H$993,$F1098,14)= 1, 1, 0)</f>
        <v>#NUM!</v>
      </c>
      <c r="S1098" t="e">
        <f t="array" ref="S1098">IF(--INDEX('Raw Data'!$A$4:I$993,$F1098,15)= 1, 1, 0)</f>
        <v>#NUM!</v>
      </c>
      <c r="T1098" t="e">
        <f t="array" ref="T1098">IF(--INDEX('Raw Data'!$A$4:I$993,$F1098,15)= 1, 1, 0)</f>
        <v>#NUM!</v>
      </c>
      <c r="U1098" t="e">
        <f t="array" ref="U1098">IF(--INDEX('Raw Data'!$A$4:J$993,$F1098,16)= 1, 1, 0)</f>
        <v>#NUM!</v>
      </c>
      <c r="V1098" t="e">
        <f t="array" ref="V1098">IF(--INDEX('Raw Data'!$A$4:K$993,$F1098,17)= 1, 1, 0)</f>
        <v>#NUM!</v>
      </c>
      <c r="W1098" t="e">
        <f t="array" ref="W1098">INDEX('Raw Data'!$A:$O,$F1098,19)</f>
        <v>#NUM!</v>
      </c>
      <c r="X1098" t="e">
        <f t="array" ref="X1098">INDEX('Raw Data'!$A:$O,$F1098,20)</f>
        <v>#NUM!</v>
      </c>
      <c r="Y1098" t="e">
        <f t="array" ref="Y1098">INDEX('Raw Data'!$A:$O,F1098,21)</f>
        <v>#NUM!</v>
      </c>
      <c r="Z1098" t="e">
        <f t="array" ref="Z1098">INDEX('Raw Data'!$A:$O,$F1098,3)</f>
        <v>#NUM!</v>
      </c>
      <c r="AA1098" t="e">
        <f t="array" ref="AA1098">INDEX('Raw Data'!$A:$O,$F1098,22)</f>
        <v>#NUM!</v>
      </c>
      <c r="AB1098" t="e">
        <f t="array" ref="AB1098">INDEX('Raw Data'!$A:$O,$F1098,23)</f>
        <v>#NUM!</v>
      </c>
    </row>
    <row r="1099" spans="1:44" x14ac:dyDescent="0.25">
      <c r="A1099" t="s">
        <v>2</v>
      </c>
      <c r="C1099" s="3" t="e">
        <f>B1098/B1097</f>
        <v>#DIV/0!</v>
      </c>
      <c r="F1099" t="e">
        <f t="array" ref="F1099">SMALL(IF('Raw Data'!A:A=C1095,ROW('Raw Data'!A:A)),ROW('Raw Data'!$4:$4))</f>
        <v>#NUM!</v>
      </c>
      <c r="G1099" t="e">
        <f t="array" ref="G1099">INDEX('Raw Data'!A:A,F1099,9)</f>
        <v>#NUM!</v>
      </c>
      <c r="H1099" t="e">
        <f t="array" ref="H1099">INDEX('Raw Data'!A:A,F1099,10)</f>
        <v>#NUM!</v>
      </c>
      <c r="I1099" t="e">
        <f t="array" ref="I1099">INDEX('Raw Data'!$A:A,$F1099,11)</f>
        <v>#NUM!</v>
      </c>
      <c r="J1099" t="e">
        <f t="array" ref="J1099">INDEX('Raw Data'!$A:A,F1099,12)</f>
        <v>#NUM!</v>
      </c>
      <c r="K1099" t="e">
        <f>(--INDEX('Raw Data'!$A$4:B$993,F1099,4))</f>
        <v>#NUM!</v>
      </c>
      <c r="L1099" t="e">
        <f t="array" ref="L1099">(--INDEX('Raw Data'!$A$4:B$993,F1099,5))</f>
        <v>#NUM!</v>
      </c>
      <c r="M1099" t="e">
        <f t="array" ref="M1099">(--INDEX('Raw Data'!$A$4:D$993,$F1099,6))</f>
        <v>#NUM!</v>
      </c>
      <c r="N1099" t="e">
        <f t="array" ref="N1099">(--INDEX('Raw Data'!$A$4:D$993,$F1099,7))</f>
        <v>#NUM!</v>
      </c>
      <c r="O1099" t="e">
        <f t="array" ref="O1099">IF(--INDEX('Raw Data'!$A$4:E$993,$F1099,8)= 0, 1, 0)</f>
        <v>#NUM!</v>
      </c>
      <c r="P1099" t="e">
        <f t="array" ref="P1099">IF(--INDEX('Raw Data'!$A$4:F$993,$F1099,8)= 1, 1, 0)</f>
        <v>#NUM!</v>
      </c>
      <c r="Q1099" t="e">
        <f t="array" ref="Q1099">IF(--INDEX('Raw Data'!$A$4:G$993,$F1099,13)= 1, 1, 0)</f>
        <v>#NUM!</v>
      </c>
      <c r="R1099" t="e">
        <f t="array" ref="R1099">IF(--INDEX('Raw Data'!$A$4:H$993,$F1099,14)= 1, 1, 0)</f>
        <v>#NUM!</v>
      </c>
      <c r="S1099" t="e">
        <f t="array" ref="S1099">IF(--INDEX('Raw Data'!$A$4:I$993,$F1099,15)= 1, 1, 0)</f>
        <v>#NUM!</v>
      </c>
      <c r="T1099" t="e">
        <f t="array" ref="T1099">IF(--INDEX('Raw Data'!$A$4:I$993,$F1099,15)= 1, 1, 0)</f>
        <v>#NUM!</v>
      </c>
      <c r="U1099" t="e">
        <f t="array" ref="U1099">IF(--INDEX('Raw Data'!$A$4:J$993,$F1099,16)= 1, 1, 0)</f>
        <v>#NUM!</v>
      </c>
      <c r="V1099" t="e">
        <f t="array" ref="V1099">IF(--INDEX('Raw Data'!$A$4:K$993,$F1099,17)= 1, 1, 0)</f>
        <v>#NUM!</v>
      </c>
      <c r="W1099" t="e">
        <f t="array" ref="W1099">INDEX('Raw Data'!$A:$O,$F1099,19)</f>
        <v>#NUM!</v>
      </c>
      <c r="X1099" t="e">
        <f t="array" ref="X1099">INDEX('Raw Data'!$A:$O,$F1099,20)</f>
        <v>#NUM!</v>
      </c>
      <c r="Y1099" t="e">
        <f t="array" ref="Y1099">INDEX('Raw Data'!$A:$O,F1099,21)</f>
        <v>#NUM!</v>
      </c>
      <c r="Z1099" t="e">
        <f t="array" ref="Z1099">INDEX('Raw Data'!$A:$O,$F1099,3)</f>
        <v>#NUM!</v>
      </c>
      <c r="AA1099" t="e">
        <f t="array" ref="AA1099">INDEX('Raw Data'!$A:$O,$F1099,22)</f>
        <v>#NUM!</v>
      </c>
      <c r="AB1099" t="e">
        <f t="array" ref="AB1099">INDEX('Raw Data'!$A:$O,$F1099,23)</f>
        <v>#NUM!</v>
      </c>
    </row>
    <row r="1100" spans="1:44" x14ac:dyDescent="0.25">
      <c r="A1100" t="s">
        <v>54</v>
      </c>
      <c r="B1100">
        <f>I1111</f>
        <v>0</v>
      </c>
      <c r="F1100" t="e">
        <f t="array" ref="F1100">SMALL(IF('Raw Data'!A:A=C1095,ROW('Raw Data'!A:A)),ROW('Raw Data'!$5:$5))</f>
        <v>#NUM!</v>
      </c>
      <c r="G1100" t="e">
        <f t="array" ref="G1100">INDEX('Raw Data'!A:A,F1100,9)</f>
        <v>#NUM!</v>
      </c>
      <c r="H1100" t="e">
        <f t="array" ref="H1100">INDEX('Raw Data'!A:A,F1100,10)</f>
        <v>#NUM!</v>
      </c>
      <c r="I1100" t="e">
        <f t="array" ref="I1100">INDEX('Raw Data'!$A:A,$F1100,11)</f>
        <v>#NUM!</v>
      </c>
      <c r="J1100" t="e">
        <f t="array" ref="J1100">INDEX('Raw Data'!$A:A,F1100,12)</f>
        <v>#NUM!</v>
      </c>
      <c r="K1100" t="e">
        <f>(--INDEX('Raw Data'!$A$4:B$993,F1100,4))</f>
        <v>#NUM!</v>
      </c>
      <c r="L1100" t="e">
        <f t="array" ref="L1100">(--INDEX('Raw Data'!$A$4:B$993,F1100,5))</f>
        <v>#NUM!</v>
      </c>
      <c r="M1100" t="e">
        <f t="array" ref="M1100">(--INDEX('Raw Data'!$A$4:D$993,$F1100,6))</f>
        <v>#NUM!</v>
      </c>
      <c r="N1100" t="e">
        <f t="array" ref="N1100">(--INDEX('Raw Data'!$A$4:D$993,$F1100,7))</f>
        <v>#NUM!</v>
      </c>
      <c r="O1100" t="e">
        <f t="array" ref="O1100">IF(--INDEX('Raw Data'!$A$4:E$993,$F1100,8)= 0, 1, 0)</f>
        <v>#NUM!</v>
      </c>
      <c r="P1100" t="e">
        <f t="array" ref="P1100">IF(--INDEX('Raw Data'!$A$4:F$993,$F1100,8)= 1, 1, 0)</f>
        <v>#NUM!</v>
      </c>
      <c r="Q1100" t="e">
        <f t="array" ref="Q1100">IF(--INDEX('Raw Data'!$A$4:G$993,$F1100,13)= 1, 1, 0)</f>
        <v>#NUM!</v>
      </c>
      <c r="R1100" t="e">
        <f t="array" ref="R1100">IF(--INDEX('Raw Data'!$A$4:H$993,$F1100,14)= 1, 1, 0)</f>
        <v>#NUM!</v>
      </c>
      <c r="S1100" t="e">
        <f t="array" ref="S1100">IF(--INDEX('Raw Data'!$A$4:I$993,$F1100,15)= 1, 1, 0)</f>
        <v>#NUM!</v>
      </c>
      <c r="T1100" t="e">
        <f t="array" ref="T1100">IF(--INDEX('Raw Data'!$A$4:I$993,$F1100,15)= 1, 1, 0)</f>
        <v>#NUM!</v>
      </c>
      <c r="U1100" t="e">
        <f t="array" ref="U1100">IF(--INDEX('Raw Data'!$A$4:J$993,$F1100,16)= 1, 1, 0)</f>
        <v>#NUM!</v>
      </c>
      <c r="V1100" t="e">
        <f t="array" ref="V1100">IF(--INDEX('Raw Data'!$A$4:K$993,$F1100,17)= 1, 1, 0)</f>
        <v>#NUM!</v>
      </c>
      <c r="W1100" t="e">
        <f t="array" ref="W1100">INDEX('Raw Data'!$A:$O,$F1100,19)</f>
        <v>#NUM!</v>
      </c>
      <c r="X1100" t="e">
        <f t="array" ref="X1100">INDEX('Raw Data'!$A:$O,$F1100,20)</f>
        <v>#NUM!</v>
      </c>
      <c r="Y1100" t="e">
        <f t="array" ref="Y1100">INDEX('Raw Data'!$A:$O,F1100,21)</f>
        <v>#NUM!</v>
      </c>
      <c r="Z1100" t="e">
        <f t="array" ref="Z1100">INDEX('Raw Data'!$A:$O,$F1100,3)</f>
        <v>#NUM!</v>
      </c>
      <c r="AA1100" t="e">
        <f t="array" ref="AA1100">INDEX('Raw Data'!$A:$O,$F1100,22)</f>
        <v>#NUM!</v>
      </c>
      <c r="AB1100" t="e">
        <f t="array" ref="AB1100">INDEX('Raw Data'!$A:$O,$F1100,23)</f>
        <v>#NUM!</v>
      </c>
      <c r="AR1100" s="25"/>
    </row>
    <row r="1101" spans="1:44" x14ac:dyDescent="0.25">
      <c r="A1101" t="s">
        <v>35</v>
      </c>
      <c r="B1101">
        <f>J1111</f>
        <v>0</v>
      </c>
      <c r="F1101" t="e">
        <f t="array" ref="F1101">SMALL(IF('Raw Data'!A:A=C1095,ROW('Raw Data'!A:A)),ROW('Raw Data'!$6:$6))</f>
        <v>#NUM!</v>
      </c>
      <c r="G1101" t="e">
        <f t="array" ref="G1101">INDEX('Raw Data'!A:A,F1101,9)</f>
        <v>#NUM!</v>
      </c>
      <c r="H1101" t="e">
        <f t="array" ref="H1101">INDEX('Raw Data'!A:A,F1101,10)</f>
        <v>#NUM!</v>
      </c>
      <c r="I1101" t="e">
        <f t="array" ref="I1101">INDEX('Raw Data'!$A:A,$F1101,11)</f>
        <v>#NUM!</v>
      </c>
      <c r="J1101" t="e">
        <f t="array" ref="J1101">INDEX('Raw Data'!$A:A,F1101,12)</f>
        <v>#NUM!</v>
      </c>
      <c r="K1101" t="e">
        <f>(--INDEX('Raw Data'!$A$4:B$993,F1101,4))</f>
        <v>#NUM!</v>
      </c>
      <c r="L1101" t="e">
        <f t="array" ref="L1101">(--INDEX('Raw Data'!$A$4:B$998,F1101,5))</f>
        <v>#NUM!</v>
      </c>
      <c r="M1101" t="e">
        <f t="array" ref="M1101">(--INDEX('Raw Data'!$A$4:D$998,$F1101,6))</f>
        <v>#NUM!</v>
      </c>
      <c r="N1101" t="e">
        <f t="array" ref="N1101">(--INDEX('Raw Data'!$A$4:D$993,$F1101,7))</f>
        <v>#NUM!</v>
      </c>
      <c r="O1101" t="e">
        <f t="array" ref="O1101">IF(--INDEX('Raw Data'!$A$4:E$993,$F1101,8)= 0, 1, 0)</f>
        <v>#NUM!</v>
      </c>
      <c r="P1101" t="e">
        <f t="array" ref="P1101">IF(--INDEX('Raw Data'!$A$4:F$998,$F1101,8)= 1, 1, 0)</f>
        <v>#NUM!</v>
      </c>
      <c r="Q1101" t="e">
        <f t="array" ref="Q1101">IF(--INDEX('Raw Data'!$A$4:G$998,$F1101,13)= 1, 1, 0)</f>
        <v>#NUM!</v>
      </c>
      <c r="R1101" t="e">
        <f t="array" ref="R1101">IF(--INDEX('Raw Data'!$A$4:H$998,$F1101,14)= 1, 1, 0)</f>
        <v>#NUM!</v>
      </c>
      <c r="S1101" t="e">
        <f t="array" ref="S1101">IF(--INDEX('Raw Data'!$A$4:I$993,$F1101,15)= 1, 1, 0)</f>
        <v>#NUM!</v>
      </c>
      <c r="T1101" t="e">
        <f t="array" ref="T1101">IF(--INDEX('Raw Data'!$A$4:I$998,$F1101,15)= 1, 1, 0)</f>
        <v>#NUM!</v>
      </c>
      <c r="U1101" t="e">
        <f t="array" ref="U1101">IF(--INDEX('Raw Data'!$A$4:J$998,$F1101,16)= 1, 1, 0)</f>
        <v>#NUM!</v>
      </c>
      <c r="V1101" t="e">
        <f t="array" ref="V1101">IF(--INDEX('Raw Data'!$A$4:K$993,$F1101,17)= 1, 1, 0)</f>
        <v>#NUM!</v>
      </c>
      <c r="W1101" t="e">
        <f t="array" ref="W1101">INDEX('Raw Data'!$A:$O,$F1101,19)</f>
        <v>#NUM!</v>
      </c>
      <c r="X1101" t="e">
        <f t="array" ref="X1101">INDEX('Raw Data'!$A:$O,$F1101,20)</f>
        <v>#NUM!</v>
      </c>
      <c r="Y1101" t="e">
        <f t="array" ref="Y1101">INDEX('Raw Data'!$A:$O,F1101,21)</f>
        <v>#NUM!</v>
      </c>
      <c r="Z1101" t="e">
        <f t="array" ref="Z1101">INDEX('Raw Data'!$A:$O,$F1101,3)</f>
        <v>#NUM!</v>
      </c>
      <c r="AA1101" t="e">
        <f t="array" ref="AA1101">INDEX('Raw Data'!$A:$O,$F1101,22)</f>
        <v>#NUM!</v>
      </c>
      <c r="AB1101" t="e">
        <f t="array" ref="AB1101">INDEX('Raw Data'!$A:$O,$F1101,23)</f>
        <v>#NUM!</v>
      </c>
      <c r="AR1101" s="25"/>
    </row>
    <row r="1102" spans="1:44" ht="28.5" x14ac:dyDescent="0.45">
      <c r="F1102" t="e">
        <f t="array" ref="F1102">SMALL(IF('Raw Data'!A:A=C1095,ROW('Raw Data'!A:A)),ROW('Raw Data'!$7:$7))</f>
        <v>#NUM!</v>
      </c>
      <c r="G1102" t="e">
        <f t="array" ref="G1102">INDEX('Raw Data'!A:A,F1102,9)</f>
        <v>#NUM!</v>
      </c>
      <c r="H1102" t="e">
        <f t="array" ref="H1102">INDEX('Raw Data'!A:A,F1102,10)</f>
        <v>#NUM!</v>
      </c>
      <c r="I1102" t="e">
        <f t="array" ref="I1102">INDEX('Raw Data'!$A:A,$F1102,11)</f>
        <v>#NUM!</v>
      </c>
      <c r="J1102" t="e">
        <f t="array" ref="J1102">INDEX('Raw Data'!$A:A,F1102,12)</f>
        <v>#NUM!</v>
      </c>
      <c r="K1102" t="e">
        <f t="array" ref="K1102">(--INDEX('Raw Data'!$A$4:B$998,F1102,4))</f>
        <v>#NUM!</v>
      </c>
      <c r="L1102" t="e">
        <f t="array" ref="L1102">(--INDEX('Raw Data'!$A$4:B$998,F1102,5))</f>
        <v>#NUM!</v>
      </c>
      <c r="M1102" t="e">
        <f t="array" ref="M1102">(--INDEX('Raw Data'!$A$4:D$998,$F1102,6))</f>
        <v>#NUM!</v>
      </c>
      <c r="N1102" t="e">
        <f t="array" ref="N1102">(--INDEX('Raw Data'!$A$4:D$998,$F1102,7))</f>
        <v>#NUM!</v>
      </c>
      <c r="O1102" t="e">
        <f t="array" ref="O1102">IF(--INDEX('Raw Data'!$A$4:E$998,$F1102,8)= 0, 1, 0)</f>
        <v>#NUM!</v>
      </c>
      <c r="P1102" t="e">
        <f t="array" ref="P1102">IF(--INDEX('Raw Data'!$A$4:F$998,$F1102,8)= 1, 1, 0)</f>
        <v>#NUM!</v>
      </c>
      <c r="Q1102" t="e">
        <f t="array" ref="Q1102">IF(--INDEX('Raw Data'!$A$4:G$998,$F1102,13)= 1, 1, 0)</f>
        <v>#NUM!</v>
      </c>
      <c r="R1102" t="e">
        <f t="array" ref="R1102">IF(--INDEX('Raw Data'!$A$4:H$998,$F1102,14)= 1, 1, 0)</f>
        <v>#NUM!</v>
      </c>
      <c r="S1102" t="e">
        <f t="array" ref="S1102">IF(--INDEX('Raw Data'!$A$4:I$998,$F1102,15)= 1, 1, 0)</f>
        <v>#NUM!</v>
      </c>
      <c r="T1102" t="e">
        <f t="array" ref="T1102">IF(--INDEX('Raw Data'!$A$4:I$998,$F1102,15)= 1, 1, 0)</f>
        <v>#NUM!</v>
      </c>
      <c r="U1102" t="e">
        <f t="array" ref="U1102">IF(--INDEX('Raw Data'!$A$4:J$998,$F1102,16)= 1, 1, 0)</f>
        <v>#NUM!</v>
      </c>
      <c r="V1102" t="e">
        <f t="array" ref="V1102">IF(--INDEX('Raw Data'!$A$4:K$998,$F1102,17)= 1, 1, 0)</f>
        <v>#NUM!</v>
      </c>
      <c r="W1102" t="e">
        <f t="array" ref="W1102">INDEX('Raw Data'!$A:$O,$F1102,19)</f>
        <v>#NUM!</v>
      </c>
      <c r="X1102" t="e">
        <f t="array" ref="X1102">INDEX('Raw Data'!$A:$O,$F1102,20)</f>
        <v>#NUM!</v>
      </c>
      <c r="Y1102" t="e">
        <f t="array" ref="Y1102">INDEX('Raw Data'!$A:$O,F1102,21)</f>
        <v>#NUM!</v>
      </c>
      <c r="Z1102" t="e">
        <f t="array" ref="Z1102">INDEX('Raw Data'!$A:$O,$F1102,3)</f>
        <v>#NUM!</v>
      </c>
      <c r="AA1102" t="e">
        <f t="array" ref="AA1102">INDEX('Raw Data'!$A:$O,$F1102,22)</f>
        <v>#NUM!</v>
      </c>
      <c r="AB1102" t="e">
        <f t="array" ref="AB1102">INDEX('Raw Data'!$A:$O,$F1102,23)</f>
        <v>#NUM!</v>
      </c>
      <c r="AM1102" s="21"/>
    </row>
    <row r="1103" spans="1:44" x14ac:dyDescent="0.25">
      <c r="F1103" t="e">
        <f t="array" ref="F1103">SMALL(IF('Raw Data'!A:A=C1095,ROW('Raw Data'!A:A)),ROW('Raw Data'!$8:$8))</f>
        <v>#NUM!</v>
      </c>
      <c r="G1103" t="e">
        <f t="array" ref="G1103">INDEX('Raw Data'!A:A,F1103,9)</f>
        <v>#NUM!</v>
      </c>
      <c r="H1103" t="e">
        <f t="array" ref="H1103">INDEX('Raw Data'!A:A,F1103,10)</f>
        <v>#NUM!</v>
      </c>
      <c r="I1103" t="e">
        <f t="array" ref="I1103">INDEX('Raw Data'!$A:A,$F1103,11)</f>
        <v>#NUM!</v>
      </c>
      <c r="J1103" t="e">
        <f t="array" ref="J1103">INDEX('Raw Data'!$A:A,F1103,12)</f>
        <v>#NUM!</v>
      </c>
      <c r="K1103" t="e">
        <f t="array" ref="K1103">(--INDEX('Raw Data'!$A$4:B$998,F1103,4))</f>
        <v>#NUM!</v>
      </c>
      <c r="L1103" t="e">
        <f t="array" ref="L1103">(--INDEX('Raw Data'!$A$4:B$998,F1103,5))</f>
        <v>#NUM!</v>
      </c>
      <c r="M1103" t="e">
        <f t="array" ref="M1103">(--INDEX('Raw Data'!$A$4:D$998,$F1103,6))</f>
        <v>#NUM!</v>
      </c>
      <c r="N1103" t="e">
        <f t="array" ref="N1103">(--INDEX('Raw Data'!$A$4:D$998,$F1103,7))</f>
        <v>#NUM!</v>
      </c>
      <c r="O1103" t="e">
        <f t="array" ref="O1103">IF(--INDEX('Raw Data'!$A$4:E$998,$F1103,8)= 0, 1, 0)</f>
        <v>#NUM!</v>
      </c>
      <c r="P1103" t="e">
        <f t="array" ref="P1103">IF(--INDEX('Raw Data'!$A$4:F$998,$F1103,8)= 1, 1, 0)</f>
        <v>#NUM!</v>
      </c>
      <c r="Q1103" t="e">
        <f t="array" ref="Q1103">IF(--INDEX('Raw Data'!$A$4:G$998,$F1103,13)= 1, 1, 0)</f>
        <v>#NUM!</v>
      </c>
      <c r="R1103" t="e">
        <f t="array" ref="R1103">IF(--INDEX('Raw Data'!$A$4:H$998,$F1103,14)= 1, 1, 0)</f>
        <v>#NUM!</v>
      </c>
      <c r="S1103" t="e">
        <f t="array" ref="S1103">IF(--INDEX('Raw Data'!$A$4:I$998,$F1103,15)= 1, 1, 0)</f>
        <v>#NUM!</v>
      </c>
      <c r="T1103" t="e">
        <f t="array" ref="T1103">IF(--INDEX('Raw Data'!$A$4:I$998,$F1103,15)= 1, 1, 0)</f>
        <v>#NUM!</v>
      </c>
      <c r="U1103" t="e">
        <f t="array" ref="U1103">IF(--INDEX('Raw Data'!$A$4:J$998,$F1103,16)= 1, 1, 0)</f>
        <v>#NUM!</v>
      </c>
      <c r="V1103" t="e">
        <f t="array" ref="V1103">IF(--INDEX('Raw Data'!$A$4:K$998,$F1103,17)= 1, 1, 0)</f>
        <v>#NUM!</v>
      </c>
      <c r="W1103" t="e">
        <f t="array" ref="W1103">INDEX('Raw Data'!$A:$O,$F1103,19)</f>
        <v>#NUM!</v>
      </c>
      <c r="X1103" t="e">
        <f t="array" ref="X1103">INDEX('Raw Data'!$A:$O,$F1103,20)</f>
        <v>#NUM!</v>
      </c>
      <c r="Y1103" t="e">
        <f t="array" ref="Y1103">INDEX('Raw Data'!$A:$O,F1103,21)</f>
        <v>#NUM!</v>
      </c>
      <c r="Z1103" t="e">
        <f t="array" ref="Z1103">INDEX('Raw Data'!$A:$O,$F1103,3)</f>
        <v>#NUM!</v>
      </c>
      <c r="AA1103" t="e">
        <f t="array" ref="AA1103">INDEX('Raw Data'!$A:$O,$F1103,22)</f>
        <v>#NUM!</v>
      </c>
      <c r="AB1103" t="e">
        <f t="array" ref="AB1103">INDEX('Raw Data'!$A:$O,$F1103,23)</f>
        <v>#NUM!</v>
      </c>
    </row>
    <row r="1104" spans="1:44" x14ac:dyDescent="0.25">
      <c r="F1104" t="e">
        <f t="array" ref="F1104">SMALL(IF('Raw Data'!A:A=C1095,ROW('Raw Data'!A:A)),ROW('Raw Data'!$9:$9))</f>
        <v>#NUM!</v>
      </c>
      <c r="G1104" t="e">
        <f t="array" ref="G1104">INDEX('Raw Data'!A:A,F1104,9)</f>
        <v>#NUM!</v>
      </c>
      <c r="H1104" t="e">
        <f t="array" ref="H1104">INDEX('Raw Data'!A:A,F1104,10)</f>
        <v>#NUM!</v>
      </c>
      <c r="I1104" t="e">
        <f t="array" ref="I1104">INDEX('Raw Data'!$A:A,$F1104,11)</f>
        <v>#NUM!</v>
      </c>
      <c r="J1104" t="e">
        <f t="array" ref="J1104">INDEX('Raw Data'!$A:A,F1104,12)</f>
        <v>#NUM!</v>
      </c>
      <c r="K1104" t="e">
        <f t="array" ref="K1104">(--INDEX('Raw Data'!$A$4:B$998,F1104,4))</f>
        <v>#NUM!</v>
      </c>
      <c r="L1104" t="e">
        <f t="array" ref="L1104">(--INDEX('Raw Data'!$A$4:B$998,F1104,5))</f>
        <v>#NUM!</v>
      </c>
      <c r="M1104" t="e">
        <f t="array" ref="M1104">(--INDEX('Raw Data'!$A$4:D$998,$F1104,6))</f>
        <v>#NUM!</v>
      </c>
      <c r="N1104" t="e">
        <f t="array" ref="N1104">(--INDEX('Raw Data'!$A$4:D$998,$F1104,7))</f>
        <v>#NUM!</v>
      </c>
      <c r="O1104" t="e">
        <f t="array" ref="O1104">IF(--INDEX('Raw Data'!$A$4:E$998,$F1104,8)= 0, 1, 0)</f>
        <v>#NUM!</v>
      </c>
      <c r="P1104" t="e">
        <f t="array" ref="P1104">IF(--INDEX('Raw Data'!$A$4:F$998,$F1104,8)= 1, 1, 0)</f>
        <v>#NUM!</v>
      </c>
      <c r="Q1104" t="e">
        <f t="array" ref="Q1104">IF(--INDEX('Raw Data'!$A$4:G$998,$F1104,13)= 1, 1, 0)</f>
        <v>#NUM!</v>
      </c>
      <c r="R1104" t="e">
        <f t="array" ref="R1104">IF(--INDEX('Raw Data'!$A$4:H$998,$F1104,14)= 1, 1, 0)</f>
        <v>#NUM!</v>
      </c>
      <c r="S1104" t="e">
        <f t="array" ref="S1104">IF(--INDEX('Raw Data'!$A$4:I$998,$F1104,15)= 1, 1, 0)</f>
        <v>#NUM!</v>
      </c>
      <c r="T1104" t="e">
        <f t="array" ref="T1104">IF(--INDEX('Raw Data'!$A$4:I$998,$F1104,15)= 1, 1, 0)</f>
        <v>#NUM!</v>
      </c>
      <c r="U1104" t="e">
        <f t="array" ref="U1104">IF(--INDEX('Raw Data'!$A$4:J$998,$F1104,16)= 1, 1, 0)</f>
        <v>#NUM!</v>
      </c>
      <c r="V1104" t="e">
        <f t="array" ref="V1104">IF(--INDEX('Raw Data'!$A$4:K$998,$F1104,17)= 1, 1, 0)</f>
        <v>#NUM!</v>
      </c>
      <c r="W1104" t="e">
        <f t="array" ref="W1104">INDEX('Raw Data'!$A:$O,$F1104,19)</f>
        <v>#NUM!</v>
      </c>
      <c r="X1104" t="e">
        <f t="array" ref="X1104">INDEX('Raw Data'!$A:$O,$F1104,20)</f>
        <v>#NUM!</v>
      </c>
      <c r="Y1104" t="e">
        <f t="array" ref="Y1104">INDEX('Raw Data'!$A:$O,F1104,21)</f>
        <v>#NUM!</v>
      </c>
      <c r="Z1104" t="e">
        <f t="array" ref="Z1104">INDEX('Raw Data'!$A:$O,$F1104,3)</f>
        <v>#NUM!</v>
      </c>
      <c r="AA1104" t="e">
        <f t="array" ref="AA1104">INDEX('Raw Data'!$A:$O,$F1104,22)</f>
        <v>#NUM!</v>
      </c>
      <c r="AB1104" t="e">
        <f t="array" ref="AB1104">INDEX('Raw Data'!$A:$O,$F1104,23)</f>
        <v>#NUM!</v>
      </c>
    </row>
    <row r="1105" spans="1:44" x14ac:dyDescent="0.25">
      <c r="F1105" t="e">
        <f t="array" ref="F1105">SMALL(IF('Raw Data'!A:A=C1095,ROW('Raw Data'!A:A)),ROW('Raw Data'!$10:$10))</f>
        <v>#NUM!</v>
      </c>
      <c r="G1105" t="e">
        <f t="array" ref="G1105">INDEX('Raw Data'!A:A,F1105,9)</f>
        <v>#NUM!</v>
      </c>
      <c r="H1105" t="e">
        <f t="array" ref="H1105">INDEX('Raw Data'!A:A,F1105,10)</f>
        <v>#NUM!</v>
      </c>
      <c r="I1105" t="e">
        <f t="array" ref="I1105">INDEX('Raw Data'!$A:A,$F1105,11)</f>
        <v>#NUM!</v>
      </c>
      <c r="J1105" t="e">
        <f t="array" ref="J1105">INDEX('Raw Data'!$A:A,F1105,12)</f>
        <v>#NUM!</v>
      </c>
      <c r="K1105" t="e">
        <f t="array" ref="K1105">(--INDEX('Raw Data'!$A$4:B$998,F1105,4))</f>
        <v>#NUM!</v>
      </c>
      <c r="L1105" t="e">
        <f t="array" ref="L1105">(--INDEX('Raw Data'!$A$4:B$998,F1105,5))</f>
        <v>#NUM!</v>
      </c>
      <c r="M1105" t="e">
        <f t="array" ref="M1105">(--INDEX('Raw Data'!$A$4:D$998,$F1105,6))</f>
        <v>#NUM!</v>
      </c>
      <c r="N1105" t="e">
        <f t="array" ref="N1105">(--INDEX('Raw Data'!$A$4:D$998,$F1105,7))</f>
        <v>#NUM!</v>
      </c>
      <c r="O1105" t="e">
        <f t="array" ref="O1105">IF(--INDEX('Raw Data'!$A$4:E$998,$F1105,8)= 0, 1, 0)</f>
        <v>#NUM!</v>
      </c>
      <c r="P1105" t="e">
        <f t="array" ref="P1105">IF(--INDEX('Raw Data'!$A$4:F$998,$F1105,8)= 1, 1, 0)</f>
        <v>#NUM!</v>
      </c>
      <c r="Q1105" t="e">
        <f t="array" ref="Q1105">IF(--INDEX('Raw Data'!$A$4:G$998,$F1105,13)= 1, 1, 0)</f>
        <v>#NUM!</v>
      </c>
      <c r="R1105" t="e">
        <f t="array" ref="R1105">IF(--INDEX('Raw Data'!$A$4:H$998,$F1105,14)= 1, 1, 0)</f>
        <v>#NUM!</v>
      </c>
      <c r="S1105" t="e">
        <f t="array" ref="S1105">IF(--INDEX('Raw Data'!$A$4:I$998,$F1105,15)= 1, 1, 0)</f>
        <v>#NUM!</v>
      </c>
      <c r="T1105" t="e">
        <f t="array" ref="T1105">IF(--INDEX('Raw Data'!$A$4:I$998,$F1105,15)= 1, 1, 0)</f>
        <v>#NUM!</v>
      </c>
      <c r="U1105" t="e">
        <f t="array" ref="U1105">IF(--INDEX('Raw Data'!$A$4:J$998,$F1105,16)= 1, 1, 0)</f>
        <v>#NUM!</v>
      </c>
      <c r="V1105" t="e">
        <f t="array" ref="V1105">IF(--INDEX('Raw Data'!$A$4:K$998,$F1105,17)= 1, 1, 0)</f>
        <v>#NUM!</v>
      </c>
      <c r="W1105" t="e">
        <f t="array" ref="W1105">INDEX('Raw Data'!$A:$O,$F1105,19)</f>
        <v>#NUM!</v>
      </c>
      <c r="X1105" t="e">
        <f t="array" ref="X1105">INDEX('Raw Data'!$A:$O,$F1105,20)</f>
        <v>#NUM!</v>
      </c>
      <c r="Y1105" t="e">
        <f t="array" ref="Y1105">INDEX('Raw Data'!$A:$O,F1105,21)</f>
        <v>#NUM!</v>
      </c>
      <c r="Z1105" t="e">
        <f t="array" ref="Z1105">INDEX('Raw Data'!$A:$O,$F1105,3)</f>
        <v>#NUM!</v>
      </c>
      <c r="AA1105" t="e">
        <f t="array" ref="AA1105">INDEX('Raw Data'!$A:$O,$F1105,22)</f>
        <v>#NUM!</v>
      </c>
      <c r="AB1105" t="e">
        <f t="array" ref="AB1105">INDEX('Raw Data'!$A:$O,$F1105,23)</f>
        <v>#NUM!</v>
      </c>
    </row>
    <row r="1106" spans="1:44" x14ac:dyDescent="0.25">
      <c r="F1106" t="e">
        <f t="array" ref="F1106">SMALL(IF('Raw Data'!A:A=C1095,ROW('Raw Data'!A:A)),ROW('Raw Data'!$11:$11))</f>
        <v>#NUM!</v>
      </c>
      <c r="G1106" t="e">
        <f t="array" ref="G1106">INDEX('Raw Data'!A:A,F1106,9)</f>
        <v>#NUM!</v>
      </c>
      <c r="H1106" t="e">
        <f t="array" ref="H1106">INDEX('Raw Data'!A:A,F1106,10)</f>
        <v>#NUM!</v>
      </c>
      <c r="I1106" t="e">
        <f t="array" ref="I1106">INDEX('Raw Data'!$A:A,$F1106,11)</f>
        <v>#NUM!</v>
      </c>
      <c r="J1106" t="e">
        <f t="array" ref="J1106">INDEX('Raw Data'!$A:A,F1106,12)</f>
        <v>#NUM!</v>
      </c>
      <c r="K1106" t="e">
        <f t="array" ref="K1106">(--INDEX('Raw Data'!$A$4:B$998,F1106,4))</f>
        <v>#NUM!</v>
      </c>
      <c r="L1106" t="e">
        <f t="array" ref="L1106">(--INDEX('Raw Data'!$A$4:B$998,F1106,5))</f>
        <v>#NUM!</v>
      </c>
      <c r="M1106" t="e">
        <f t="array" ref="M1106">(--INDEX('Raw Data'!$A$4:D$998,$F1106,6))</f>
        <v>#NUM!</v>
      </c>
      <c r="N1106" t="e">
        <f t="array" ref="N1106">(--INDEX('Raw Data'!$A$4:D$998,$F1106,7))</f>
        <v>#NUM!</v>
      </c>
      <c r="O1106" t="e">
        <f t="array" ref="O1106">IF(--INDEX('Raw Data'!$A$4:E$998,$F1106,8)= 0, 1, 0)</f>
        <v>#NUM!</v>
      </c>
      <c r="P1106" t="e">
        <f t="array" ref="P1106">IF(--INDEX('Raw Data'!$A$4:F$998,$F1106,8)= 1, 1, 0)</f>
        <v>#NUM!</v>
      </c>
      <c r="Q1106" t="e">
        <f t="array" ref="Q1106">IF(--INDEX('Raw Data'!$A$4:G$998,$F1106,13)= 1, 1, 0)</f>
        <v>#NUM!</v>
      </c>
      <c r="R1106" t="e">
        <f t="array" ref="R1106">IF(--INDEX('Raw Data'!$A$4:H$998,$F1106,14)= 1, 1, 0)</f>
        <v>#NUM!</v>
      </c>
      <c r="S1106" t="e">
        <f t="array" ref="S1106">IF(--INDEX('Raw Data'!$A$4:I$998,$F1106,15)= 1, 1, 0)</f>
        <v>#NUM!</v>
      </c>
      <c r="T1106" t="e">
        <f t="array" ref="T1106">IF(--INDEX('Raw Data'!$A$4:I$998,$F1106,15)= 1, 1, 0)</f>
        <v>#NUM!</v>
      </c>
      <c r="U1106" t="e">
        <f t="array" ref="U1106">IF(--INDEX('Raw Data'!$A$4:J$998,$F1106,16)= 1, 1, 0)</f>
        <v>#NUM!</v>
      </c>
      <c r="V1106" t="e">
        <f t="array" ref="V1106">IF(--INDEX('Raw Data'!$A$4:K$998,$F1106,17)= 1, 1, 0)</f>
        <v>#NUM!</v>
      </c>
      <c r="W1106" t="e">
        <f t="array" ref="W1106">INDEX('Raw Data'!$A:$O,$F1106,19)</f>
        <v>#NUM!</v>
      </c>
      <c r="X1106" t="e">
        <f t="array" ref="X1106">INDEX('Raw Data'!$A:$O,$F1106,20)</f>
        <v>#NUM!</v>
      </c>
      <c r="Y1106" t="e">
        <f t="array" ref="Y1106">INDEX('Raw Data'!$A:$O,F1106,21)</f>
        <v>#NUM!</v>
      </c>
      <c r="Z1106" t="e">
        <f t="array" ref="Z1106">INDEX('Raw Data'!$A:$O,$F1106,3)</f>
        <v>#NUM!</v>
      </c>
      <c r="AA1106" t="e">
        <f t="array" ref="AA1106">INDEX('Raw Data'!$A:$O,$F1106,22)</f>
        <v>#NUM!</v>
      </c>
      <c r="AB1106" t="e">
        <f t="array" ref="AB1106">INDEX('Raw Data'!$A:$O,$F1106,23)</f>
        <v>#NUM!</v>
      </c>
    </row>
    <row r="1107" spans="1:44" x14ac:dyDescent="0.25">
      <c r="F1107" t="e">
        <f t="array" ref="F1107">SMALL(IF('Raw Data'!A:A=C1095,ROW('Raw Data'!A:A)),ROW('Raw Data'!$12:$12))</f>
        <v>#NUM!</v>
      </c>
      <c r="G1107" t="e">
        <f t="array" ref="G1107">INDEX('Raw Data'!A:A,F1107,9)</f>
        <v>#NUM!</v>
      </c>
      <c r="H1107" t="e">
        <f t="array" ref="H1107">INDEX('Raw Data'!A:A,F1107,10)</f>
        <v>#NUM!</v>
      </c>
      <c r="I1107" t="e">
        <f t="array" ref="I1107">INDEX('Raw Data'!$A:A,$F1107,11)</f>
        <v>#NUM!</v>
      </c>
      <c r="J1107" t="e">
        <f t="array" ref="J1107">INDEX('Raw Data'!$A:A,F1107,12)</f>
        <v>#NUM!</v>
      </c>
      <c r="K1107" t="e">
        <f t="array" ref="K1107">(--INDEX('Raw Data'!$A$4:B$998,F1107,4))</f>
        <v>#NUM!</v>
      </c>
      <c r="L1107" t="e">
        <f t="array" ref="L1107">(--INDEX('Raw Data'!$A$4:B$998,F1107,5))</f>
        <v>#NUM!</v>
      </c>
      <c r="M1107" t="e">
        <f t="array" ref="M1107">(--INDEX('Raw Data'!$A$4:D$998,$F1107,6))</f>
        <v>#NUM!</v>
      </c>
      <c r="N1107" t="e">
        <f t="array" ref="N1107">(--INDEX('Raw Data'!$A$4:D$998,$F1107,7))</f>
        <v>#NUM!</v>
      </c>
      <c r="O1107" t="e">
        <f t="array" ref="O1107">IF(--INDEX('Raw Data'!$A$4:E$998,$F1107,8)= 0, 1, 0)</f>
        <v>#NUM!</v>
      </c>
      <c r="P1107" t="e">
        <f t="array" ref="P1107">IF(--INDEX('Raw Data'!$A$4:F$998,$F1107,8)= 1, 1, 0)</f>
        <v>#NUM!</v>
      </c>
      <c r="Q1107" t="e">
        <f t="array" ref="Q1107">IF(--INDEX('Raw Data'!$A$4:G$998,$F1107,13)= 1, 1, 0)</f>
        <v>#NUM!</v>
      </c>
      <c r="R1107" t="e">
        <f t="array" ref="R1107">IF(--INDEX('Raw Data'!$A$4:H$998,$F1107,14)= 1, 1, 0)</f>
        <v>#NUM!</v>
      </c>
      <c r="S1107" t="e">
        <f t="array" ref="S1107">IF(--INDEX('Raw Data'!$A$4:I$998,$F1107,15)= 1, 1, 0)</f>
        <v>#NUM!</v>
      </c>
      <c r="T1107" t="e">
        <f t="array" ref="T1107">IF(--INDEX('Raw Data'!$A$4:I$998,$F1107,15)= 1, 1, 0)</f>
        <v>#NUM!</v>
      </c>
      <c r="U1107" t="e">
        <f t="array" ref="U1107">IF(--INDEX('Raw Data'!$A$4:J$998,$F1107,16)= 1, 1, 0)</f>
        <v>#NUM!</v>
      </c>
      <c r="V1107" t="e">
        <f t="array" ref="V1107">IF(--INDEX('Raw Data'!$A$4:K$998,$F1107,17)= 1, 1, 0)</f>
        <v>#NUM!</v>
      </c>
      <c r="W1107" t="e">
        <f t="array" ref="W1107">INDEX('Raw Data'!$A:$O,$F1107,19)</f>
        <v>#NUM!</v>
      </c>
      <c r="X1107" t="e">
        <f t="array" ref="X1107">INDEX('Raw Data'!$A:$O,$F1107,20)</f>
        <v>#NUM!</v>
      </c>
      <c r="Y1107" t="e">
        <f t="array" ref="Y1107">INDEX('Raw Data'!$A:$O,F1107,21)</f>
        <v>#NUM!</v>
      </c>
      <c r="Z1107" t="e">
        <f t="array" ref="Z1107">INDEX('Raw Data'!$A:$O,$F1107,3)</f>
        <v>#NUM!</v>
      </c>
      <c r="AA1107" t="e">
        <f t="array" ref="AA1107">INDEX('Raw Data'!$A:$O,$F1107,22)</f>
        <v>#NUM!</v>
      </c>
      <c r="AB1107" t="e">
        <f t="array" ref="AB1107">INDEX('Raw Data'!$A:$O,$F1107,23)</f>
        <v>#NUM!</v>
      </c>
    </row>
    <row r="1108" spans="1:44" x14ac:dyDescent="0.25">
      <c r="F1108" t="e">
        <f t="array" ref="F1108">SMALL(IF('Raw Data'!A:A=C1095,ROW('Raw Data'!A:A)),ROW('Raw Data'!$13:$13))</f>
        <v>#NUM!</v>
      </c>
      <c r="G1108" t="e">
        <f t="array" ref="G1108">INDEX('Raw Data'!A:A,F1108,9)</f>
        <v>#NUM!</v>
      </c>
      <c r="H1108" t="e">
        <f t="array" ref="H1108">INDEX('Raw Data'!A:A,F1108,10)</f>
        <v>#NUM!</v>
      </c>
      <c r="I1108" t="e">
        <f t="array" ref="I1108">INDEX('Raw Data'!$A:A,$F1108,11)</f>
        <v>#NUM!</v>
      </c>
      <c r="J1108" t="e">
        <f t="array" ref="J1108">INDEX('Raw Data'!$A:A,F1108,12)</f>
        <v>#NUM!</v>
      </c>
      <c r="K1108" t="e">
        <f t="array" ref="K1108">(--INDEX('Raw Data'!$A$4:B$998,F1108,4))</f>
        <v>#NUM!</v>
      </c>
      <c r="L1108" t="e">
        <f t="array" ref="L1108">(--INDEX('Raw Data'!$A$4:B$998,F1108,5))</f>
        <v>#NUM!</v>
      </c>
      <c r="M1108" t="e">
        <f t="array" ref="M1108">(--INDEX('Raw Data'!$A$4:D$998,$F1108,6))</f>
        <v>#NUM!</v>
      </c>
      <c r="N1108" t="e">
        <f t="array" ref="N1108">(--INDEX('Raw Data'!$A$4:D$998,$F1108,7))</f>
        <v>#NUM!</v>
      </c>
      <c r="O1108" t="e">
        <f t="array" ref="O1108">IF(--INDEX('Raw Data'!$A$4:E$998,$F1108,8)= 0, 1, 0)</f>
        <v>#NUM!</v>
      </c>
      <c r="P1108" t="e">
        <f t="array" ref="P1108">IF(--INDEX('Raw Data'!$A$4:F$998,$F1108,8)= 1, 1, 0)</f>
        <v>#NUM!</v>
      </c>
      <c r="Q1108" t="e">
        <f t="array" ref="Q1108">IF(--INDEX('Raw Data'!$A$4:G$998,$F1108,13)= 1, 1, 0)</f>
        <v>#NUM!</v>
      </c>
      <c r="R1108" t="e">
        <f t="array" ref="R1108">IF(--INDEX('Raw Data'!$A$4:H$998,$F1108,14)= 1, 1, 0)</f>
        <v>#NUM!</v>
      </c>
      <c r="S1108" t="e">
        <f t="array" ref="S1108">IF(--INDEX('Raw Data'!$A$4:I$998,$F1108,15)= 1, 1, 0)</f>
        <v>#NUM!</v>
      </c>
      <c r="T1108" t="e">
        <f t="array" ref="T1108">IF(--INDEX('Raw Data'!$A$4:I$998,$F1108,15)= 1, 1, 0)</f>
        <v>#NUM!</v>
      </c>
      <c r="U1108" t="e">
        <f t="array" ref="U1108">IF(--INDEX('Raw Data'!$A$4:J$998,$F1108,16)= 1, 1, 0)</f>
        <v>#NUM!</v>
      </c>
      <c r="V1108" t="e">
        <f t="array" ref="V1108">IF(--INDEX('Raw Data'!$A$4:K$998,$F1108,17)= 1, 1, 0)</f>
        <v>#NUM!</v>
      </c>
      <c r="W1108" t="e">
        <f t="array" ref="W1108">INDEX('Raw Data'!$A:$O,$F1108,19)</f>
        <v>#NUM!</v>
      </c>
      <c r="X1108" t="e">
        <f t="array" ref="X1108">INDEX('Raw Data'!$A:$O,$F1108,20)</f>
        <v>#NUM!</v>
      </c>
      <c r="Y1108" t="e">
        <f t="array" ref="Y1108">INDEX('Raw Data'!$A:$O,F1108,21)</f>
        <v>#NUM!</v>
      </c>
      <c r="Z1108" t="e">
        <f t="array" ref="Z1108">INDEX('Raw Data'!$A:$O,$F1108,3)</f>
        <v>#NUM!</v>
      </c>
      <c r="AA1108" t="e">
        <f t="array" ref="AA1108">INDEX('Raw Data'!$A:$O,$F1108,22)</f>
        <v>#NUM!</v>
      </c>
      <c r="AB1108" t="e">
        <f t="array" ref="AB1108">INDEX('Raw Data'!$A:$O,$F1108,23)</f>
        <v>#NUM!</v>
      </c>
    </row>
    <row r="1109" spans="1:44" x14ac:dyDescent="0.25">
      <c r="F1109" t="e">
        <f t="array" ref="F1109">SMALL(IF('Raw Data'!A:A=C1095,ROW('Raw Data'!A:A)),ROW('Raw Data'!$14:$14))</f>
        <v>#NUM!</v>
      </c>
      <c r="G1109" t="e">
        <f t="array" ref="G1109">INDEX('Raw Data'!A:A,F1109,9)</f>
        <v>#NUM!</v>
      </c>
      <c r="H1109" t="e">
        <f t="array" ref="H1109">INDEX('Raw Data'!A:A,F1109,10)</f>
        <v>#NUM!</v>
      </c>
      <c r="I1109" t="e">
        <f t="array" ref="I1109">INDEX('Raw Data'!$A:A,$F1109,11)</f>
        <v>#NUM!</v>
      </c>
      <c r="J1109" t="e">
        <f t="array" ref="J1109">INDEX('Raw Data'!$A:A,F1109,12)</f>
        <v>#NUM!</v>
      </c>
      <c r="K1109" t="e">
        <f t="array" ref="K1109">(--INDEX('Raw Data'!$A$4:B$998,F1109,4))</f>
        <v>#NUM!</v>
      </c>
      <c r="L1109" t="e">
        <f t="array" ref="L1109">(--INDEX('Raw Data'!$A$4:B$998,F1109,5))</f>
        <v>#NUM!</v>
      </c>
      <c r="M1109" t="e">
        <f t="array" ref="M1109">(--INDEX('Raw Data'!$A$4:D$998,$F1109,6))</f>
        <v>#NUM!</v>
      </c>
      <c r="N1109" t="e">
        <f t="array" ref="N1109">(--INDEX('Raw Data'!$A$4:D$998,$F1109,7))</f>
        <v>#NUM!</v>
      </c>
      <c r="O1109" t="e">
        <f t="array" ref="O1109">IF(--INDEX('Raw Data'!$A$4:E$998,$F1109,8)= 0, 1, 0)</f>
        <v>#NUM!</v>
      </c>
      <c r="P1109" t="e">
        <f t="array" ref="P1109">IF(--INDEX('Raw Data'!$A$4:F$998,$F1109,8)= 1, 1, 0)</f>
        <v>#NUM!</v>
      </c>
      <c r="Q1109" t="e">
        <f t="array" ref="Q1109">IF(--INDEX('Raw Data'!$A$4:G$998,$F1109,13)= 1, 1, 0)</f>
        <v>#NUM!</v>
      </c>
      <c r="R1109" t="e">
        <f t="array" ref="R1109">IF(--INDEX('Raw Data'!$A$4:H$998,$F1109,14)= 1, 1, 0)</f>
        <v>#NUM!</v>
      </c>
      <c r="S1109" t="e">
        <f t="array" ref="S1109">IF(--INDEX('Raw Data'!$A$4:I$998,$F1109,15)= 1, 1, 0)</f>
        <v>#NUM!</v>
      </c>
      <c r="T1109" t="e">
        <f t="array" ref="T1109">IF(--INDEX('Raw Data'!$A$4:I$998,$F1109,15)= 1, 1, 0)</f>
        <v>#NUM!</v>
      </c>
      <c r="U1109" t="e">
        <f t="array" ref="U1109">IF(--INDEX('Raw Data'!$A$4:J$998,$F1109,16)= 1, 1, 0)</f>
        <v>#NUM!</v>
      </c>
      <c r="V1109" t="e">
        <f t="array" ref="V1109">IF(--INDEX('Raw Data'!$A$4:K$998,$F1109,17)= 1, 1, 0)</f>
        <v>#NUM!</v>
      </c>
      <c r="W1109" t="e">
        <f t="array" ref="W1109">INDEX('Raw Data'!$A:$O,$F1109,19)</f>
        <v>#NUM!</v>
      </c>
      <c r="X1109" t="e">
        <f t="array" ref="X1109">INDEX('Raw Data'!$A:$O,$F1109,20)</f>
        <v>#NUM!</v>
      </c>
      <c r="Y1109" t="e">
        <f t="array" ref="Y1109">INDEX('Raw Data'!$A:$O,F1109,21)</f>
        <v>#NUM!</v>
      </c>
      <c r="Z1109" t="e">
        <f t="array" ref="Z1109">INDEX('Raw Data'!$A:$O,$F1109,3)</f>
        <v>#NUM!</v>
      </c>
      <c r="AA1109" t="e">
        <f t="array" ref="AA1109">INDEX('Raw Data'!$A:$O,$F1109,22)</f>
        <v>#NUM!</v>
      </c>
      <c r="AB1109" t="e">
        <f t="array" ref="AB1109">INDEX('Raw Data'!$A:$O,$F1109,23)</f>
        <v>#NUM!</v>
      </c>
    </row>
    <row r="1110" spans="1:44" x14ac:dyDescent="0.25">
      <c r="F1110" t="e">
        <f t="array" ref="F1110">SMALL(IF('Raw Data'!A:A=C1095,ROW('Raw Data'!A:A)),ROW('Raw Data'!$15:$15))</f>
        <v>#NUM!</v>
      </c>
      <c r="G1110" t="e">
        <f t="array" ref="G1110">INDEX('Raw Data'!A:A,F1110,9)</f>
        <v>#NUM!</v>
      </c>
      <c r="H1110" t="e">
        <f t="array" ref="H1110">INDEX('Raw Data'!A:A,F1110,10)</f>
        <v>#NUM!</v>
      </c>
      <c r="I1110" t="e">
        <f t="array" ref="I1110">INDEX('Raw Data'!$A:A,$F1110,11)</f>
        <v>#NUM!</v>
      </c>
      <c r="J1110" t="e">
        <f t="array" ref="J1110">INDEX('Raw Data'!$A:A,F1110,12)</f>
        <v>#NUM!</v>
      </c>
      <c r="K1110" t="e">
        <f t="array" ref="K1110">(--INDEX('Raw Data'!$A$4:B$998,F1110,4))</f>
        <v>#NUM!</v>
      </c>
      <c r="L1110" t="e">
        <f t="array" ref="L1110">(--INDEX('Raw Data'!$A$4:B$998,F1110,5))</f>
        <v>#NUM!</v>
      </c>
      <c r="M1110" t="e">
        <f t="array" ref="M1110">(--INDEX('Raw Data'!$A$4:D$998,$F1110,6))</f>
        <v>#NUM!</v>
      </c>
      <c r="N1110" t="e">
        <f t="array" ref="N1110">(--INDEX('Raw Data'!$A$4:D$998,$F1110,7))</f>
        <v>#NUM!</v>
      </c>
      <c r="O1110" t="e">
        <f t="array" ref="O1110">IF(--INDEX('Raw Data'!$A$4:E$998,$F1110,8)= 0, 1, 0)</f>
        <v>#NUM!</v>
      </c>
      <c r="P1110" t="e">
        <f t="array" ref="P1110">IF(--INDEX('Raw Data'!$A$4:F$998,$F1110,8)= 1, 1, 0)</f>
        <v>#NUM!</v>
      </c>
      <c r="Q1110" t="e">
        <f t="array" ref="Q1110">IF(--INDEX('Raw Data'!$A$4:G$998,$F1110,13)= 1, 1, 0)</f>
        <v>#NUM!</v>
      </c>
      <c r="R1110" t="e">
        <f t="array" ref="R1110">IF(--INDEX('Raw Data'!$A$4:H$998,$F1110,14)= 1, 1, 0)</f>
        <v>#NUM!</v>
      </c>
      <c r="S1110" t="e">
        <f t="array" ref="S1110">IF(--INDEX('Raw Data'!$A$4:I$998,$F1110,15)= 1, 1, 0)</f>
        <v>#NUM!</v>
      </c>
      <c r="T1110" t="e">
        <f t="array" ref="T1110">IF(--INDEX('Raw Data'!$A$4:I$998,$F1110,15)= 1, 1, 0)</f>
        <v>#NUM!</v>
      </c>
      <c r="U1110" t="e">
        <f t="array" ref="U1110">IF(--INDEX('Raw Data'!$A$4:J$998,$F1110,16)= 1, 1, 0)</f>
        <v>#NUM!</v>
      </c>
      <c r="V1110" t="e">
        <f t="array" ref="V1110">IF(--INDEX('Raw Data'!$A$4:K$998,$F1110,17)= 1, 1, 0)</f>
        <v>#NUM!</v>
      </c>
      <c r="W1110" t="e">
        <f t="array" ref="W1110">INDEX('Raw Data'!$A:$O,$F1110,19)</f>
        <v>#NUM!</v>
      </c>
      <c r="X1110" t="e">
        <f t="array" ref="X1110">INDEX('Raw Data'!$A:$O,$F1110,20)</f>
        <v>#NUM!</v>
      </c>
      <c r="Y1110" t="e">
        <f t="array" ref="Y1110">INDEX('Raw Data'!$A:$O,F1110,21)</f>
        <v>#NUM!</v>
      </c>
      <c r="Z1110" t="e">
        <f t="array" ref="Z1110">INDEX('Raw Data'!$A:$O,$F1110,3)</f>
        <v>#NUM!</v>
      </c>
      <c r="AA1110" t="e">
        <f t="array" ref="AA1110">INDEX('Raw Data'!$A:$O,$F1110,22)</f>
        <v>#NUM!</v>
      </c>
      <c r="AB1110" t="e">
        <f t="array" ref="AB1110">INDEX('Raw Data'!$A:$O,$F1110,23)</f>
        <v>#NUM!</v>
      </c>
    </row>
    <row r="1111" spans="1:44" x14ac:dyDescent="0.25">
      <c r="A1111" t="s">
        <v>55</v>
      </c>
      <c r="C1111" s="2" t="e">
        <f>B1101/B1100</f>
        <v>#DIV/0!</v>
      </c>
      <c r="F1111">
        <f t="array" ref="F1111">COUNTIF(F1096:F1110,"&gt;0")</f>
        <v>0</v>
      </c>
      <c r="G1111">
        <f t="array" ref="G1111">SUMIF(G1096:G1110,"&gt;0")</f>
        <v>0</v>
      </c>
      <c r="H1111">
        <f t="array" ref="H1111">SUMIF(H1096:H1110,"&gt;0")</f>
        <v>0</v>
      </c>
      <c r="I1111">
        <f t="array" ref="I1111">SUMIF(I1096:I1110,"&gt;0")</f>
        <v>0</v>
      </c>
      <c r="J1111">
        <f t="array" ref="J1111">SUMIF(J1096:J1110,"&gt;0")</f>
        <v>0</v>
      </c>
      <c r="K1111">
        <f t="array" ref="K1111">SUMIF(K1096:K1110,"&gt;0")</f>
        <v>0</v>
      </c>
      <c r="L1111">
        <f t="array" ref="L1111">SUMIF(L1096:L1110,"&gt;0")</f>
        <v>0</v>
      </c>
      <c r="M1111">
        <f t="array" ref="M1111">SUMIF(M1096:M1110,"&gt;0")</f>
        <v>0</v>
      </c>
      <c r="N1111">
        <f t="array" ref="N1111">SUMIF(N1096:N1110,"&gt;0")</f>
        <v>0</v>
      </c>
      <c r="O1111">
        <f t="array" ref="O1111">SUMIF(O1096:O1110,"&gt;0")</f>
        <v>0</v>
      </c>
      <c r="P1111">
        <f t="array" ref="P1111">SUMIF(P1096:P1110,"&gt;0")</f>
        <v>0</v>
      </c>
      <c r="Q1111">
        <f t="array" ref="Q1111">SUMIF(Q1096:Q1110,"&gt;0")</f>
        <v>0</v>
      </c>
      <c r="R1111">
        <f t="array" ref="R1111">SUMIF(R1096:R1110,"&gt;0")</f>
        <v>0</v>
      </c>
      <c r="S1111">
        <f t="array" ref="S1111">SUMIF(S1096:S1110,"&gt;0")</f>
        <v>0</v>
      </c>
      <c r="T1111">
        <f t="array" ref="T1111">SUMIF(T1096:T1110,"&gt;0")</f>
        <v>0</v>
      </c>
      <c r="U1111">
        <f t="array" ref="U1111">SUMIF(U1096:U1110,"&gt;0")</f>
        <v>0</v>
      </c>
      <c r="V1111">
        <f t="array" ref="V1111">SUMIF(V1096:V1110,"&gt;0")</f>
        <v>0</v>
      </c>
      <c r="W1111">
        <f t="array" ref="W1111">SUMIF(W1096:W1110,"&gt;0")</f>
        <v>0</v>
      </c>
      <c r="X1111">
        <f t="array" ref="X1111">SUMIF(X1096:X1110,"&gt;0")</f>
        <v>0</v>
      </c>
      <c r="Y1111">
        <f t="array" ref="Y1111">SUMIF(Y1096:Y1110,"&gt;0")</f>
        <v>0</v>
      </c>
      <c r="Z1111">
        <f t="array" ref="Z1111">SUMIF(Z1096:Z1110,"&gt;0")</f>
        <v>0</v>
      </c>
      <c r="AA1111">
        <f t="array" ref="AA1111">SUMIF(AA1096:AA1110,"&gt;0")</f>
        <v>0</v>
      </c>
      <c r="AB1111">
        <f t="array" ref="AB1111">SUMIF(AB1096:AB1110,"&gt;0")</f>
        <v>0</v>
      </c>
    </row>
    <row r="1112" spans="1:44" x14ac:dyDescent="0.25">
      <c r="A1112" t="s">
        <v>58</v>
      </c>
      <c r="C1112" s="2">
        <f t="array" ref="C1112">IF((K1111+L1111)&lt;&gt;0, (L1111/(K1111+L1111)),0)</f>
        <v>0</v>
      </c>
      <c r="J1112" s="6">
        <f t="array" ref="J1112">J1111*10</f>
        <v>0</v>
      </c>
      <c r="K1112" s="6"/>
      <c r="P1112" t="s">
        <v>95</v>
      </c>
      <c r="Q1112" s="2" t="e">
        <f t="array" ref="Q1112">Q1111/$F1111</f>
        <v>#DIV/0!</v>
      </c>
      <c r="R1112" s="2" t="e">
        <f t="array" ref="R1112">R1111/$F1111</f>
        <v>#DIV/0!</v>
      </c>
      <c r="S1112" s="2" t="e">
        <f t="array" ref="S1112">S1111/$F1111</f>
        <v>#DIV/0!</v>
      </c>
      <c r="T1112" s="2" t="e">
        <f t="array" ref="T1112">T1111/$F1111</f>
        <v>#DIV/0!</v>
      </c>
      <c r="U1112" s="2" t="e">
        <f t="array" ref="U1112">U1111/$F1111</f>
        <v>#DIV/0!</v>
      </c>
      <c r="V1112" s="2" t="e">
        <f t="array" ref="V1112">V1111/$F1111</f>
        <v>#DIV/0!</v>
      </c>
      <c r="Z1112" s="2" t="e">
        <f t="array" ref="Z1112">Z1111/F1111</f>
        <v>#DIV/0!</v>
      </c>
      <c r="AR1112" s="25"/>
    </row>
    <row r="1113" spans="1:44" x14ac:dyDescent="0.25">
      <c r="A1113" t="s">
        <v>60</v>
      </c>
      <c r="C1113" s="2">
        <f t="array" ref="C1113">IF((M1111+N1111)&lt;&gt;0, (N1111/(M1111+N1111)),0)</f>
        <v>0</v>
      </c>
      <c r="J1113" s="6"/>
      <c r="K1113" s="6"/>
      <c r="AR1113" s="25"/>
    </row>
    <row r="1114" spans="1:44" ht="28.5" x14ac:dyDescent="0.45">
      <c r="A1114" t="s">
        <v>61</v>
      </c>
      <c r="C1114" s="2">
        <f t="array" ref="C1114">IF(((K1111+N1111+L1111+M1111)&lt;&gt;0), ((L1111+N1111)/(K1111+N1111+L1111+M1111)),0)</f>
        <v>0</v>
      </c>
      <c r="F1114" s="17" t="s">
        <v>106</v>
      </c>
      <c r="G1114" s="17" t="e">
        <f t="array" ref="G1114">'Weighting &amp; Ranking Sheet'!$B$3*Math!$C1112+'Weighting &amp; Ranking Sheet'!$B$4*Math!$C1113+'Weighting &amp; Ranking Sheet'!$B$5*Math!$C1114+'Weighting &amp; Ranking Sheet'!$B$6*Math!$C1115+'Weighting &amp; Ranking Sheet'!$B$7*Math!$C1099+'Weighting &amp; Ranking Sheet'!$B$8*Math!$C1111+'Weighting &amp; Ranking Sheet'!$B$9*Math!$C1118+'Weighting &amp; Ranking Sheet'!$B$10*Math!$C1116+'Weighting &amp; Ranking Sheet'!$B$11*Math!$C1117+'Weighting &amp; Ranking Sheet'!$B$12*Math!$C1119*0.01+'Weighting &amp; Ranking Sheet'!$B$13*Math!$Q1112+'Weighting &amp; Ranking Sheet'!$B$14*Math!$R1112+'Weighting &amp; Ranking Sheet'!$B$15*Math!$S1112+'Weighting &amp; Ranking Sheet'!$B$16*Math!$T1112+'Weighting &amp; Ranking Sheet'!$B$17*Math!$U1112+'Weighting &amp; Ranking Sheet'!$B$18*Math!$V1112+'Weighting &amp; Ranking Sheet'!$B$2*Math!$Z1112</f>
        <v>#DIV/0!</v>
      </c>
      <c r="J1114"/>
      <c r="K1114" s="6"/>
      <c r="AR1114" s="25"/>
    </row>
    <row r="1115" spans="1:44" x14ac:dyDescent="0.25">
      <c r="A1115" t="s">
        <v>62</v>
      </c>
      <c r="C1115" s="2">
        <f t="array" ref="C1115">IF((O1111+P1111&lt;&gt;0),(P1111/(O1111+P1111)), 0)</f>
        <v>0</v>
      </c>
      <c r="J1115"/>
      <c r="K1115" s="6"/>
      <c r="AR1115" s="25"/>
    </row>
    <row r="1116" spans="1:44" x14ac:dyDescent="0.25">
      <c r="A1116" t="s">
        <v>77</v>
      </c>
      <c r="C1116" s="8" t="e">
        <f t="array" ref="C1116">W1111/F1111</f>
        <v>#DIV/0!</v>
      </c>
      <c r="J1116"/>
      <c r="K1116" s="6"/>
      <c r="AR1116" s="23"/>
    </row>
    <row r="1117" spans="1:44" x14ac:dyDescent="0.25">
      <c r="A1117" t="s">
        <v>78</v>
      </c>
      <c r="C1117" s="8" t="e">
        <f t="array" ref="C1117">X1111/F1111</f>
        <v>#DIV/0!</v>
      </c>
      <c r="J1117"/>
      <c r="K1117" s="6"/>
    </row>
    <row r="1118" spans="1:44" x14ac:dyDescent="0.25">
      <c r="A1118" t="s">
        <v>91</v>
      </c>
      <c r="C1118" s="2" t="e">
        <f t="array" ref="C1118">(C1099+C1111)/2</f>
        <v>#DIV/0!</v>
      </c>
      <c r="J1118"/>
      <c r="K1118" s="6"/>
    </row>
    <row r="1119" spans="1:44" x14ac:dyDescent="0.25">
      <c r="A1119" t="s">
        <v>92</v>
      </c>
      <c r="C1119" s="8" t="e">
        <f t="array" ref="C1119">Y1111/F1111</f>
        <v>#DIV/0!</v>
      </c>
      <c r="J1119" s="6"/>
      <c r="K1119" s="6"/>
    </row>
    <row r="1120" spans="1:44" x14ac:dyDescent="0.25">
      <c r="C1120" s="8"/>
      <c r="J1120" s="6"/>
      <c r="K1120" s="6"/>
    </row>
    <row r="1121" spans="1:44" x14ac:dyDescent="0.25">
      <c r="C1121" s="8"/>
      <c r="J1121" s="6"/>
      <c r="K1121" s="6"/>
    </row>
    <row r="1122" spans="1:44" x14ac:dyDescent="0.25">
      <c r="C1122" s="8"/>
      <c r="J1122" s="6"/>
      <c r="K1122" s="6"/>
    </row>
    <row r="1123" spans="1:44" x14ac:dyDescent="0.25">
      <c r="A1123" t="s">
        <v>3</v>
      </c>
      <c r="C1123" s="5">
        <v>5113</v>
      </c>
      <c r="F1123" t="s">
        <v>33</v>
      </c>
    </row>
    <row r="1124" spans="1:44" x14ac:dyDescent="0.25">
      <c r="F1124" t="e">
        <f t="array" ref="F1124">SMALL(IF('Raw Data'!A:A=C1123,ROW('Raw Data'!A:A)),ROW('Raw Data'!$1:$1))</f>
        <v>#NUM!</v>
      </c>
      <c r="G1124" t="e">
        <f t="array" ref="G1124">INDEX('Raw Data'!A:A,F1124,9)</f>
        <v>#NUM!</v>
      </c>
      <c r="H1124" t="e">
        <f t="array" ref="H1124">INDEX('Raw Data'!A:A,F1124,10)</f>
        <v>#NUM!</v>
      </c>
      <c r="I1124" t="e">
        <f t="array" ref="I1124">INDEX('Raw Data'!$A:A,$F1124,11)</f>
        <v>#NUM!</v>
      </c>
      <c r="J1124" t="e">
        <f t="array" ref="J1124">INDEX('Raw Data'!$A:A,F1124,12)</f>
        <v>#NUM!</v>
      </c>
      <c r="K1124" t="e">
        <f>(--INDEX('Raw Data'!$A$4:B$993,F1124,4))</f>
        <v>#NUM!</v>
      </c>
      <c r="L1124" t="e">
        <f t="array" ref="L1124">(--INDEX('Raw Data'!$A$4:B$993,F1124,5))</f>
        <v>#NUM!</v>
      </c>
      <c r="M1124" t="e">
        <f t="array" ref="M1124">(--INDEX('Raw Data'!$A$4:D$993,$F1124,6))</f>
        <v>#NUM!</v>
      </c>
      <c r="N1124" t="e">
        <f t="array" ref="N1124">(--INDEX('Raw Data'!$A$4:D$993,$F1124,7))</f>
        <v>#NUM!</v>
      </c>
      <c r="O1124" t="e">
        <f t="array" ref="O1124">IF(--INDEX('Raw Data'!$A$4:E$993,$F1124,8)= 0, 1, 0)</f>
        <v>#NUM!</v>
      </c>
      <c r="P1124" t="e">
        <f t="array" ref="P1124">IF(--INDEX('Raw Data'!$A$4:F$993,$F1124,8)= 1, 1, 0)</f>
        <v>#NUM!</v>
      </c>
      <c r="Q1124" t="e">
        <f t="array" ref="Q1124">IF(--INDEX('Raw Data'!$A$4:G$993,$F1124,13)= 1, 1, 0)</f>
        <v>#NUM!</v>
      </c>
      <c r="R1124" t="e">
        <f t="array" ref="R1124">IF(--INDEX('Raw Data'!$A$4:H$993,$F1124,14)= 1, 1, 0)</f>
        <v>#NUM!</v>
      </c>
      <c r="S1124" t="e">
        <f t="array" ref="S1124">IF(--INDEX('Raw Data'!$A$4:I$993,$F1124,15)= 1, 1, 0)</f>
        <v>#NUM!</v>
      </c>
      <c r="T1124" t="e">
        <f t="array" ref="T1124">IF(--INDEX('Raw Data'!$A$4:I$993,$F1124,15)= 1, 1, 0)</f>
        <v>#NUM!</v>
      </c>
      <c r="U1124" t="e">
        <f t="array" ref="U1124">IF(--INDEX('Raw Data'!$A$4:J$993,$F1124,16)= 1, 1, 0)</f>
        <v>#NUM!</v>
      </c>
      <c r="V1124" t="e">
        <f t="array" ref="V1124">IF(--INDEX('Raw Data'!$A$4:K$993,$F1124,17)= 1, 1, 0)</f>
        <v>#NUM!</v>
      </c>
      <c r="W1124" t="e">
        <f t="array" ref="W1124">INDEX('Raw Data'!$A:$O,$F1124,19)</f>
        <v>#NUM!</v>
      </c>
      <c r="X1124" t="e">
        <f t="array" ref="X1124">INDEX('Raw Data'!$A:$O,$F1124,20)</f>
        <v>#NUM!</v>
      </c>
      <c r="Y1124" t="e">
        <f t="array" ref="Y1124">INDEX('Raw Data'!$A:$O,F1124,21)</f>
        <v>#NUM!</v>
      </c>
      <c r="Z1124" t="e">
        <f t="array" ref="Z1124">INDEX('Raw Data'!$A:$O,$F1124,3)</f>
        <v>#NUM!</v>
      </c>
      <c r="AA1124" t="e">
        <f t="array" ref="AA1124">INDEX('Raw Data'!$A:$O,$F1124,22)</f>
        <v>#NUM!</v>
      </c>
      <c r="AB1124" t="e">
        <f t="array" ref="AB1124">INDEX('Raw Data'!$A:$O,$F1124,23)</f>
        <v>#NUM!</v>
      </c>
    </row>
    <row r="1125" spans="1:44" x14ac:dyDescent="0.25">
      <c r="A1125" t="s">
        <v>0</v>
      </c>
      <c r="B1125">
        <f>G1139</f>
        <v>0</v>
      </c>
      <c r="F1125" t="e">
        <f t="array" ref="F1125">SMALL(IF('Raw Data'!A:A=C1123,ROW('Raw Data'!A:A)),ROW('Raw Data'!$2:$2))</f>
        <v>#NUM!</v>
      </c>
      <c r="G1125" t="e">
        <f t="array" ref="G1125">INDEX('Raw Data'!A:A,F1125,9)</f>
        <v>#NUM!</v>
      </c>
      <c r="H1125" t="e">
        <f t="array" ref="H1125">INDEX('Raw Data'!A:A,F1125,10)</f>
        <v>#NUM!</v>
      </c>
      <c r="I1125" t="e">
        <f t="array" ref="I1125">INDEX('Raw Data'!$A:A,$F1125,11)</f>
        <v>#NUM!</v>
      </c>
      <c r="J1125" t="e">
        <f t="array" ref="J1125">INDEX('Raw Data'!$A:A,F1125,12)</f>
        <v>#NUM!</v>
      </c>
      <c r="K1125" t="e">
        <f>(--INDEX('Raw Data'!$A$4:B$993,F1125,4))</f>
        <v>#NUM!</v>
      </c>
      <c r="L1125" t="e">
        <f t="array" ref="L1125">(--INDEX('Raw Data'!$A$4:B$993,F1125,5))</f>
        <v>#NUM!</v>
      </c>
      <c r="M1125" t="e">
        <f t="array" ref="M1125">(--INDEX('Raw Data'!$A$4:D$993,$F1125,6))</f>
        <v>#NUM!</v>
      </c>
      <c r="N1125" t="e">
        <f t="array" ref="N1125">(--INDEX('Raw Data'!$A$4:D$993,$F1125,7))</f>
        <v>#NUM!</v>
      </c>
      <c r="O1125" t="e">
        <f t="array" ref="O1125">IF(--INDEX('Raw Data'!$A$4:E$993,$F1125,8)= 0, 1, 0)</f>
        <v>#NUM!</v>
      </c>
      <c r="P1125" t="e">
        <f t="array" ref="P1125">IF(--INDEX('Raw Data'!$A$4:F$993,$F1125,8)= 1, 1, 0)</f>
        <v>#NUM!</v>
      </c>
      <c r="Q1125" t="e">
        <f t="array" ref="Q1125">IF(--INDEX('Raw Data'!$A$4:G$993,$F1125,13)= 1, 1, 0)</f>
        <v>#NUM!</v>
      </c>
      <c r="R1125" t="e">
        <f t="array" ref="R1125">IF(--INDEX('Raw Data'!$A$4:H$993,$F1125,14)= 1, 1, 0)</f>
        <v>#NUM!</v>
      </c>
      <c r="S1125" t="e">
        <f t="array" ref="S1125">IF(--INDEX('Raw Data'!$A$4:I$993,$F1125,15)= 1, 1, 0)</f>
        <v>#NUM!</v>
      </c>
      <c r="T1125" t="e">
        <f t="array" ref="T1125">IF(--INDEX('Raw Data'!$A$4:I$993,$F1125,15)= 1, 1, 0)</f>
        <v>#NUM!</v>
      </c>
      <c r="U1125" t="e">
        <f t="array" ref="U1125">IF(--INDEX('Raw Data'!$A$4:J$993,$F1125,16)= 1, 1, 0)</f>
        <v>#NUM!</v>
      </c>
      <c r="V1125" t="e">
        <f t="array" ref="V1125">IF(--INDEX('Raw Data'!$A$4:K$993,$F1125,17)= 1, 1, 0)</f>
        <v>#NUM!</v>
      </c>
      <c r="W1125" t="e">
        <f t="array" ref="W1125">INDEX('Raw Data'!$A:$O,$F1125,19)</f>
        <v>#NUM!</v>
      </c>
      <c r="X1125" t="e">
        <f t="array" ref="X1125">INDEX('Raw Data'!$A:$O,$F1125,20)</f>
        <v>#NUM!</v>
      </c>
      <c r="Y1125" t="e">
        <f t="array" ref="Y1125">INDEX('Raw Data'!$A:$O,F1125,21)</f>
        <v>#NUM!</v>
      </c>
      <c r="Z1125" t="e">
        <f t="array" ref="Z1125">INDEX('Raw Data'!$A:$O,$F1125,3)</f>
        <v>#NUM!</v>
      </c>
      <c r="AA1125" t="e">
        <f t="array" ref="AA1125">INDEX('Raw Data'!$A:$O,$F1125,22)</f>
        <v>#NUM!</v>
      </c>
      <c r="AB1125" t="e">
        <f t="array" ref="AB1125">INDEX('Raw Data'!$A:$O,$F1125,23)</f>
        <v>#NUM!</v>
      </c>
    </row>
    <row r="1126" spans="1:44" x14ac:dyDescent="0.25">
      <c r="A1126" t="s">
        <v>1</v>
      </c>
      <c r="B1126">
        <f>H1139</f>
        <v>0</v>
      </c>
      <c r="F1126" t="e">
        <f t="array" ref="F1126">SMALL(IF('Raw Data'!A:A=C1123,ROW('Raw Data'!A:A)),ROW('Raw Data'!$3:$3))</f>
        <v>#NUM!</v>
      </c>
      <c r="G1126" t="e">
        <f t="array" ref="G1126">INDEX('Raw Data'!A:A,F1126,9)</f>
        <v>#NUM!</v>
      </c>
      <c r="H1126" t="e">
        <f t="array" ref="H1126">INDEX('Raw Data'!A:A,F1126,10)</f>
        <v>#NUM!</v>
      </c>
      <c r="I1126" t="e">
        <f t="array" ref="I1126">INDEX('Raw Data'!$A:A,$F1126,11)</f>
        <v>#NUM!</v>
      </c>
      <c r="J1126" t="e">
        <f t="array" ref="J1126">INDEX('Raw Data'!$A:A,F1126,12)</f>
        <v>#NUM!</v>
      </c>
      <c r="K1126" t="e">
        <f>(--INDEX('Raw Data'!$A$4:B$993,F1126,4))</f>
        <v>#NUM!</v>
      </c>
      <c r="L1126" t="e">
        <f t="array" ref="L1126">(--INDEX('Raw Data'!$A$4:B$993,F1126,5))</f>
        <v>#NUM!</v>
      </c>
      <c r="M1126" t="e">
        <f t="array" ref="M1126">(--INDEX('Raw Data'!$A$4:D$993,$F1126,6))</f>
        <v>#NUM!</v>
      </c>
      <c r="N1126" t="e">
        <f t="array" ref="N1126">(--INDEX('Raw Data'!$A$4:D$993,$F1126,7))</f>
        <v>#NUM!</v>
      </c>
      <c r="O1126" t="e">
        <f t="array" ref="O1126">IF(--INDEX('Raw Data'!$A$4:E$993,$F1126,8)= 0, 1, 0)</f>
        <v>#NUM!</v>
      </c>
      <c r="P1126" t="e">
        <f t="array" ref="P1126">IF(--INDEX('Raw Data'!$A$4:F$993,$F1126,8)= 1, 1, 0)</f>
        <v>#NUM!</v>
      </c>
      <c r="Q1126" t="e">
        <f t="array" ref="Q1126">IF(--INDEX('Raw Data'!$A$4:G$993,$F1126,13)= 1, 1, 0)</f>
        <v>#NUM!</v>
      </c>
      <c r="R1126" t="e">
        <f t="array" ref="R1126">IF(--INDEX('Raw Data'!$A$4:H$993,$F1126,14)= 1, 1, 0)</f>
        <v>#NUM!</v>
      </c>
      <c r="S1126" t="e">
        <f t="array" ref="S1126">IF(--INDEX('Raw Data'!$A$4:I$993,$F1126,15)= 1, 1, 0)</f>
        <v>#NUM!</v>
      </c>
      <c r="T1126" t="e">
        <f t="array" ref="T1126">IF(--INDEX('Raw Data'!$A$4:I$993,$F1126,15)= 1, 1, 0)</f>
        <v>#NUM!</v>
      </c>
      <c r="U1126" t="e">
        <f t="array" ref="U1126">IF(--INDEX('Raw Data'!$A$4:J$993,$F1126,16)= 1, 1, 0)</f>
        <v>#NUM!</v>
      </c>
      <c r="V1126" t="e">
        <f t="array" ref="V1126">IF(--INDEX('Raw Data'!$A$4:K$993,$F1126,17)= 1, 1, 0)</f>
        <v>#NUM!</v>
      </c>
      <c r="W1126" t="e">
        <f t="array" ref="W1126">INDEX('Raw Data'!$A:$O,$F1126,19)</f>
        <v>#NUM!</v>
      </c>
      <c r="X1126" t="e">
        <f t="array" ref="X1126">INDEX('Raw Data'!$A:$O,$F1126,20)</f>
        <v>#NUM!</v>
      </c>
      <c r="Y1126" t="e">
        <f t="array" ref="Y1126">INDEX('Raw Data'!$A:$O,F1126,21)</f>
        <v>#NUM!</v>
      </c>
      <c r="Z1126" t="e">
        <f t="array" ref="Z1126">INDEX('Raw Data'!$A:$O,$F1126,3)</f>
        <v>#NUM!</v>
      </c>
      <c r="AA1126" t="e">
        <f t="array" ref="AA1126">INDEX('Raw Data'!$A:$O,$F1126,22)</f>
        <v>#NUM!</v>
      </c>
      <c r="AB1126" t="e">
        <f t="array" ref="AB1126">INDEX('Raw Data'!$A:$O,$F1126,23)</f>
        <v>#NUM!</v>
      </c>
    </row>
    <row r="1127" spans="1:44" x14ac:dyDescent="0.25">
      <c r="A1127" t="s">
        <v>2</v>
      </c>
      <c r="C1127" s="3" t="e">
        <f>B1126/B1125</f>
        <v>#DIV/0!</v>
      </c>
      <c r="F1127" t="e">
        <f t="array" ref="F1127">SMALL(IF('Raw Data'!A:A=C1123,ROW('Raw Data'!A:A)),ROW('Raw Data'!$4:$4))</f>
        <v>#NUM!</v>
      </c>
      <c r="G1127" t="e">
        <f t="array" ref="G1127">INDEX('Raw Data'!A:A,F1127,9)</f>
        <v>#NUM!</v>
      </c>
      <c r="H1127" t="e">
        <f t="array" ref="H1127">INDEX('Raw Data'!A:A,F1127,10)</f>
        <v>#NUM!</v>
      </c>
      <c r="I1127" t="e">
        <f t="array" ref="I1127">INDEX('Raw Data'!$A:A,$F1127,11)</f>
        <v>#NUM!</v>
      </c>
      <c r="J1127" t="e">
        <f t="array" ref="J1127">INDEX('Raw Data'!$A:A,F1127,12)</f>
        <v>#NUM!</v>
      </c>
      <c r="K1127" t="e">
        <f>(--INDEX('Raw Data'!$A$4:B$993,F1127,4))</f>
        <v>#NUM!</v>
      </c>
      <c r="L1127" t="e">
        <f t="array" ref="L1127">(--INDEX('Raw Data'!$A$4:B$993,F1127,5))</f>
        <v>#NUM!</v>
      </c>
      <c r="M1127" t="e">
        <f t="array" ref="M1127">(--INDEX('Raw Data'!$A$4:D$993,$F1127,6))</f>
        <v>#NUM!</v>
      </c>
      <c r="N1127" t="e">
        <f t="array" ref="N1127">(--INDEX('Raw Data'!$A$4:D$993,$F1127,7))</f>
        <v>#NUM!</v>
      </c>
      <c r="O1127" t="e">
        <f t="array" ref="O1127">IF(--INDEX('Raw Data'!$A$4:E$993,$F1127,8)= 0, 1, 0)</f>
        <v>#NUM!</v>
      </c>
      <c r="P1127" t="e">
        <f t="array" ref="P1127">IF(--INDEX('Raw Data'!$A$4:F$993,$F1127,8)= 1, 1, 0)</f>
        <v>#NUM!</v>
      </c>
      <c r="Q1127" t="e">
        <f t="array" ref="Q1127">IF(--INDEX('Raw Data'!$A$4:G$993,$F1127,13)= 1, 1, 0)</f>
        <v>#NUM!</v>
      </c>
      <c r="R1127" t="e">
        <f t="array" ref="R1127">IF(--INDEX('Raw Data'!$A$4:H$993,$F1127,14)= 1, 1, 0)</f>
        <v>#NUM!</v>
      </c>
      <c r="S1127" t="e">
        <f t="array" ref="S1127">IF(--INDEX('Raw Data'!$A$4:I$993,$F1127,15)= 1, 1, 0)</f>
        <v>#NUM!</v>
      </c>
      <c r="T1127" t="e">
        <f t="array" ref="T1127">IF(--INDEX('Raw Data'!$A$4:I$993,$F1127,15)= 1, 1, 0)</f>
        <v>#NUM!</v>
      </c>
      <c r="U1127" t="e">
        <f t="array" ref="U1127">IF(--INDEX('Raw Data'!$A$4:J$993,$F1127,16)= 1, 1, 0)</f>
        <v>#NUM!</v>
      </c>
      <c r="V1127" t="e">
        <f t="array" ref="V1127">IF(--INDEX('Raw Data'!$A$4:K$993,$F1127,17)= 1, 1, 0)</f>
        <v>#NUM!</v>
      </c>
      <c r="W1127" t="e">
        <f t="array" ref="W1127">INDEX('Raw Data'!$A:$O,$F1127,19)</f>
        <v>#NUM!</v>
      </c>
      <c r="X1127" t="e">
        <f t="array" ref="X1127">INDEX('Raw Data'!$A:$O,$F1127,20)</f>
        <v>#NUM!</v>
      </c>
      <c r="Y1127" t="e">
        <f t="array" ref="Y1127">INDEX('Raw Data'!$A:$O,F1127,21)</f>
        <v>#NUM!</v>
      </c>
      <c r="Z1127" t="e">
        <f t="array" ref="Z1127">INDEX('Raw Data'!$A:$O,$F1127,3)</f>
        <v>#NUM!</v>
      </c>
      <c r="AA1127" t="e">
        <f t="array" ref="AA1127">INDEX('Raw Data'!$A:$O,$F1127,22)</f>
        <v>#NUM!</v>
      </c>
      <c r="AB1127" t="e">
        <f t="array" ref="AB1127">INDEX('Raw Data'!$A:$O,$F1127,23)</f>
        <v>#NUM!</v>
      </c>
    </row>
    <row r="1128" spans="1:44" x14ac:dyDescent="0.25">
      <c r="A1128" t="s">
        <v>54</v>
      </c>
      <c r="B1128">
        <f>I1139</f>
        <v>0</v>
      </c>
      <c r="F1128" t="e">
        <f t="array" ref="F1128">SMALL(IF('Raw Data'!A:A=C1123,ROW('Raw Data'!A:A)),ROW('Raw Data'!$5:$5))</f>
        <v>#NUM!</v>
      </c>
      <c r="G1128" t="e">
        <f t="array" ref="G1128">INDEX('Raw Data'!A:A,F1128,9)</f>
        <v>#NUM!</v>
      </c>
      <c r="H1128" t="e">
        <f t="array" ref="H1128">INDEX('Raw Data'!A:A,F1128,10)</f>
        <v>#NUM!</v>
      </c>
      <c r="I1128" t="e">
        <f t="array" ref="I1128">INDEX('Raw Data'!$A:A,$F1128,11)</f>
        <v>#NUM!</v>
      </c>
      <c r="J1128" t="e">
        <f t="array" ref="J1128">INDEX('Raw Data'!$A:A,F1128,12)</f>
        <v>#NUM!</v>
      </c>
      <c r="K1128" t="e">
        <f>(--INDEX('Raw Data'!$A$4:B$993,F1128,4))</f>
        <v>#NUM!</v>
      </c>
      <c r="L1128" t="e">
        <f t="array" ref="L1128">(--INDEX('Raw Data'!$A$4:B$993,F1128,5))</f>
        <v>#NUM!</v>
      </c>
      <c r="M1128" t="e">
        <f t="array" ref="M1128">(--INDEX('Raw Data'!$A$4:D$993,$F1128,6))</f>
        <v>#NUM!</v>
      </c>
      <c r="N1128" t="e">
        <f t="array" ref="N1128">(--INDEX('Raw Data'!$A$4:D$993,$F1128,7))</f>
        <v>#NUM!</v>
      </c>
      <c r="O1128" t="e">
        <f t="array" ref="O1128">IF(--INDEX('Raw Data'!$A$4:E$993,$F1128,8)= 0, 1, 0)</f>
        <v>#NUM!</v>
      </c>
      <c r="P1128" t="e">
        <f t="array" ref="P1128">IF(--INDEX('Raw Data'!$A$4:F$993,$F1128,8)= 1, 1, 0)</f>
        <v>#NUM!</v>
      </c>
      <c r="Q1128" t="e">
        <f t="array" ref="Q1128">IF(--INDEX('Raw Data'!$A$4:G$993,$F1128,13)= 1, 1, 0)</f>
        <v>#NUM!</v>
      </c>
      <c r="R1128" t="e">
        <f t="array" ref="R1128">IF(--INDEX('Raw Data'!$A$4:H$993,$F1128,14)= 1, 1, 0)</f>
        <v>#NUM!</v>
      </c>
      <c r="S1128" t="e">
        <f t="array" ref="S1128">IF(--INDEX('Raw Data'!$A$4:I$993,$F1128,15)= 1, 1, 0)</f>
        <v>#NUM!</v>
      </c>
      <c r="T1128" t="e">
        <f t="array" ref="T1128">IF(--INDEX('Raw Data'!$A$4:I$993,$F1128,15)= 1, 1, 0)</f>
        <v>#NUM!</v>
      </c>
      <c r="U1128" t="e">
        <f t="array" ref="U1128">IF(--INDEX('Raw Data'!$A$4:J$993,$F1128,16)= 1, 1, 0)</f>
        <v>#NUM!</v>
      </c>
      <c r="V1128" t="e">
        <f t="array" ref="V1128">IF(--INDEX('Raw Data'!$A$4:K$993,$F1128,17)= 1, 1, 0)</f>
        <v>#NUM!</v>
      </c>
      <c r="W1128" t="e">
        <f t="array" ref="W1128">INDEX('Raw Data'!$A:$O,$F1128,19)</f>
        <v>#NUM!</v>
      </c>
      <c r="X1128" t="e">
        <f t="array" ref="X1128">INDEX('Raw Data'!$A:$O,$F1128,20)</f>
        <v>#NUM!</v>
      </c>
      <c r="Y1128" t="e">
        <f t="array" ref="Y1128">INDEX('Raw Data'!$A:$O,F1128,21)</f>
        <v>#NUM!</v>
      </c>
      <c r="Z1128" t="e">
        <f t="array" ref="Z1128">INDEX('Raw Data'!$A:$O,$F1128,3)</f>
        <v>#NUM!</v>
      </c>
      <c r="AA1128" t="e">
        <f t="array" ref="AA1128">INDEX('Raw Data'!$A:$O,$F1128,22)</f>
        <v>#NUM!</v>
      </c>
      <c r="AB1128" t="e">
        <f t="array" ref="AB1128">INDEX('Raw Data'!$A:$O,$F1128,23)</f>
        <v>#NUM!</v>
      </c>
      <c r="AR1128" s="25"/>
    </row>
    <row r="1129" spans="1:44" x14ac:dyDescent="0.25">
      <c r="A1129" t="s">
        <v>35</v>
      </c>
      <c r="B1129">
        <f>J1139</f>
        <v>0</v>
      </c>
      <c r="F1129" t="e">
        <f t="array" ref="F1129">SMALL(IF('Raw Data'!A:A=C1123,ROW('Raw Data'!A:A)),ROW('Raw Data'!$6:$6))</f>
        <v>#NUM!</v>
      </c>
      <c r="G1129" t="e">
        <f t="array" ref="G1129">INDEX('Raw Data'!A:A,F1129,9)</f>
        <v>#NUM!</v>
      </c>
      <c r="H1129" t="e">
        <f t="array" ref="H1129">INDEX('Raw Data'!A:A,F1129,10)</f>
        <v>#NUM!</v>
      </c>
      <c r="I1129" t="e">
        <f t="array" ref="I1129">INDEX('Raw Data'!$A:A,$F1129,11)</f>
        <v>#NUM!</v>
      </c>
      <c r="J1129" t="e">
        <f t="array" ref="J1129">INDEX('Raw Data'!$A:A,F1129,12)</f>
        <v>#NUM!</v>
      </c>
      <c r="K1129" t="e">
        <f>(--INDEX('Raw Data'!$A$4:B$993,F1129,4))</f>
        <v>#NUM!</v>
      </c>
      <c r="L1129" t="e">
        <f t="array" ref="L1129">(--INDEX('Raw Data'!$A$4:B$998,F1129,5))</f>
        <v>#NUM!</v>
      </c>
      <c r="M1129" t="e">
        <f t="array" ref="M1129">(--INDEX('Raw Data'!$A$4:D$998,$F1129,6))</f>
        <v>#NUM!</v>
      </c>
      <c r="N1129" t="e">
        <f t="array" ref="N1129">(--INDEX('Raw Data'!$A$4:D$993,$F1129,7))</f>
        <v>#NUM!</v>
      </c>
      <c r="O1129" t="e">
        <f t="array" ref="O1129">IF(--INDEX('Raw Data'!$A$4:E$993,$F1129,8)= 0, 1, 0)</f>
        <v>#NUM!</v>
      </c>
      <c r="P1129" t="e">
        <f t="array" ref="P1129">IF(--INDEX('Raw Data'!$A$4:F$998,$F1129,8)= 1, 1, 0)</f>
        <v>#NUM!</v>
      </c>
      <c r="Q1129" t="e">
        <f t="array" ref="Q1129">IF(--INDEX('Raw Data'!$A$4:G$998,$F1129,13)= 1, 1, 0)</f>
        <v>#NUM!</v>
      </c>
      <c r="R1129" t="e">
        <f t="array" ref="R1129">IF(--INDEX('Raw Data'!$A$4:H$998,$F1129,14)= 1, 1, 0)</f>
        <v>#NUM!</v>
      </c>
      <c r="S1129" t="e">
        <f t="array" ref="S1129">IF(--INDEX('Raw Data'!$A$4:I$993,$F1129,15)= 1, 1, 0)</f>
        <v>#NUM!</v>
      </c>
      <c r="T1129" t="e">
        <f t="array" ref="T1129">IF(--INDEX('Raw Data'!$A$4:I$998,$F1129,15)= 1, 1, 0)</f>
        <v>#NUM!</v>
      </c>
      <c r="U1129" t="e">
        <f t="array" ref="U1129">IF(--INDEX('Raw Data'!$A$4:J$998,$F1129,16)= 1, 1, 0)</f>
        <v>#NUM!</v>
      </c>
      <c r="V1129" t="e">
        <f t="array" ref="V1129">IF(--INDEX('Raw Data'!$A$4:K$993,$F1129,17)= 1, 1, 0)</f>
        <v>#NUM!</v>
      </c>
      <c r="W1129" t="e">
        <f t="array" ref="W1129">INDEX('Raw Data'!$A:$O,$F1129,19)</f>
        <v>#NUM!</v>
      </c>
      <c r="X1129" t="e">
        <f t="array" ref="X1129">INDEX('Raw Data'!$A:$O,$F1129,20)</f>
        <v>#NUM!</v>
      </c>
      <c r="Y1129" t="e">
        <f t="array" ref="Y1129">INDEX('Raw Data'!$A:$O,F1129,21)</f>
        <v>#NUM!</v>
      </c>
      <c r="Z1129" t="e">
        <f t="array" ref="Z1129">INDEX('Raw Data'!$A:$O,$F1129,3)</f>
        <v>#NUM!</v>
      </c>
      <c r="AA1129" t="e">
        <f t="array" ref="AA1129">INDEX('Raw Data'!$A:$O,$F1129,22)</f>
        <v>#NUM!</v>
      </c>
      <c r="AB1129" t="e">
        <f t="array" ref="AB1129">INDEX('Raw Data'!$A:$O,$F1129,23)</f>
        <v>#NUM!</v>
      </c>
      <c r="AR1129" s="25"/>
    </row>
    <row r="1130" spans="1:44" ht="28.5" x14ac:dyDescent="0.45">
      <c r="F1130" t="e">
        <f t="array" ref="F1130">SMALL(IF('Raw Data'!A:A=C1123,ROW('Raw Data'!A:A)),ROW('Raw Data'!$7:$7))</f>
        <v>#NUM!</v>
      </c>
      <c r="G1130" t="e">
        <f t="array" ref="G1130">INDEX('Raw Data'!A:A,F1130,9)</f>
        <v>#NUM!</v>
      </c>
      <c r="H1130" t="e">
        <f t="array" ref="H1130">INDEX('Raw Data'!A:A,F1130,10)</f>
        <v>#NUM!</v>
      </c>
      <c r="I1130" t="e">
        <f t="array" ref="I1130">INDEX('Raw Data'!$A:A,$F1130,11)</f>
        <v>#NUM!</v>
      </c>
      <c r="J1130" t="e">
        <f t="array" ref="J1130">INDEX('Raw Data'!$A:A,F1130,12)</f>
        <v>#NUM!</v>
      </c>
      <c r="K1130" t="e">
        <f t="array" ref="K1130">(--INDEX('Raw Data'!$A$4:B$998,F1130,4))</f>
        <v>#NUM!</v>
      </c>
      <c r="L1130" t="e">
        <f t="array" ref="L1130">(--INDEX('Raw Data'!$A$4:B$998,F1130,5))</f>
        <v>#NUM!</v>
      </c>
      <c r="M1130" t="e">
        <f t="array" ref="M1130">(--INDEX('Raw Data'!$A$4:D$998,$F1130,6))</f>
        <v>#NUM!</v>
      </c>
      <c r="N1130" t="e">
        <f t="array" ref="N1130">(--INDEX('Raw Data'!$A$4:D$998,$F1130,7))</f>
        <v>#NUM!</v>
      </c>
      <c r="O1130" t="e">
        <f t="array" ref="O1130">IF(--INDEX('Raw Data'!$A$4:E$998,$F1130,8)= 0, 1, 0)</f>
        <v>#NUM!</v>
      </c>
      <c r="P1130" t="e">
        <f t="array" ref="P1130">IF(--INDEX('Raw Data'!$A$4:F$998,$F1130,8)= 1, 1, 0)</f>
        <v>#NUM!</v>
      </c>
      <c r="Q1130" t="e">
        <f t="array" ref="Q1130">IF(--INDEX('Raw Data'!$A$4:G$998,$F1130,13)= 1, 1, 0)</f>
        <v>#NUM!</v>
      </c>
      <c r="R1130" t="e">
        <f t="array" ref="R1130">IF(--INDEX('Raw Data'!$A$4:H$998,$F1130,14)= 1, 1, 0)</f>
        <v>#NUM!</v>
      </c>
      <c r="S1130" t="e">
        <f t="array" ref="S1130">IF(--INDEX('Raw Data'!$A$4:I$998,$F1130,15)= 1, 1, 0)</f>
        <v>#NUM!</v>
      </c>
      <c r="T1130" t="e">
        <f t="array" ref="T1130">IF(--INDEX('Raw Data'!$A$4:I$998,$F1130,15)= 1, 1, 0)</f>
        <v>#NUM!</v>
      </c>
      <c r="U1130" t="e">
        <f t="array" ref="U1130">IF(--INDEX('Raw Data'!$A$4:J$998,$F1130,16)= 1, 1, 0)</f>
        <v>#NUM!</v>
      </c>
      <c r="V1130" t="e">
        <f t="array" ref="V1130">IF(--INDEX('Raw Data'!$A$4:K$998,$F1130,17)= 1, 1, 0)</f>
        <v>#NUM!</v>
      </c>
      <c r="W1130" t="e">
        <f t="array" ref="W1130">INDEX('Raw Data'!$A:$O,$F1130,19)</f>
        <v>#NUM!</v>
      </c>
      <c r="X1130" t="e">
        <f t="array" ref="X1130">INDEX('Raw Data'!$A:$O,$F1130,20)</f>
        <v>#NUM!</v>
      </c>
      <c r="Y1130" t="e">
        <f t="array" ref="Y1130">INDEX('Raw Data'!$A:$O,F1130,21)</f>
        <v>#NUM!</v>
      </c>
      <c r="Z1130" t="e">
        <f t="array" ref="Z1130">INDEX('Raw Data'!$A:$O,$F1130,3)</f>
        <v>#NUM!</v>
      </c>
      <c r="AA1130" t="e">
        <f t="array" ref="AA1130">INDEX('Raw Data'!$A:$O,$F1130,22)</f>
        <v>#NUM!</v>
      </c>
      <c r="AB1130" t="e">
        <f t="array" ref="AB1130">INDEX('Raw Data'!$A:$O,$F1130,23)</f>
        <v>#NUM!</v>
      </c>
      <c r="AM1130" s="21"/>
      <c r="AR1130" s="25"/>
    </row>
    <row r="1131" spans="1:44" x14ac:dyDescent="0.25">
      <c r="F1131" t="e">
        <f t="array" ref="F1131">SMALL(IF('Raw Data'!A:A=C1123,ROW('Raw Data'!A:A)),ROW('Raw Data'!$8:$8))</f>
        <v>#NUM!</v>
      </c>
      <c r="G1131" t="e">
        <f t="array" ref="G1131">INDEX('Raw Data'!A:A,F1131,9)</f>
        <v>#NUM!</v>
      </c>
      <c r="H1131" t="e">
        <f t="array" ref="H1131">INDEX('Raw Data'!A:A,F1131,10)</f>
        <v>#NUM!</v>
      </c>
      <c r="I1131" t="e">
        <f t="array" ref="I1131">INDEX('Raw Data'!$A:A,$F1131,11)</f>
        <v>#NUM!</v>
      </c>
      <c r="J1131" t="e">
        <f t="array" ref="J1131">INDEX('Raw Data'!$A:A,F1131,12)</f>
        <v>#NUM!</v>
      </c>
      <c r="K1131" t="e">
        <f t="array" ref="K1131">(--INDEX('Raw Data'!$A$4:B$998,F1131,4))</f>
        <v>#NUM!</v>
      </c>
      <c r="L1131" t="e">
        <f t="array" ref="L1131">(--INDEX('Raw Data'!$A$4:B$998,F1131,5))</f>
        <v>#NUM!</v>
      </c>
      <c r="M1131" t="e">
        <f t="array" ref="M1131">(--INDEX('Raw Data'!$A$4:D$998,$F1131,6))</f>
        <v>#NUM!</v>
      </c>
      <c r="N1131" t="e">
        <f t="array" ref="N1131">(--INDEX('Raw Data'!$A$4:D$998,$F1131,7))</f>
        <v>#NUM!</v>
      </c>
      <c r="O1131" t="e">
        <f t="array" ref="O1131">IF(--INDEX('Raw Data'!$A$4:E$998,$F1131,8)= 0, 1, 0)</f>
        <v>#NUM!</v>
      </c>
      <c r="P1131" t="e">
        <f t="array" ref="P1131">IF(--INDEX('Raw Data'!$A$4:F$998,$F1131,8)= 1, 1, 0)</f>
        <v>#NUM!</v>
      </c>
      <c r="Q1131" t="e">
        <f t="array" ref="Q1131">IF(--INDEX('Raw Data'!$A$4:G$998,$F1131,13)= 1, 1, 0)</f>
        <v>#NUM!</v>
      </c>
      <c r="R1131" t="e">
        <f t="array" ref="R1131">IF(--INDEX('Raw Data'!$A$4:H$998,$F1131,14)= 1, 1, 0)</f>
        <v>#NUM!</v>
      </c>
      <c r="S1131" t="e">
        <f t="array" ref="S1131">IF(--INDEX('Raw Data'!$A$4:I$998,$F1131,15)= 1, 1, 0)</f>
        <v>#NUM!</v>
      </c>
      <c r="T1131" t="e">
        <f t="array" ref="T1131">IF(--INDEX('Raw Data'!$A$4:I$998,$F1131,15)= 1, 1, 0)</f>
        <v>#NUM!</v>
      </c>
      <c r="U1131" t="e">
        <f t="array" ref="U1131">IF(--INDEX('Raw Data'!$A$4:J$998,$F1131,16)= 1, 1, 0)</f>
        <v>#NUM!</v>
      </c>
      <c r="V1131" t="e">
        <f t="array" ref="V1131">IF(--INDEX('Raw Data'!$A$4:K$998,$F1131,17)= 1, 1, 0)</f>
        <v>#NUM!</v>
      </c>
      <c r="W1131" t="e">
        <f t="array" ref="W1131">INDEX('Raw Data'!$A:$O,$F1131,19)</f>
        <v>#NUM!</v>
      </c>
      <c r="X1131" t="e">
        <f t="array" ref="X1131">INDEX('Raw Data'!$A:$O,$F1131,20)</f>
        <v>#NUM!</v>
      </c>
      <c r="Y1131" t="e">
        <f t="array" ref="Y1131">INDEX('Raw Data'!$A:$O,F1131,21)</f>
        <v>#NUM!</v>
      </c>
      <c r="Z1131" t="e">
        <f t="array" ref="Z1131">INDEX('Raw Data'!$A:$O,$F1131,3)</f>
        <v>#NUM!</v>
      </c>
      <c r="AA1131" t="e">
        <f t="array" ref="AA1131">INDEX('Raw Data'!$A:$O,$F1131,22)</f>
        <v>#NUM!</v>
      </c>
      <c r="AB1131" t="e">
        <f t="array" ref="AB1131">INDEX('Raw Data'!$A:$O,$F1131,23)</f>
        <v>#NUM!</v>
      </c>
      <c r="AR1131" s="25"/>
    </row>
    <row r="1132" spans="1:44" x14ac:dyDescent="0.25">
      <c r="F1132" t="e">
        <f t="array" ref="F1132">SMALL(IF('Raw Data'!A:A=C1123,ROW('Raw Data'!A:A)),ROW('Raw Data'!$9:$9))</f>
        <v>#NUM!</v>
      </c>
      <c r="G1132" t="e">
        <f t="array" ref="G1132">INDEX('Raw Data'!A:A,F1132,9)</f>
        <v>#NUM!</v>
      </c>
      <c r="H1132" t="e">
        <f t="array" ref="H1132">INDEX('Raw Data'!A:A,F1132,10)</f>
        <v>#NUM!</v>
      </c>
      <c r="I1132" t="e">
        <f t="array" ref="I1132">INDEX('Raw Data'!$A:A,$F1132,11)</f>
        <v>#NUM!</v>
      </c>
      <c r="J1132" t="e">
        <f t="array" ref="J1132">INDEX('Raw Data'!$A:A,F1132,12)</f>
        <v>#NUM!</v>
      </c>
      <c r="K1132" t="e">
        <f t="array" ref="K1132">(--INDEX('Raw Data'!$A$4:B$998,F1132,4))</f>
        <v>#NUM!</v>
      </c>
      <c r="L1132" t="e">
        <f t="array" ref="L1132">(--INDEX('Raw Data'!$A$4:B$998,F1132,5))</f>
        <v>#NUM!</v>
      </c>
      <c r="M1132" t="e">
        <f t="array" ref="M1132">(--INDEX('Raw Data'!$A$4:D$998,$F1132,6))</f>
        <v>#NUM!</v>
      </c>
      <c r="N1132" t="e">
        <f t="array" ref="N1132">(--INDEX('Raw Data'!$A$4:D$998,$F1132,7))</f>
        <v>#NUM!</v>
      </c>
      <c r="O1132" t="e">
        <f t="array" ref="O1132">IF(--INDEX('Raw Data'!$A$4:E$998,$F1132,8)= 0, 1, 0)</f>
        <v>#NUM!</v>
      </c>
      <c r="P1132" t="e">
        <f t="array" ref="P1132">IF(--INDEX('Raw Data'!$A$4:F$998,$F1132,8)= 1, 1, 0)</f>
        <v>#NUM!</v>
      </c>
      <c r="Q1132" t="e">
        <f t="array" ref="Q1132">IF(--INDEX('Raw Data'!$A$4:G$998,$F1132,13)= 1, 1, 0)</f>
        <v>#NUM!</v>
      </c>
      <c r="R1132" t="e">
        <f t="array" ref="R1132">IF(--INDEX('Raw Data'!$A$4:H$998,$F1132,14)= 1, 1, 0)</f>
        <v>#NUM!</v>
      </c>
      <c r="S1132" t="e">
        <f t="array" ref="S1132">IF(--INDEX('Raw Data'!$A$4:I$998,$F1132,15)= 1, 1, 0)</f>
        <v>#NUM!</v>
      </c>
      <c r="T1132" t="e">
        <f t="array" ref="T1132">IF(--INDEX('Raw Data'!$A$4:I$998,$F1132,15)= 1, 1, 0)</f>
        <v>#NUM!</v>
      </c>
      <c r="U1132" t="e">
        <f t="array" ref="U1132">IF(--INDEX('Raw Data'!$A$4:J$998,$F1132,16)= 1, 1, 0)</f>
        <v>#NUM!</v>
      </c>
      <c r="V1132" t="e">
        <f t="array" ref="V1132">IF(--INDEX('Raw Data'!$A$4:K$998,$F1132,17)= 1, 1, 0)</f>
        <v>#NUM!</v>
      </c>
      <c r="W1132" t="e">
        <f t="array" ref="W1132">INDEX('Raw Data'!$A:$O,$F1132,19)</f>
        <v>#NUM!</v>
      </c>
      <c r="X1132" t="e">
        <f t="array" ref="X1132">INDEX('Raw Data'!$A:$O,$F1132,20)</f>
        <v>#NUM!</v>
      </c>
      <c r="Y1132" t="e">
        <f t="array" ref="Y1132">INDEX('Raw Data'!$A:$O,F1132,21)</f>
        <v>#NUM!</v>
      </c>
      <c r="Z1132" t="e">
        <f t="array" ref="Z1132">INDEX('Raw Data'!$A:$O,$F1132,3)</f>
        <v>#NUM!</v>
      </c>
      <c r="AA1132" t="e">
        <f t="array" ref="AA1132">INDEX('Raw Data'!$A:$O,$F1132,22)</f>
        <v>#NUM!</v>
      </c>
      <c r="AB1132" t="e">
        <f t="array" ref="AB1132">INDEX('Raw Data'!$A:$O,$F1132,23)</f>
        <v>#NUM!</v>
      </c>
      <c r="AR1132" s="25"/>
    </row>
    <row r="1133" spans="1:44" x14ac:dyDescent="0.25">
      <c r="F1133" t="e">
        <f t="array" ref="F1133">SMALL(IF('Raw Data'!A:A=C1123,ROW('Raw Data'!A:A)),ROW('Raw Data'!$10:$10))</f>
        <v>#NUM!</v>
      </c>
      <c r="G1133" t="e">
        <f t="array" ref="G1133">INDEX('Raw Data'!A:A,F1133,9)</f>
        <v>#NUM!</v>
      </c>
      <c r="H1133" t="e">
        <f t="array" ref="H1133">INDEX('Raw Data'!A:A,F1133,10)</f>
        <v>#NUM!</v>
      </c>
      <c r="I1133" t="e">
        <f t="array" ref="I1133">INDEX('Raw Data'!$A:A,$F1133,11)</f>
        <v>#NUM!</v>
      </c>
      <c r="J1133" t="e">
        <f t="array" ref="J1133">INDEX('Raw Data'!$A:A,F1133,12)</f>
        <v>#NUM!</v>
      </c>
      <c r="K1133" t="e">
        <f t="array" ref="K1133">(--INDEX('Raw Data'!$A$4:B$998,F1133,4))</f>
        <v>#NUM!</v>
      </c>
      <c r="L1133" t="e">
        <f t="array" ref="L1133">(--INDEX('Raw Data'!$A$4:B$998,F1133,5))</f>
        <v>#NUM!</v>
      </c>
      <c r="M1133" t="e">
        <f t="array" ref="M1133">(--INDEX('Raw Data'!$A$4:D$998,$F1133,6))</f>
        <v>#NUM!</v>
      </c>
      <c r="N1133" t="e">
        <f t="array" ref="N1133">(--INDEX('Raw Data'!$A$4:D$998,$F1133,7))</f>
        <v>#NUM!</v>
      </c>
      <c r="O1133" t="e">
        <f t="array" ref="O1133">IF(--INDEX('Raw Data'!$A$4:E$998,$F1133,8)= 0, 1, 0)</f>
        <v>#NUM!</v>
      </c>
      <c r="P1133" t="e">
        <f t="array" ref="P1133">IF(--INDEX('Raw Data'!$A$4:F$998,$F1133,8)= 1, 1, 0)</f>
        <v>#NUM!</v>
      </c>
      <c r="Q1133" t="e">
        <f t="array" ref="Q1133">IF(--INDEX('Raw Data'!$A$4:G$998,$F1133,13)= 1, 1, 0)</f>
        <v>#NUM!</v>
      </c>
      <c r="R1133" t="e">
        <f t="array" ref="R1133">IF(--INDEX('Raw Data'!$A$4:H$998,$F1133,14)= 1, 1, 0)</f>
        <v>#NUM!</v>
      </c>
      <c r="S1133" t="e">
        <f t="array" ref="S1133">IF(--INDEX('Raw Data'!$A$4:I$998,$F1133,15)= 1, 1, 0)</f>
        <v>#NUM!</v>
      </c>
      <c r="T1133" t="e">
        <f t="array" ref="T1133">IF(--INDEX('Raw Data'!$A$4:I$998,$F1133,15)= 1, 1, 0)</f>
        <v>#NUM!</v>
      </c>
      <c r="U1133" t="e">
        <f t="array" ref="U1133">IF(--INDEX('Raw Data'!$A$4:J$998,$F1133,16)= 1, 1, 0)</f>
        <v>#NUM!</v>
      </c>
      <c r="V1133" t="e">
        <f t="array" ref="V1133">IF(--INDEX('Raw Data'!$A$4:K$998,$F1133,17)= 1, 1, 0)</f>
        <v>#NUM!</v>
      </c>
      <c r="W1133" t="e">
        <f t="array" ref="W1133">INDEX('Raw Data'!$A:$O,$F1133,19)</f>
        <v>#NUM!</v>
      </c>
      <c r="X1133" t="e">
        <f t="array" ref="X1133">INDEX('Raw Data'!$A:$O,$F1133,20)</f>
        <v>#NUM!</v>
      </c>
      <c r="Y1133" t="e">
        <f t="array" ref="Y1133">INDEX('Raw Data'!$A:$O,F1133,21)</f>
        <v>#NUM!</v>
      </c>
      <c r="Z1133" t="e">
        <f t="array" ref="Z1133">INDEX('Raw Data'!$A:$O,$F1133,3)</f>
        <v>#NUM!</v>
      </c>
      <c r="AA1133" t="e">
        <f t="array" ref="AA1133">INDEX('Raw Data'!$A:$O,$F1133,22)</f>
        <v>#NUM!</v>
      </c>
      <c r="AB1133" t="e">
        <f t="array" ref="AB1133">INDEX('Raw Data'!$A:$O,$F1133,23)</f>
        <v>#NUM!</v>
      </c>
      <c r="AR1133" s="25"/>
    </row>
    <row r="1134" spans="1:44" x14ac:dyDescent="0.25">
      <c r="F1134" t="e">
        <f t="array" ref="F1134">SMALL(IF('Raw Data'!A:A=C1123,ROW('Raw Data'!A:A)),ROW('Raw Data'!$11:$11))</f>
        <v>#NUM!</v>
      </c>
      <c r="G1134" t="e">
        <f t="array" ref="G1134">INDEX('Raw Data'!A:A,F1134,9)</f>
        <v>#NUM!</v>
      </c>
      <c r="H1134" t="e">
        <f t="array" ref="H1134">INDEX('Raw Data'!A:A,F1134,10)</f>
        <v>#NUM!</v>
      </c>
      <c r="I1134" t="e">
        <f t="array" ref="I1134">INDEX('Raw Data'!$A:A,$F1134,11)</f>
        <v>#NUM!</v>
      </c>
      <c r="J1134" t="e">
        <f t="array" ref="J1134">INDEX('Raw Data'!$A:A,F1134,12)</f>
        <v>#NUM!</v>
      </c>
      <c r="K1134" t="e">
        <f t="array" ref="K1134">(--INDEX('Raw Data'!$A$4:B$998,F1134,4))</f>
        <v>#NUM!</v>
      </c>
      <c r="L1134" t="e">
        <f t="array" ref="L1134">(--INDEX('Raw Data'!$A$4:B$998,F1134,5))</f>
        <v>#NUM!</v>
      </c>
      <c r="M1134" t="e">
        <f t="array" ref="M1134">(--INDEX('Raw Data'!$A$4:D$998,$F1134,6))</f>
        <v>#NUM!</v>
      </c>
      <c r="N1134" t="e">
        <f t="array" ref="N1134">(--INDEX('Raw Data'!$A$4:D$998,$F1134,7))</f>
        <v>#NUM!</v>
      </c>
      <c r="O1134" t="e">
        <f t="array" ref="O1134">IF(--INDEX('Raw Data'!$A$4:E$998,$F1134,8)= 0, 1, 0)</f>
        <v>#NUM!</v>
      </c>
      <c r="P1134" t="e">
        <f t="array" ref="P1134">IF(--INDEX('Raw Data'!$A$4:F$998,$F1134,8)= 1, 1, 0)</f>
        <v>#NUM!</v>
      </c>
      <c r="Q1134" t="e">
        <f t="array" ref="Q1134">IF(--INDEX('Raw Data'!$A$4:G$998,$F1134,13)= 1, 1, 0)</f>
        <v>#NUM!</v>
      </c>
      <c r="R1134" t="e">
        <f t="array" ref="R1134">IF(--INDEX('Raw Data'!$A$4:H$998,$F1134,14)= 1, 1, 0)</f>
        <v>#NUM!</v>
      </c>
      <c r="S1134" t="e">
        <f t="array" ref="S1134">IF(--INDEX('Raw Data'!$A$4:I$998,$F1134,15)= 1, 1, 0)</f>
        <v>#NUM!</v>
      </c>
      <c r="T1134" t="e">
        <f t="array" ref="T1134">IF(--INDEX('Raw Data'!$A$4:I$998,$F1134,15)= 1, 1, 0)</f>
        <v>#NUM!</v>
      </c>
      <c r="U1134" t="e">
        <f t="array" ref="U1134">IF(--INDEX('Raw Data'!$A$4:J$998,$F1134,16)= 1, 1, 0)</f>
        <v>#NUM!</v>
      </c>
      <c r="V1134" t="e">
        <f t="array" ref="V1134">IF(--INDEX('Raw Data'!$A$4:K$998,$F1134,17)= 1, 1, 0)</f>
        <v>#NUM!</v>
      </c>
      <c r="W1134" t="e">
        <f t="array" ref="W1134">INDEX('Raw Data'!$A:$O,$F1134,19)</f>
        <v>#NUM!</v>
      </c>
      <c r="X1134" t="e">
        <f t="array" ref="X1134">INDEX('Raw Data'!$A:$O,$F1134,20)</f>
        <v>#NUM!</v>
      </c>
      <c r="Y1134" t="e">
        <f t="array" ref="Y1134">INDEX('Raw Data'!$A:$O,F1134,21)</f>
        <v>#NUM!</v>
      </c>
      <c r="Z1134" t="e">
        <f t="array" ref="Z1134">INDEX('Raw Data'!$A:$O,$F1134,3)</f>
        <v>#NUM!</v>
      </c>
      <c r="AA1134" t="e">
        <f t="array" ref="AA1134">INDEX('Raw Data'!$A:$O,$F1134,22)</f>
        <v>#NUM!</v>
      </c>
      <c r="AB1134" t="e">
        <f t="array" ref="AB1134">INDEX('Raw Data'!$A:$O,$F1134,23)</f>
        <v>#NUM!</v>
      </c>
      <c r="AR1134" s="25"/>
    </row>
    <row r="1135" spans="1:44" x14ac:dyDescent="0.25">
      <c r="F1135" t="e">
        <f t="array" ref="F1135">SMALL(IF('Raw Data'!A:A=C1123,ROW('Raw Data'!A:A)),ROW('Raw Data'!$12:$12))</f>
        <v>#NUM!</v>
      </c>
      <c r="G1135" t="e">
        <f t="array" ref="G1135">INDEX('Raw Data'!A:A,F1135,9)</f>
        <v>#NUM!</v>
      </c>
      <c r="H1135" t="e">
        <f t="array" ref="H1135">INDEX('Raw Data'!A:A,F1135,10)</f>
        <v>#NUM!</v>
      </c>
      <c r="I1135" t="e">
        <f t="array" ref="I1135">INDEX('Raw Data'!$A:A,$F1135,11)</f>
        <v>#NUM!</v>
      </c>
      <c r="J1135" t="e">
        <f t="array" ref="J1135">INDEX('Raw Data'!$A:A,F1135,12)</f>
        <v>#NUM!</v>
      </c>
      <c r="K1135" t="e">
        <f t="array" ref="K1135">(--INDEX('Raw Data'!$A$4:B$998,F1135,4))</f>
        <v>#NUM!</v>
      </c>
      <c r="L1135" t="e">
        <f t="array" ref="L1135">(--INDEX('Raw Data'!$A$4:B$998,F1135,5))</f>
        <v>#NUM!</v>
      </c>
      <c r="M1135" t="e">
        <f t="array" ref="M1135">(--INDEX('Raw Data'!$A$4:D$998,$F1135,6))</f>
        <v>#NUM!</v>
      </c>
      <c r="N1135" t="e">
        <f t="array" ref="N1135">(--INDEX('Raw Data'!$A$4:D$998,$F1135,7))</f>
        <v>#NUM!</v>
      </c>
      <c r="O1135" t="e">
        <f t="array" ref="O1135">IF(--INDEX('Raw Data'!$A$4:E$998,$F1135,8)= 0, 1, 0)</f>
        <v>#NUM!</v>
      </c>
      <c r="P1135" t="e">
        <f t="array" ref="P1135">IF(--INDEX('Raw Data'!$A$4:F$998,$F1135,8)= 1, 1, 0)</f>
        <v>#NUM!</v>
      </c>
      <c r="Q1135" t="e">
        <f t="array" ref="Q1135">IF(--INDEX('Raw Data'!$A$4:G$998,$F1135,13)= 1, 1, 0)</f>
        <v>#NUM!</v>
      </c>
      <c r="R1135" t="e">
        <f t="array" ref="R1135">IF(--INDEX('Raw Data'!$A$4:H$998,$F1135,14)= 1, 1, 0)</f>
        <v>#NUM!</v>
      </c>
      <c r="S1135" t="e">
        <f t="array" ref="S1135">IF(--INDEX('Raw Data'!$A$4:I$998,$F1135,15)= 1, 1, 0)</f>
        <v>#NUM!</v>
      </c>
      <c r="T1135" t="e">
        <f t="array" ref="T1135">IF(--INDEX('Raw Data'!$A$4:I$998,$F1135,15)= 1, 1, 0)</f>
        <v>#NUM!</v>
      </c>
      <c r="U1135" t="e">
        <f t="array" ref="U1135">IF(--INDEX('Raw Data'!$A$4:J$998,$F1135,16)= 1, 1, 0)</f>
        <v>#NUM!</v>
      </c>
      <c r="V1135" t="e">
        <f t="array" ref="V1135">IF(--INDEX('Raw Data'!$A$4:K$998,$F1135,17)= 1, 1, 0)</f>
        <v>#NUM!</v>
      </c>
      <c r="W1135" t="e">
        <f t="array" ref="W1135">INDEX('Raw Data'!$A:$O,$F1135,19)</f>
        <v>#NUM!</v>
      </c>
      <c r="X1135" t="e">
        <f t="array" ref="X1135">INDEX('Raw Data'!$A:$O,$F1135,20)</f>
        <v>#NUM!</v>
      </c>
      <c r="Y1135" t="e">
        <f t="array" ref="Y1135">INDEX('Raw Data'!$A:$O,F1135,21)</f>
        <v>#NUM!</v>
      </c>
      <c r="Z1135" t="e">
        <f t="array" ref="Z1135">INDEX('Raw Data'!$A:$O,$F1135,3)</f>
        <v>#NUM!</v>
      </c>
      <c r="AA1135" t="e">
        <f t="array" ref="AA1135">INDEX('Raw Data'!$A:$O,$F1135,22)</f>
        <v>#NUM!</v>
      </c>
      <c r="AB1135" t="e">
        <f t="array" ref="AB1135">INDEX('Raw Data'!$A:$O,$F1135,23)</f>
        <v>#NUM!</v>
      </c>
      <c r="AR1135" s="25"/>
    </row>
    <row r="1136" spans="1:44" x14ac:dyDescent="0.25">
      <c r="F1136" t="e">
        <f t="array" ref="F1136">SMALL(IF('Raw Data'!A:A=C1123,ROW('Raw Data'!A:A)),ROW('Raw Data'!$13:$13))</f>
        <v>#NUM!</v>
      </c>
      <c r="G1136" t="e">
        <f t="array" ref="G1136">INDEX('Raw Data'!A:A,F1136,9)</f>
        <v>#NUM!</v>
      </c>
      <c r="H1136" t="e">
        <f t="array" ref="H1136">INDEX('Raw Data'!A:A,F1136,10)</f>
        <v>#NUM!</v>
      </c>
      <c r="I1136" t="e">
        <f t="array" ref="I1136">INDEX('Raw Data'!$A:A,$F1136,11)</f>
        <v>#NUM!</v>
      </c>
      <c r="J1136" t="e">
        <f t="array" ref="J1136">INDEX('Raw Data'!$A:A,F1136,12)</f>
        <v>#NUM!</v>
      </c>
      <c r="K1136" t="e">
        <f t="array" ref="K1136">(--INDEX('Raw Data'!$A$4:B$998,F1136,4))</f>
        <v>#NUM!</v>
      </c>
      <c r="L1136" t="e">
        <f t="array" ref="L1136">(--INDEX('Raw Data'!$A$4:B$998,F1136,5))</f>
        <v>#NUM!</v>
      </c>
      <c r="M1136" t="e">
        <f t="array" ref="M1136">(--INDEX('Raw Data'!$A$4:D$998,$F1136,6))</f>
        <v>#NUM!</v>
      </c>
      <c r="N1136" t="e">
        <f t="array" ref="N1136">(--INDEX('Raw Data'!$A$4:D$998,$F1136,7))</f>
        <v>#NUM!</v>
      </c>
      <c r="O1136" t="e">
        <f t="array" ref="O1136">IF(--INDEX('Raw Data'!$A$4:E$998,$F1136,8)= 0, 1, 0)</f>
        <v>#NUM!</v>
      </c>
      <c r="P1136" t="e">
        <f t="array" ref="P1136">IF(--INDEX('Raw Data'!$A$4:F$998,$F1136,8)= 1, 1, 0)</f>
        <v>#NUM!</v>
      </c>
      <c r="Q1136" t="e">
        <f t="array" ref="Q1136">IF(--INDEX('Raw Data'!$A$4:G$998,$F1136,13)= 1, 1, 0)</f>
        <v>#NUM!</v>
      </c>
      <c r="R1136" t="e">
        <f t="array" ref="R1136">IF(--INDEX('Raw Data'!$A$4:H$998,$F1136,14)= 1, 1, 0)</f>
        <v>#NUM!</v>
      </c>
      <c r="S1136" t="e">
        <f t="array" ref="S1136">IF(--INDEX('Raw Data'!$A$4:I$998,$F1136,15)= 1, 1, 0)</f>
        <v>#NUM!</v>
      </c>
      <c r="T1136" t="e">
        <f t="array" ref="T1136">IF(--INDEX('Raw Data'!$A$4:I$998,$F1136,15)= 1, 1, 0)</f>
        <v>#NUM!</v>
      </c>
      <c r="U1136" t="e">
        <f t="array" ref="U1136">IF(--INDEX('Raw Data'!$A$4:J$998,$F1136,16)= 1, 1, 0)</f>
        <v>#NUM!</v>
      </c>
      <c r="V1136" t="e">
        <f t="array" ref="V1136">IF(--INDEX('Raw Data'!$A$4:K$998,$F1136,17)= 1, 1, 0)</f>
        <v>#NUM!</v>
      </c>
      <c r="W1136" t="e">
        <f t="array" ref="W1136">INDEX('Raw Data'!$A:$O,$F1136,19)</f>
        <v>#NUM!</v>
      </c>
      <c r="X1136" t="e">
        <f t="array" ref="X1136">INDEX('Raw Data'!$A:$O,$F1136,20)</f>
        <v>#NUM!</v>
      </c>
      <c r="Y1136" t="e">
        <f t="array" ref="Y1136">INDEX('Raw Data'!$A:$O,F1136,21)</f>
        <v>#NUM!</v>
      </c>
      <c r="Z1136" t="e">
        <f t="array" ref="Z1136">INDEX('Raw Data'!$A:$O,$F1136,3)</f>
        <v>#NUM!</v>
      </c>
      <c r="AA1136" t="e">
        <f t="array" ref="AA1136">INDEX('Raw Data'!$A:$O,$F1136,22)</f>
        <v>#NUM!</v>
      </c>
      <c r="AB1136" t="e">
        <f t="array" ref="AB1136">INDEX('Raw Data'!$A:$O,$F1136,23)</f>
        <v>#NUM!</v>
      </c>
      <c r="AR1136" s="25"/>
    </row>
    <row r="1137" spans="1:44" x14ac:dyDescent="0.25">
      <c r="F1137" t="e">
        <f t="array" ref="F1137">SMALL(IF('Raw Data'!A:A=C1123,ROW('Raw Data'!A:A)),ROW('Raw Data'!$14:$14))</f>
        <v>#NUM!</v>
      </c>
      <c r="G1137" t="e">
        <f t="array" ref="G1137">INDEX('Raw Data'!A:A,F1137,9)</f>
        <v>#NUM!</v>
      </c>
      <c r="H1137" t="e">
        <f t="array" ref="H1137">INDEX('Raw Data'!A:A,F1137,10)</f>
        <v>#NUM!</v>
      </c>
      <c r="I1137" t="e">
        <f t="array" ref="I1137">INDEX('Raw Data'!$A:A,$F1137,11)</f>
        <v>#NUM!</v>
      </c>
      <c r="J1137" t="e">
        <f t="array" ref="J1137">INDEX('Raw Data'!$A:A,F1137,12)</f>
        <v>#NUM!</v>
      </c>
      <c r="K1137" t="e">
        <f t="array" ref="K1137">(--INDEX('Raw Data'!$A$4:B$998,F1137,4))</f>
        <v>#NUM!</v>
      </c>
      <c r="L1137" t="e">
        <f t="array" ref="L1137">(--INDEX('Raw Data'!$A$4:B$998,F1137,5))</f>
        <v>#NUM!</v>
      </c>
      <c r="M1137" t="e">
        <f t="array" ref="M1137">(--INDEX('Raw Data'!$A$4:D$998,$F1137,6))</f>
        <v>#NUM!</v>
      </c>
      <c r="N1137" t="e">
        <f t="array" ref="N1137">(--INDEX('Raw Data'!$A$4:D$998,$F1137,7))</f>
        <v>#NUM!</v>
      </c>
      <c r="O1137" t="e">
        <f t="array" ref="O1137">IF(--INDEX('Raw Data'!$A$4:E$998,$F1137,8)= 0, 1, 0)</f>
        <v>#NUM!</v>
      </c>
      <c r="P1137" t="e">
        <f t="array" ref="P1137">IF(--INDEX('Raw Data'!$A$4:F$998,$F1137,8)= 1, 1, 0)</f>
        <v>#NUM!</v>
      </c>
      <c r="Q1137" t="e">
        <f t="array" ref="Q1137">IF(--INDEX('Raw Data'!$A$4:G$998,$F1137,13)= 1, 1, 0)</f>
        <v>#NUM!</v>
      </c>
      <c r="R1137" t="e">
        <f t="array" ref="R1137">IF(--INDEX('Raw Data'!$A$4:H$998,$F1137,14)= 1, 1, 0)</f>
        <v>#NUM!</v>
      </c>
      <c r="S1137" t="e">
        <f t="array" ref="S1137">IF(--INDEX('Raw Data'!$A$4:I$998,$F1137,15)= 1, 1, 0)</f>
        <v>#NUM!</v>
      </c>
      <c r="T1137" t="e">
        <f t="array" ref="T1137">IF(--INDEX('Raw Data'!$A$4:I$998,$F1137,15)= 1, 1, 0)</f>
        <v>#NUM!</v>
      </c>
      <c r="U1137" t="e">
        <f t="array" ref="U1137">IF(--INDEX('Raw Data'!$A$4:J$998,$F1137,16)= 1, 1, 0)</f>
        <v>#NUM!</v>
      </c>
      <c r="V1137" t="e">
        <f t="array" ref="V1137">IF(--INDEX('Raw Data'!$A$4:K$998,$F1137,17)= 1, 1, 0)</f>
        <v>#NUM!</v>
      </c>
      <c r="W1137" t="e">
        <f t="array" ref="W1137">INDEX('Raw Data'!$A:$O,$F1137,19)</f>
        <v>#NUM!</v>
      </c>
      <c r="X1137" t="e">
        <f t="array" ref="X1137">INDEX('Raw Data'!$A:$O,$F1137,20)</f>
        <v>#NUM!</v>
      </c>
      <c r="Y1137" t="e">
        <f t="array" ref="Y1137">INDEX('Raw Data'!$A:$O,F1137,21)</f>
        <v>#NUM!</v>
      </c>
      <c r="Z1137" t="e">
        <f t="array" ref="Z1137">INDEX('Raw Data'!$A:$O,$F1137,3)</f>
        <v>#NUM!</v>
      </c>
      <c r="AA1137" t="e">
        <f t="array" ref="AA1137">INDEX('Raw Data'!$A:$O,$F1137,22)</f>
        <v>#NUM!</v>
      </c>
      <c r="AB1137" t="e">
        <f t="array" ref="AB1137">INDEX('Raw Data'!$A:$O,$F1137,23)</f>
        <v>#NUM!</v>
      </c>
      <c r="AR1137" s="25"/>
    </row>
    <row r="1138" spans="1:44" x14ac:dyDescent="0.25">
      <c r="F1138" t="e">
        <f t="array" ref="F1138">SMALL(IF('Raw Data'!A:A=C1123,ROW('Raw Data'!A:A)),ROW('Raw Data'!$15:$15))</f>
        <v>#NUM!</v>
      </c>
      <c r="G1138" t="e">
        <f t="array" ref="G1138">INDEX('Raw Data'!A:A,F1138,9)</f>
        <v>#NUM!</v>
      </c>
      <c r="H1138" t="e">
        <f t="array" ref="H1138">INDEX('Raw Data'!A:A,F1138,10)</f>
        <v>#NUM!</v>
      </c>
      <c r="I1138" t="e">
        <f t="array" ref="I1138">INDEX('Raw Data'!$A:A,$F1138,11)</f>
        <v>#NUM!</v>
      </c>
      <c r="J1138" t="e">
        <f t="array" ref="J1138">INDEX('Raw Data'!$A:A,F1138,12)</f>
        <v>#NUM!</v>
      </c>
      <c r="K1138" t="e">
        <f t="array" ref="K1138">(--INDEX('Raw Data'!$A$4:B$998,F1138,4))</f>
        <v>#NUM!</v>
      </c>
      <c r="L1138" t="e">
        <f t="array" ref="L1138">(--INDEX('Raw Data'!$A$4:B$998,F1138,5))</f>
        <v>#NUM!</v>
      </c>
      <c r="M1138" t="e">
        <f t="array" ref="M1138">(--INDEX('Raw Data'!$A$4:D$998,$F1138,6))</f>
        <v>#NUM!</v>
      </c>
      <c r="N1138" t="e">
        <f t="array" ref="N1138">(--INDEX('Raw Data'!$A$4:D$998,$F1138,7))</f>
        <v>#NUM!</v>
      </c>
      <c r="O1138" t="e">
        <f t="array" ref="O1138">IF(--INDEX('Raw Data'!$A$4:E$998,$F1138,8)= 0, 1, 0)</f>
        <v>#NUM!</v>
      </c>
      <c r="P1138" t="e">
        <f t="array" ref="P1138">IF(--INDEX('Raw Data'!$A$4:F$998,$F1138,8)= 1, 1, 0)</f>
        <v>#NUM!</v>
      </c>
      <c r="Q1138" t="e">
        <f t="array" ref="Q1138">IF(--INDEX('Raw Data'!$A$4:G$998,$F1138,13)= 1, 1, 0)</f>
        <v>#NUM!</v>
      </c>
      <c r="R1138" t="e">
        <f t="array" ref="R1138">IF(--INDEX('Raw Data'!$A$4:H$998,$F1138,14)= 1, 1, 0)</f>
        <v>#NUM!</v>
      </c>
      <c r="S1138" t="e">
        <f t="array" ref="S1138">IF(--INDEX('Raw Data'!$A$4:I$998,$F1138,15)= 1, 1, 0)</f>
        <v>#NUM!</v>
      </c>
      <c r="T1138" t="e">
        <f t="array" ref="T1138">IF(--INDEX('Raw Data'!$A$4:I$998,$F1138,15)= 1, 1, 0)</f>
        <v>#NUM!</v>
      </c>
      <c r="U1138" t="e">
        <f t="array" ref="U1138">IF(--INDEX('Raw Data'!$A$4:J$998,$F1138,16)= 1, 1, 0)</f>
        <v>#NUM!</v>
      </c>
      <c r="V1138" t="e">
        <f t="array" ref="V1138">IF(--INDEX('Raw Data'!$A$4:K$998,$F1138,17)= 1, 1, 0)</f>
        <v>#NUM!</v>
      </c>
      <c r="W1138" t="e">
        <f t="array" ref="W1138">INDEX('Raw Data'!$A:$O,$F1138,19)</f>
        <v>#NUM!</v>
      </c>
      <c r="X1138" t="e">
        <f t="array" ref="X1138">INDEX('Raw Data'!$A:$O,$F1138,20)</f>
        <v>#NUM!</v>
      </c>
      <c r="Y1138" t="e">
        <f t="array" ref="Y1138">INDEX('Raw Data'!$A:$O,F1138,21)</f>
        <v>#NUM!</v>
      </c>
      <c r="Z1138" t="e">
        <f t="array" ref="Z1138">INDEX('Raw Data'!$A:$O,$F1138,3)</f>
        <v>#NUM!</v>
      </c>
      <c r="AA1138" t="e">
        <f t="array" ref="AA1138">INDEX('Raw Data'!$A:$O,$F1138,22)</f>
        <v>#NUM!</v>
      </c>
      <c r="AB1138" t="e">
        <f t="array" ref="AB1138">INDEX('Raw Data'!$A:$O,$F1138,23)</f>
        <v>#NUM!</v>
      </c>
      <c r="AR1138" s="25"/>
    </row>
    <row r="1139" spans="1:44" x14ac:dyDescent="0.25">
      <c r="A1139" t="s">
        <v>55</v>
      </c>
      <c r="C1139" s="2" t="e">
        <f>B1129/B1128</f>
        <v>#DIV/0!</v>
      </c>
      <c r="F1139">
        <f t="array" ref="F1139">COUNTIF(F1124:F1138,"&gt;0")</f>
        <v>0</v>
      </c>
      <c r="G1139">
        <f t="array" ref="G1139">SUMIF(G1124:G1138,"&gt;0")</f>
        <v>0</v>
      </c>
      <c r="H1139">
        <f t="array" ref="H1139">SUMIF(H1124:H1138,"&gt;0")</f>
        <v>0</v>
      </c>
      <c r="I1139">
        <f t="array" ref="I1139">SUMIF(I1124:I1138,"&gt;0")</f>
        <v>0</v>
      </c>
      <c r="J1139">
        <f t="array" ref="J1139">SUMIF(J1124:J1138,"&gt;0")</f>
        <v>0</v>
      </c>
      <c r="K1139">
        <f t="array" ref="K1139">SUMIF(K1124:K1138,"&gt;0")</f>
        <v>0</v>
      </c>
      <c r="L1139">
        <f t="array" ref="L1139">SUMIF(L1124:L1138,"&gt;0")</f>
        <v>0</v>
      </c>
      <c r="M1139">
        <f t="array" ref="M1139">SUMIF(M1124:M1138,"&gt;0")</f>
        <v>0</v>
      </c>
      <c r="N1139">
        <f t="array" ref="N1139">SUMIF(N1124:N1138,"&gt;0")</f>
        <v>0</v>
      </c>
      <c r="O1139">
        <f t="array" ref="O1139">SUMIF(O1124:O1138,"&gt;0")</f>
        <v>0</v>
      </c>
      <c r="P1139">
        <f t="array" ref="P1139">SUMIF(P1124:P1138,"&gt;0")</f>
        <v>0</v>
      </c>
      <c r="Q1139">
        <f t="array" ref="Q1139">SUMIF(Q1124:Q1138,"&gt;0")</f>
        <v>0</v>
      </c>
      <c r="R1139">
        <f t="array" ref="R1139">SUMIF(R1124:R1138,"&gt;0")</f>
        <v>0</v>
      </c>
      <c r="S1139">
        <f t="array" ref="S1139">SUMIF(S1124:S1138,"&gt;0")</f>
        <v>0</v>
      </c>
      <c r="T1139">
        <f t="array" ref="T1139">SUMIF(T1124:T1138,"&gt;0")</f>
        <v>0</v>
      </c>
      <c r="U1139">
        <f t="array" ref="U1139">SUMIF(U1124:U1138,"&gt;0")</f>
        <v>0</v>
      </c>
      <c r="V1139">
        <f t="array" ref="V1139">SUMIF(V1124:V1138,"&gt;0")</f>
        <v>0</v>
      </c>
      <c r="W1139">
        <f t="array" ref="W1139">SUMIF(W1124:W1138,"&gt;0")</f>
        <v>0</v>
      </c>
      <c r="X1139">
        <f t="array" ref="X1139">SUMIF(X1124:X1138,"&gt;0")</f>
        <v>0</v>
      </c>
      <c r="Y1139">
        <f t="array" ref="Y1139">SUMIF(Y1124:Y1138,"&gt;0")</f>
        <v>0</v>
      </c>
      <c r="Z1139">
        <f t="array" ref="Z1139">SUMIF(Z1124:Z1138,"&gt;0")</f>
        <v>0</v>
      </c>
      <c r="AA1139">
        <f t="array" ref="AA1139">SUMIF(AA1124:AA1138,"&gt;0")</f>
        <v>0</v>
      </c>
      <c r="AB1139">
        <f t="array" ref="AB1139">SUMIF(AB1124:AB1138,"&gt;0")</f>
        <v>0</v>
      </c>
      <c r="AR1139" s="25"/>
    </row>
    <row r="1140" spans="1:44" x14ac:dyDescent="0.25">
      <c r="A1140" t="s">
        <v>58</v>
      </c>
      <c r="C1140" s="2">
        <f t="array" ref="C1140">IF((K1139+L1139)&lt;&gt;0, (L1139/(K1139+L1139)),0)</f>
        <v>0</v>
      </c>
      <c r="J1140" s="6">
        <f t="array" ref="J1140">J1139*10</f>
        <v>0</v>
      </c>
      <c r="K1140" s="6"/>
      <c r="P1140" t="s">
        <v>95</v>
      </c>
      <c r="Q1140" s="2" t="e">
        <f t="array" ref="Q1140">Q1139/$F1139</f>
        <v>#DIV/0!</v>
      </c>
      <c r="R1140" s="2" t="e">
        <f t="array" ref="R1140">R1139/$F1139</f>
        <v>#DIV/0!</v>
      </c>
      <c r="S1140" s="2" t="e">
        <f t="array" ref="S1140">S1139/$F1139</f>
        <v>#DIV/0!</v>
      </c>
      <c r="T1140" s="2" t="e">
        <f t="array" ref="T1140">T1139/$F1139</f>
        <v>#DIV/0!</v>
      </c>
      <c r="U1140" s="2" t="e">
        <f t="array" ref="U1140">U1139/$F1139</f>
        <v>#DIV/0!</v>
      </c>
      <c r="V1140" s="2" t="e">
        <f t="array" ref="V1140">V1139/$F1139</f>
        <v>#DIV/0!</v>
      </c>
      <c r="Z1140" s="2" t="e">
        <f t="array" ref="Z1140">Z1139/F1139</f>
        <v>#DIV/0!</v>
      </c>
      <c r="AR1140" s="25"/>
    </row>
    <row r="1141" spans="1:44" x14ac:dyDescent="0.25">
      <c r="A1141" t="s">
        <v>60</v>
      </c>
      <c r="C1141" s="2">
        <f t="array" ref="C1141">IF((M1139+N1139)&lt;&gt;0, (N1139/(M1139+N1139)),0)</f>
        <v>0</v>
      </c>
      <c r="AR1141" s="25"/>
    </row>
    <row r="1142" spans="1:44" ht="28.5" x14ac:dyDescent="0.45">
      <c r="A1142" t="s">
        <v>61</v>
      </c>
      <c r="C1142" s="2">
        <f t="array" ref="C1142">IF(((K1139+N1139+L1139+M1139)&lt;&gt;0), ((L1139+N1139)/(K1139+N1139+L1139+M1139)),0)</f>
        <v>0</v>
      </c>
      <c r="F1142" s="17" t="s">
        <v>106</v>
      </c>
      <c r="G1142" s="17" t="e">
        <f t="array" ref="G1142">'Weighting &amp; Ranking Sheet'!$B$3*Math!$C1140+'Weighting &amp; Ranking Sheet'!$B$4*Math!$C1141+'Weighting &amp; Ranking Sheet'!$B$5*Math!$C1142+'Weighting &amp; Ranking Sheet'!$B$6*Math!$C1143+'Weighting &amp; Ranking Sheet'!$B$7*Math!$C1127+'Weighting &amp; Ranking Sheet'!$B$8*Math!$C1139+'Weighting &amp; Ranking Sheet'!$B$9*Math!$C1146+'Weighting &amp; Ranking Sheet'!$B$10*Math!$C1144+'Weighting &amp; Ranking Sheet'!$B$11*Math!$C1145+'Weighting &amp; Ranking Sheet'!$B$12*Math!$C1147*0.01+'Weighting &amp; Ranking Sheet'!$B$13*Math!$Q1140+'Weighting &amp; Ranking Sheet'!$B$14*Math!$R1140+'Weighting &amp; Ranking Sheet'!$B$15*Math!$S1140+'Weighting &amp; Ranking Sheet'!$B$16*Math!$T1140+'Weighting &amp; Ranking Sheet'!$B$17*Math!$U1140+'Weighting &amp; Ranking Sheet'!$B$18*Math!$V1140+'Weighting &amp; Ranking Sheet'!$B$2*Math!$Z1140</f>
        <v>#DIV/0!</v>
      </c>
      <c r="J1142"/>
      <c r="AR1142" s="25"/>
    </row>
    <row r="1143" spans="1:44" x14ac:dyDescent="0.25">
      <c r="A1143" t="s">
        <v>62</v>
      </c>
      <c r="C1143" s="2">
        <f t="array" ref="C1143">IF((O1139+P1139&lt;&gt;0),(P1139/(O1139+P1139)), 0)</f>
        <v>0</v>
      </c>
      <c r="J1143"/>
      <c r="AR1143" s="25"/>
    </row>
    <row r="1144" spans="1:44" x14ac:dyDescent="0.25">
      <c r="A1144" t="s">
        <v>77</v>
      </c>
      <c r="C1144" s="8" t="e">
        <f t="array" ref="C1144">W1139/F1139</f>
        <v>#DIV/0!</v>
      </c>
      <c r="J1144"/>
      <c r="AR1144" s="23"/>
    </row>
    <row r="1145" spans="1:44" x14ac:dyDescent="0.25">
      <c r="A1145" t="s">
        <v>78</v>
      </c>
      <c r="C1145" s="8" t="e">
        <f t="array" ref="C1145">X1139/F1139</f>
        <v>#DIV/0!</v>
      </c>
      <c r="J1145"/>
    </row>
    <row r="1146" spans="1:44" x14ac:dyDescent="0.25">
      <c r="A1146" t="s">
        <v>91</v>
      </c>
      <c r="C1146" s="2" t="e">
        <f t="array" ref="C1146">(C1127+C1139)/2</f>
        <v>#DIV/0!</v>
      </c>
      <c r="J1146"/>
    </row>
    <row r="1147" spans="1:44" x14ac:dyDescent="0.25">
      <c r="A1147" t="s">
        <v>92</v>
      </c>
      <c r="C1147" s="8" t="e">
        <f t="array" ref="C1147">Y1139/F1139</f>
        <v>#DIV/0!</v>
      </c>
      <c r="J1147"/>
    </row>
    <row r="1151" spans="1:44" x14ac:dyDescent="0.25">
      <c r="A1151" t="s">
        <v>3</v>
      </c>
      <c r="C1151" s="5">
        <v>225</v>
      </c>
      <c r="F1151" t="s">
        <v>11</v>
      </c>
    </row>
    <row r="1152" spans="1:44" x14ac:dyDescent="0.25">
      <c r="F1152" t="e">
        <f t="array" ref="F1152">SMALL(IF('Raw Data'!A:A=C1151,ROW('Raw Data'!A:A)),ROW('Raw Data'!$1:$1))</f>
        <v>#NUM!</v>
      </c>
      <c r="G1152" t="e">
        <f t="array" ref="G1152">INDEX('Raw Data'!A:A,F1152,9)</f>
        <v>#NUM!</v>
      </c>
      <c r="H1152" t="e">
        <f t="array" ref="H1152">INDEX('Raw Data'!A:A,F1152,10)</f>
        <v>#NUM!</v>
      </c>
      <c r="I1152" t="e">
        <f t="array" ref="I1152">INDEX('Raw Data'!$A:A,$F1152,11)</f>
        <v>#NUM!</v>
      </c>
      <c r="J1152" t="e">
        <f t="array" ref="J1152">INDEX('Raw Data'!$A:A,F1152,12)</f>
        <v>#NUM!</v>
      </c>
      <c r="K1152" t="e">
        <f>(--INDEX('Raw Data'!$A$4:B$993,F1152,4))</f>
        <v>#NUM!</v>
      </c>
      <c r="L1152" t="e">
        <f t="array" ref="L1152">(--INDEX('Raw Data'!$A$4:B$993,F1152,5))</f>
        <v>#NUM!</v>
      </c>
      <c r="M1152" t="e">
        <f t="array" ref="M1152">(--INDEX('Raw Data'!$A$4:D$993,$F1152,6))</f>
        <v>#NUM!</v>
      </c>
      <c r="N1152" t="e">
        <f t="array" ref="N1152">(--INDEX('Raw Data'!$A$4:D$993,$F1152,7))</f>
        <v>#NUM!</v>
      </c>
      <c r="O1152" t="e">
        <f t="array" ref="O1152">IF(--INDEX('Raw Data'!$A$4:E$993,$F1152,8)= 0, 1, 0)</f>
        <v>#NUM!</v>
      </c>
      <c r="P1152" t="e">
        <f t="array" ref="P1152">IF(--INDEX('Raw Data'!$A$4:F$993,$F1152,8)= 1, 1, 0)</f>
        <v>#NUM!</v>
      </c>
      <c r="Q1152" t="e">
        <f t="array" ref="Q1152">IF(--INDEX('Raw Data'!$A$4:G$993,$F1152,13)= 1, 1, 0)</f>
        <v>#NUM!</v>
      </c>
      <c r="R1152" t="e">
        <f t="array" ref="R1152">IF(--INDEX('Raw Data'!$A$4:H$993,$F1152,14)= 1, 1, 0)</f>
        <v>#NUM!</v>
      </c>
      <c r="S1152" t="e">
        <f t="array" ref="S1152">IF(--INDEX('Raw Data'!$A$4:I$993,$F1152,15)= 1, 1, 0)</f>
        <v>#NUM!</v>
      </c>
      <c r="T1152" t="e">
        <f t="array" ref="T1152">IF(--INDEX('Raw Data'!$A$4:I$993,$F1152,15)= 1, 1, 0)</f>
        <v>#NUM!</v>
      </c>
      <c r="U1152" t="e">
        <f t="array" ref="U1152">IF(--INDEX('Raw Data'!$A$4:J$993,$F1152,16)= 1, 1, 0)</f>
        <v>#NUM!</v>
      </c>
      <c r="V1152" t="e">
        <f t="array" ref="V1152">IF(--INDEX('Raw Data'!$A$4:K$993,$F1152,17)= 1, 1, 0)</f>
        <v>#NUM!</v>
      </c>
      <c r="W1152" t="e">
        <f t="array" ref="W1152">INDEX('Raw Data'!$A:$O,$F1152,19)</f>
        <v>#NUM!</v>
      </c>
      <c r="X1152" t="e">
        <f t="array" ref="X1152">INDEX('Raw Data'!$A:$O,$F1152,20)</f>
        <v>#NUM!</v>
      </c>
      <c r="Y1152" t="e">
        <f t="array" ref="Y1152">INDEX('Raw Data'!$A:$O,F1152,21)</f>
        <v>#NUM!</v>
      </c>
      <c r="Z1152" t="e">
        <f t="array" ref="Z1152">INDEX('Raw Data'!$A:$O,$F1152,3)</f>
        <v>#NUM!</v>
      </c>
      <c r="AA1152" t="e">
        <f t="array" ref="AA1152">INDEX('Raw Data'!$A:$O,$F1152,22)</f>
        <v>#NUM!</v>
      </c>
      <c r="AB1152" t="e">
        <f t="array" ref="AB1152">INDEX('Raw Data'!$A:$O,$F1152,23)</f>
        <v>#NUM!</v>
      </c>
    </row>
    <row r="1153" spans="1:44" x14ac:dyDescent="0.25">
      <c r="A1153" t="s">
        <v>0</v>
      </c>
      <c r="B1153">
        <f>G1167</f>
        <v>0</v>
      </c>
      <c r="F1153" t="e">
        <f t="array" ref="F1153">SMALL(IF('Raw Data'!A:A=C1151,ROW('Raw Data'!A:A)),ROW('Raw Data'!$2:$2))</f>
        <v>#NUM!</v>
      </c>
      <c r="G1153" t="e">
        <f t="array" ref="G1153">INDEX('Raw Data'!A:A,F1153,9)</f>
        <v>#NUM!</v>
      </c>
      <c r="H1153" t="e">
        <f t="array" ref="H1153">INDEX('Raw Data'!A:A,F1153,10)</f>
        <v>#NUM!</v>
      </c>
      <c r="I1153" t="e">
        <f t="array" ref="I1153">INDEX('Raw Data'!$A:A,$F1153,11)</f>
        <v>#NUM!</v>
      </c>
      <c r="J1153" t="e">
        <f t="array" ref="J1153">INDEX('Raw Data'!$A:A,F1153,12)</f>
        <v>#NUM!</v>
      </c>
      <c r="K1153" t="e">
        <f>(--INDEX('Raw Data'!$A$4:B$993,F1153,4))</f>
        <v>#NUM!</v>
      </c>
      <c r="L1153" t="e">
        <f t="array" ref="L1153">(--INDEX('Raw Data'!$A$4:B$993,F1153,5))</f>
        <v>#NUM!</v>
      </c>
      <c r="M1153" t="e">
        <f t="array" ref="M1153">(--INDEX('Raw Data'!$A$4:D$993,$F1153,6))</f>
        <v>#NUM!</v>
      </c>
      <c r="N1153" t="e">
        <f t="array" ref="N1153">(--INDEX('Raw Data'!$A$4:D$993,$F1153,7))</f>
        <v>#NUM!</v>
      </c>
      <c r="O1153" t="e">
        <f t="array" ref="O1153">IF(--INDEX('Raw Data'!$A$4:E$993,$F1153,8)= 0, 1, 0)</f>
        <v>#NUM!</v>
      </c>
      <c r="P1153" t="e">
        <f t="array" ref="P1153">IF(--INDEX('Raw Data'!$A$4:F$993,$F1153,8)= 1, 1, 0)</f>
        <v>#NUM!</v>
      </c>
      <c r="Q1153" t="e">
        <f t="array" ref="Q1153">IF(--INDEX('Raw Data'!$A$4:G$993,$F1153,13)= 1, 1, 0)</f>
        <v>#NUM!</v>
      </c>
      <c r="R1153" t="e">
        <f t="array" ref="R1153">IF(--INDEX('Raw Data'!$A$4:H$993,$F1153,14)= 1, 1, 0)</f>
        <v>#NUM!</v>
      </c>
      <c r="S1153" t="e">
        <f t="array" ref="S1153">IF(--INDEX('Raw Data'!$A$4:I$993,$F1153,15)= 1, 1, 0)</f>
        <v>#NUM!</v>
      </c>
      <c r="T1153" t="e">
        <f t="array" ref="T1153">IF(--INDEX('Raw Data'!$A$4:I$993,$F1153,15)= 1, 1, 0)</f>
        <v>#NUM!</v>
      </c>
      <c r="U1153" t="e">
        <f t="array" ref="U1153">IF(--INDEX('Raw Data'!$A$4:J$993,$F1153,16)= 1, 1, 0)</f>
        <v>#NUM!</v>
      </c>
      <c r="V1153" t="e">
        <f t="array" ref="V1153">IF(--INDEX('Raw Data'!$A$4:K$993,$F1153,17)= 1, 1, 0)</f>
        <v>#NUM!</v>
      </c>
      <c r="W1153" t="e">
        <f t="array" ref="W1153">INDEX('Raw Data'!$A:$O,$F1153,19)</f>
        <v>#NUM!</v>
      </c>
      <c r="X1153" t="e">
        <f t="array" ref="X1153">INDEX('Raw Data'!$A:$O,$F1153,20)</f>
        <v>#NUM!</v>
      </c>
      <c r="Y1153" t="e">
        <f t="array" ref="Y1153">INDEX('Raw Data'!$A:$O,F1153,21)</f>
        <v>#NUM!</v>
      </c>
      <c r="Z1153" t="e">
        <f t="array" ref="Z1153">INDEX('Raw Data'!$A:$O,$F1153,3)</f>
        <v>#NUM!</v>
      </c>
      <c r="AA1153" t="e">
        <f t="array" ref="AA1153">INDEX('Raw Data'!$A:$O,$F1153,22)</f>
        <v>#NUM!</v>
      </c>
      <c r="AB1153" t="e">
        <f t="array" ref="AB1153">INDEX('Raw Data'!$A:$O,$F1153,23)</f>
        <v>#NUM!</v>
      </c>
    </row>
    <row r="1154" spans="1:44" x14ac:dyDescent="0.25">
      <c r="A1154" t="s">
        <v>1</v>
      </c>
      <c r="B1154">
        <f>H1167</f>
        <v>0</v>
      </c>
      <c r="F1154" t="e">
        <f t="array" ref="F1154">SMALL(IF('Raw Data'!A:A=C1151,ROW('Raw Data'!A:A)),ROW('Raw Data'!$3:$3))</f>
        <v>#NUM!</v>
      </c>
      <c r="G1154" t="e">
        <f t="array" ref="G1154">INDEX('Raw Data'!A:A,F1154,9)</f>
        <v>#NUM!</v>
      </c>
      <c r="H1154" t="e">
        <f t="array" ref="H1154">INDEX('Raw Data'!A:A,F1154,10)</f>
        <v>#NUM!</v>
      </c>
      <c r="I1154" t="e">
        <f t="array" ref="I1154">INDEX('Raw Data'!$A:A,$F1154,11)</f>
        <v>#NUM!</v>
      </c>
      <c r="J1154" t="e">
        <f t="array" ref="J1154">INDEX('Raw Data'!$A:A,F1154,12)</f>
        <v>#NUM!</v>
      </c>
      <c r="K1154" t="e">
        <f>(--INDEX('Raw Data'!$A$4:B$993,F1154,4))</f>
        <v>#NUM!</v>
      </c>
      <c r="L1154" t="e">
        <f t="array" ref="L1154">(--INDEX('Raw Data'!$A$4:B$993,F1154,5))</f>
        <v>#NUM!</v>
      </c>
      <c r="M1154" t="e">
        <f t="array" ref="M1154">(--INDEX('Raw Data'!$A$4:D$993,$F1154,6))</f>
        <v>#NUM!</v>
      </c>
      <c r="N1154" t="e">
        <f t="array" ref="N1154">(--INDEX('Raw Data'!$A$4:D$993,$F1154,7))</f>
        <v>#NUM!</v>
      </c>
      <c r="O1154" t="e">
        <f t="array" ref="O1154">IF(--INDEX('Raw Data'!$A$4:E$993,$F1154,8)= 0, 1, 0)</f>
        <v>#NUM!</v>
      </c>
      <c r="P1154" t="e">
        <f t="array" ref="P1154">IF(--INDEX('Raw Data'!$A$4:F$993,$F1154,8)= 1, 1, 0)</f>
        <v>#NUM!</v>
      </c>
      <c r="Q1154" t="e">
        <f t="array" ref="Q1154">IF(--INDEX('Raw Data'!$A$4:G$993,$F1154,13)= 1, 1, 0)</f>
        <v>#NUM!</v>
      </c>
      <c r="R1154" t="e">
        <f t="array" ref="R1154">IF(--INDEX('Raw Data'!$A$4:H$993,$F1154,14)= 1, 1, 0)</f>
        <v>#NUM!</v>
      </c>
      <c r="S1154" t="e">
        <f t="array" ref="S1154">IF(--INDEX('Raw Data'!$A$4:I$993,$F1154,15)= 1, 1, 0)</f>
        <v>#NUM!</v>
      </c>
      <c r="T1154" t="e">
        <f t="array" ref="T1154">IF(--INDEX('Raw Data'!$A$4:I$993,$F1154,15)= 1, 1, 0)</f>
        <v>#NUM!</v>
      </c>
      <c r="U1154" t="e">
        <f t="array" ref="U1154">IF(--INDEX('Raw Data'!$A$4:J$993,$F1154,16)= 1, 1, 0)</f>
        <v>#NUM!</v>
      </c>
      <c r="V1154" t="e">
        <f t="array" ref="V1154">IF(--INDEX('Raw Data'!$A$4:K$993,$F1154,17)= 1, 1, 0)</f>
        <v>#NUM!</v>
      </c>
      <c r="W1154" t="e">
        <f t="array" ref="W1154">INDEX('Raw Data'!$A:$O,$F1154,19)</f>
        <v>#NUM!</v>
      </c>
      <c r="X1154" t="e">
        <f t="array" ref="X1154">INDEX('Raw Data'!$A:$O,$F1154,20)</f>
        <v>#NUM!</v>
      </c>
      <c r="Y1154" t="e">
        <f t="array" ref="Y1154">INDEX('Raw Data'!$A:$O,F1154,21)</f>
        <v>#NUM!</v>
      </c>
      <c r="Z1154" t="e">
        <f t="array" ref="Z1154">INDEX('Raw Data'!$A:$O,$F1154,3)</f>
        <v>#NUM!</v>
      </c>
      <c r="AA1154" t="e">
        <f t="array" ref="AA1154">INDEX('Raw Data'!$A:$O,$F1154,22)</f>
        <v>#NUM!</v>
      </c>
      <c r="AB1154" t="e">
        <f t="array" ref="AB1154">INDEX('Raw Data'!$A:$O,$F1154,23)</f>
        <v>#NUM!</v>
      </c>
    </row>
    <row r="1155" spans="1:44" x14ac:dyDescent="0.25">
      <c r="A1155" t="s">
        <v>2</v>
      </c>
      <c r="C1155" s="3" t="e">
        <f>B1154/B1153</f>
        <v>#DIV/0!</v>
      </c>
      <c r="F1155" t="e">
        <f t="array" ref="F1155">SMALL(IF('Raw Data'!A:A=C1151,ROW('Raw Data'!A:A)),ROW('Raw Data'!$4:$4))</f>
        <v>#NUM!</v>
      </c>
      <c r="G1155" t="e">
        <f t="array" ref="G1155">INDEX('Raw Data'!A:A,F1155,9)</f>
        <v>#NUM!</v>
      </c>
      <c r="H1155" t="e">
        <f t="array" ref="H1155">INDEX('Raw Data'!A:A,F1155,10)</f>
        <v>#NUM!</v>
      </c>
      <c r="I1155" t="e">
        <f t="array" ref="I1155">INDEX('Raw Data'!$A:A,$F1155,11)</f>
        <v>#NUM!</v>
      </c>
      <c r="J1155" t="e">
        <f t="array" ref="J1155">INDEX('Raw Data'!$A:A,F1155,12)</f>
        <v>#NUM!</v>
      </c>
      <c r="K1155" t="e">
        <f>(--INDEX('Raw Data'!$A$4:B$993,F1155,4))</f>
        <v>#NUM!</v>
      </c>
      <c r="L1155" t="e">
        <f t="array" ref="L1155">(--INDEX('Raw Data'!$A$4:B$993,F1155,5))</f>
        <v>#NUM!</v>
      </c>
      <c r="M1155" t="e">
        <f t="array" ref="M1155">(--INDEX('Raw Data'!$A$4:D$993,$F1155,6))</f>
        <v>#NUM!</v>
      </c>
      <c r="N1155" t="e">
        <f t="array" ref="N1155">(--INDEX('Raw Data'!$A$4:D$993,$F1155,7))</f>
        <v>#NUM!</v>
      </c>
      <c r="O1155" t="e">
        <f t="array" ref="O1155">IF(--INDEX('Raw Data'!$A$4:E$993,$F1155,8)= 0, 1, 0)</f>
        <v>#NUM!</v>
      </c>
      <c r="P1155" t="e">
        <f t="array" ref="P1155">IF(--INDEX('Raw Data'!$A$4:F$993,$F1155,8)= 1, 1, 0)</f>
        <v>#NUM!</v>
      </c>
      <c r="Q1155" t="e">
        <f t="array" ref="Q1155">IF(--INDEX('Raw Data'!$A$4:G$993,$F1155,13)= 1, 1, 0)</f>
        <v>#NUM!</v>
      </c>
      <c r="R1155" t="e">
        <f t="array" ref="R1155">IF(--INDEX('Raw Data'!$A$4:H$993,$F1155,14)= 1, 1, 0)</f>
        <v>#NUM!</v>
      </c>
      <c r="S1155" t="e">
        <f t="array" ref="S1155">IF(--INDEX('Raw Data'!$A$4:I$993,$F1155,15)= 1, 1, 0)</f>
        <v>#NUM!</v>
      </c>
      <c r="T1155" t="e">
        <f t="array" ref="T1155">IF(--INDEX('Raw Data'!$A$4:I$993,$F1155,15)= 1, 1, 0)</f>
        <v>#NUM!</v>
      </c>
      <c r="U1155" t="e">
        <f t="array" ref="U1155">IF(--INDEX('Raw Data'!$A$4:J$993,$F1155,16)= 1, 1, 0)</f>
        <v>#NUM!</v>
      </c>
      <c r="V1155" t="e">
        <f t="array" ref="V1155">IF(--INDEX('Raw Data'!$A$4:K$993,$F1155,17)= 1, 1, 0)</f>
        <v>#NUM!</v>
      </c>
      <c r="W1155" t="e">
        <f t="array" ref="W1155">INDEX('Raw Data'!$A:$O,$F1155,19)</f>
        <v>#NUM!</v>
      </c>
      <c r="X1155" t="e">
        <f t="array" ref="X1155">INDEX('Raw Data'!$A:$O,$F1155,20)</f>
        <v>#NUM!</v>
      </c>
      <c r="Y1155" t="e">
        <f t="array" ref="Y1155">INDEX('Raw Data'!$A:$O,F1155,21)</f>
        <v>#NUM!</v>
      </c>
      <c r="Z1155" t="e">
        <f t="array" ref="Z1155">INDEX('Raw Data'!$A:$O,$F1155,3)</f>
        <v>#NUM!</v>
      </c>
      <c r="AA1155" t="e">
        <f t="array" ref="AA1155">INDEX('Raw Data'!$A:$O,$F1155,22)</f>
        <v>#NUM!</v>
      </c>
      <c r="AB1155" t="e">
        <f t="array" ref="AB1155">INDEX('Raw Data'!$A:$O,$F1155,23)</f>
        <v>#NUM!</v>
      </c>
    </row>
    <row r="1156" spans="1:44" x14ac:dyDescent="0.25">
      <c r="A1156" t="s">
        <v>54</v>
      </c>
      <c r="B1156">
        <f>I1167</f>
        <v>0</v>
      </c>
      <c r="F1156" t="e">
        <f t="array" ref="F1156">SMALL(IF('Raw Data'!A:A=C1151,ROW('Raw Data'!A:A)),ROW('Raw Data'!$5:$5))</f>
        <v>#NUM!</v>
      </c>
      <c r="G1156" t="e">
        <f t="array" ref="G1156">INDEX('Raw Data'!A:A,F1156,9)</f>
        <v>#NUM!</v>
      </c>
      <c r="H1156" t="e">
        <f t="array" ref="H1156">INDEX('Raw Data'!A:A,F1156,10)</f>
        <v>#NUM!</v>
      </c>
      <c r="I1156" t="e">
        <f t="array" ref="I1156">INDEX('Raw Data'!$A:A,$F1156,11)</f>
        <v>#NUM!</v>
      </c>
      <c r="J1156" t="e">
        <f t="array" ref="J1156">INDEX('Raw Data'!$A:A,F1156,12)</f>
        <v>#NUM!</v>
      </c>
      <c r="K1156" t="e">
        <f>(--INDEX('Raw Data'!$A$4:B$993,F1156,4))</f>
        <v>#NUM!</v>
      </c>
      <c r="L1156" t="e">
        <f t="array" ref="L1156">(--INDEX('Raw Data'!$A$4:B$993,F1156,5))</f>
        <v>#NUM!</v>
      </c>
      <c r="M1156" t="e">
        <f t="array" ref="M1156">(--INDEX('Raw Data'!$A$4:D$993,$F1156,6))</f>
        <v>#NUM!</v>
      </c>
      <c r="N1156" t="e">
        <f t="array" ref="N1156">(--INDEX('Raw Data'!$A$4:D$993,$F1156,7))</f>
        <v>#NUM!</v>
      </c>
      <c r="O1156" t="e">
        <f t="array" ref="O1156">IF(--INDEX('Raw Data'!$A$4:E$993,$F1156,8)= 0, 1, 0)</f>
        <v>#NUM!</v>
      </c>
      <c r="P1156" t="e">
        <f t="array" ref="P1156">IF(--INDEX('Raw Data'!$A$4:F$993,$F1156,8)= 1, 1, 0)</f>
        <v>#NUM!</v>
      </c>
      <c r="Q1156" t="e">
        <f t="array" ref="Q1156">IF(--INDEX('Raw Data'!$A$4:G$993,$F1156,13)= 1, 1, 0)</f>
        <v>#NUM!</v>
      </c>
      <c r="R1156" t="e">
        <f t="array" ref="R1156">IF(--INDEX('Raw Data'!$A$4:H$993,$F1156,14)= 1, 1, 0)</f>
        <v>#NUM!</v>
      </c>
      <c r="S1156" t="e">
        <f t="array" ref="S1156">IF(--INDEX('Raw Data'!$A$4:I$993,$F1156,15)= 1, 1, 0)</f>
        <v>#NUM!</v>
      </c>
      <c r="T1156" t="e">
        <f t="array" ref="T1156">IF(--INDEX('Raw Data'!$A$4:I$993,$F1156,15)= 1, 1, 0)</f>
        <v>#NUM!</v>
      </c>
      <c r="U1156" t="e">
        <f t="array" ref="U1156">IF(--INDEX('Raw Data'!$A$4:J$993,$F1156,16)= 1, 1, 0)</f>
        <v>#NUM!</v>
      </c>
      <c r="V1156" t="e">
        <f t="array" ref="V1156">IF(--INDEX('Raw Data'!$A$4:K$993,$F1156,17)= 1, 1, 0)</f>
        <v>#NUM!</v>
      </c>
      <c r="W1156" t="e">
        <f t="array" ref="W1156">INDEX('Raw Data'!$A:$O,$F1156,19)</f>
        <v>#NUM!</v>
      </c>
      <c r="X1156" t="e">
        <f t="array" ref="X1156">INDEX('Raw Data'!$A:$O,$F1156,20)</f>
        <v>#NUM!</v>
      </c>
      <c r="Y1156" t="e">
        <f t="array" ref="Y1156">INDEX('Raw Data'!$A:$O,F1156,21)</f>
        <v>#NUM!</v>
      </c>
      <c r="Z1156" t="e">
        <f t="array" ref="Z1156">INDEX('Raw Data'!$A:$O,$F1156,3)</f>
        <v>#NUM!</v>
      </c>
      <c r="AA1156" t="e">
        <f t="array" ref="AA1156">INDEX('Raw Data'!$A:$O,$F1156,22)</f>
        <v>#NUM!</v>
      </c>
      <c r="AB1156" t="e">
        <f t="array" ref="AB1156">INDEX('Raw Data'!$A:$O,$F1156,23)</f>
        <v>#NUM!</v>
      </c>
      <c r="AR1156" s="25"/>
    </row>
    <row r="1157" spans="1:44" x14ac:dyDescent="0.25">
      <c r="A1157" t="s">
        <v>35</v>
      </c>
      <c r="B1157">
        <f>J1167</f>
        <v>0</v>
      </c>
      <c r="F1157" t="e">
        <f t="array" ref="F1157">SMALL(IF('Raw Data'!A:A=C1151,ROW('Raw Data'!A:A)),ROW('Raw Data'!$6:$6))</f>
        <v>#NUM!</v>
      </c>
      <c r="G1157" t="e">
        <f t="array" ref="G1157">INDEX('Raw Data'!A:A,F1157,9)</f>
        <v>#NUM!</v>
      </c>
      <c r="H1157" t="e">
        <f t="array" ref="H1157">INDEX('Raw Data'!A:A,F1157,10)</f>
        <v>#NUM!</v>
      </c>
      <c r="I1157" t="e">
        <f t="array" ref="I1157">INDEX('Raw Data'!$A:A,$F1157,11)</f>
        <v>#NUM!</v>
      </c>
      <c r="J1157" t="e">
        <f t="array" ref="J1157">INDEX('Raw Data'!$A:A,F1157,12)</f>
        <v>#NUM!</v>
      </c>
      <c r="K1157" t="e">
        <f>(--INDEX('Raw Data'!$A$4:B$993,F1157,4))</f>
        <v>#NUM!</v>
      </c>
      <c r="L1157" t="e">
        <f t="array" ref="L1157">(--INDEX('Raw Data'!$A$4:B$998,F1157,5))</f>
        <v>#NUM!</v>
      </c>
      <c r="M1157" t="e">
        <f t="array" ref="M1157">(--INDEX('Raw Data'!$A$4:D$998,$F1157,6))</f>
        <v>#NUM!</v>
      </c>
      <c r="N1157" t="e">
        <f t="array" ref="N1157">(--INDEX('Raw Data'!$A$4:D$993,$F1157,7))</f>
        <v>#NUM!</v>
      </c>
      <c r="O1157" t="e">
        <f t="array" ref="O1157">IF(--INDEX('Raw Data'!$A$4:E$993,$F1157,8)= 0, 1, 0)</f>
        <v>#NUM!</v>
      </c>
      <c r="P1157" t="e">
        <f t="array" ref="P1157">IF(--INDEX('Raw Data'!$A$4:F$998,$F1157,8)= 1, 1, 0)</f>
        <v>#NUM!</v>
      </c>
      <c r="Q1157" t="e">
        <f t="array" ref="Q1157">IF(--INDEX('Raw Data'!$A$4:G$998,$F1157,13)= 1, 1, 0)</f>
        <v>#NUM!</v>
      </c>
      <c r="R1157" t="e">
        <f t="array" ref="R1157">IF(--INDEX('Raw Data'!$A$4:H$998,$F1157,14)= 1, 1, 0)</f>
        <v>#NUM!</v>
      </c>
      <c r="S1157" t="e">
        <f t="array" ref="S1157">IF(--INDEX('Raw Data'!$A$4:I$993,$F1157,15)= 1, 1, 0)</f>
        <v>#NUM!</v>
      </c>
      <c r="T1157" t="e">
        <f t="array" ref="T1157">IF(--INDEX('Raw Data'!$A$4:I$998,$F1157,15)= 1, 1, 0)</f>
        <v>#NUM!</v>
      </c>
      <c r="U1157" t="e">
        <f t="array" ref="U1157">IF(--INDEX('Raw Data'!$A$4:J$998,$F1157,16)= 1, 1, 0)</f>
        <v>#NUM!</v>
      </c>
      <c r="V1157" t="e">
        <f t="array" ref="V1157">IF(--INDEX('Raw Data'!$A$4:K$993,$F1157,17)= 1, 1, 0)</f>
        <v>#NUM!</v>
      </c>
      <c r="W1157" t="e">
        <f t="array" ref="W1157">INDEX('Raw Data'!$A:$O,$F1157,19)</f>
        <v>#NUM!</v>
      </c>
      <c r="X1157" t="e">
        <f t="array" ref="X1157">INDEX('Raw Data'!$A:$O,$F1157,20)</f>
        <v>#NUM!</v>
      </c>
      <c r="Y1157" t="e">
        <f t="array" ref="Y1157">INDEX('Raw Data'!$A:$O,F1157,21)</f>
        <v>#NUM!</v>
      </c>
      <c r="Z1157" t="e">
        <f t="array" ref="Z1157">INDEX('Raw Data'!$A:$O,$F1157,3)</f>
        <v>#NUM!</v>
      </c>
      <c r="AA1157" t="e">
        <f t="array" ref="AA1157">INDEX('Raw Data'!$A:$O,$F1157,22)</f>
        <v>#NUM!</v>
      </c>
      <c r="AB1157" t="e">
        <f t="array" ref="AB1157">INDEX('Raw Data'!$A:$O,$F1157,23)</f>
        <v>#NUM!</v>
      </c>
      <c r="AR1157" s="23"/>
    </row>
    <row r="1158" spans="1:44" ht="28.5" x14ac:dyDescent="0.45">
      <c r="F1158" t="e">
        <f t="array" ref="F1158">SMALL(IF('Raw Data'!A:A=C1151,ROW('Raw Data'!A:A)),ROW('Raw Data'!$7:$7))</f>
        <v>#NUM!</v>
      </c>
      <c r="G1158" t="e">
        <f t="array" ref="G1158">INDEX('Raw Data'!A:A,F1158,9)</f>
        <v>#NUM!</v>
      </c>
      <c r="H1158" t="e">
        <f t="array" ref="H1158">INDEX('Raw Data'!A:A,F1158,10)</f>
        <v>#NUM!</v>
      </c>
      <c r="I1158" t="e">
        <f t="array" ref="I1158">INDEX('Raw Data'!$A:A,$F1158,11)</f>
        <v>#NUM!</v>
      </c>
      <c r="J1158" t="e">
        <f t="array" ref="J1158">INDEX('Raw Data'!$A:A,F1158,12)</f>
        <v>#NUM!</v>
      </c>
      <c r="K1158" t="e">
        <f t="array" ref="K1158">(--INDEX('Raw Data'!$A$4:B$998,F1158,4))</f>
        <v>#NUM!</v>
      </c>
      <c r="L1158" t="e">
        <f t="array" ref="L1158">(--INDEX('Raw Data'!$A$4:B$998,F1158,5))</f>
        <v>#NUM!</v>
      </c>
      <c r="M1158" t="e">
        <f t="array" ref="M1158">(--INDEX('Raw Data'!$A$4:D$998,$F1158,6))</f>
        <v>#NUM!</v>
      </c>
      <c r="N1158" t="e">
        <f t="array" ref="N1158">(--INDEX('Raw Data'!$A$4:D$998,$F1158,7))</f>
        <v>#NUM!</v>
      </c>
      <c r="O1158" t="e">
        <f t="array" ref="O1158">IF(--INDEX('Raw Data'!$A$4:E$998,$F1158,8)= 0, 1, 0)</f>
        <v>#NUM!</v>
      </c>
      <c r="P1158" t="e">
        <f t="array" ref="P1158">IF(--INDEX('Raw Data'!$A$4:F$998,$F1158,8)= 1, 1, 0)</f>
        <v>#NUM!</v>
      </c>
      <c r="Q1158" t="e">
        <f t="array" ref="Q1158">IF(--INDEX('Raw Data'!$A$4:G$998,$F1158,13)= 1, 1, 0)</f>
        <v>#NUM!</v>
      </c>
      <c r="R1158" t="e">
        <f t="array" ref="R1158">IF(--INDEX('Raw Data'!$A$4:H$998,$F1158,14)= 1, 1, 0)</f>
        <v>#NUM!</v>
      </c>
      <c r="S1158" t="e">
        <f t="array" ref="S1158">IF(--INDEX('Raw Data'!$A$4:I$998,$F1158,15)= 1, 1, 0)</f>
        <v>#NUM!</v>
      </c>
      <c r="T1158" t="e">
        <f t="array" ref="T1158">IF(--INDEX('Raw Data'!$A$4:I$998,$F1158,15)= 1, 1, 0)</f>
        <v>#NUM!</v>
      </c>
      <c r="U1158" t="e">
        <f t="array" ref="U1158">IF(--INDEX('Raw Data'!$A$4:J$998,$F1158,16)= 1, 1, 0)</f>
        <v>#NUM!</v>
      </c>
      <c r="V1158" t="e">
        <f t="array" ref="V1158">IF(--INDEX('Raw Data'!$A$4:K$998,$F1158,17)= 1, 1, 0)</f>
        <v>#NUM!</v>
      </c>
      <c r="W1158" t="e">
        <f t="array" ref="W1158">INDEX('Raw Data'!$A:$O,$F1158,19)</f>
        <v>#NUM!</v>
      </c>
      <c r="X1158" t="e">
        <f t="array" ref="X1158">INDEX('Raw Data'!$A:$O,$F1158,20)</f>
        <v>#NUM!</v>
      </c>
      <c r="Y1158" t="e">
        <f t="array" ref="Y1158">INDEX('Raw Data'!$A:$O,F1158,21)</f>
        <v>#NUM!</v>
      </c>
      <c r="Z1158" t="e">
        <f t="array" ref="Z1158">INDEX('Raw Data'!$A:$O,$F1158,3)</f>
        <v>#NUM!</v>
      </c>
      <c r="AA1158" t="e">
        <f t="array" ref="AA1158">INDEX('Raw Data'!$A:$O,$F1158,22)</f>
        <v>#NUM!</v>
      </c>
      <c r="AB1158" t="e">
        <f t="array" ref="AB1158">INDEX('Raw Data'!$A:$O,$F1158,23)</f>
        <v>#NUM!</v>
      </c>
      <c r="AM1158" s="21"/>
      <c r="AR1158" s="23"/>
    </row>
    <row r="1159" spans="1:44" x14ac:dyDescent="0.25">
      <c r="F1159" t="e">
        <f t="array" ref="F1159">SMALL(IF('Raw Data'!A:A=C1151,ROW('Raw Data'!A:A)),ROW('Raw Data'!$8:$8))</f>
        <v>#NUM!</v>
      </c>
      <c r="G1159" t="e">
        <f t="array" ref="G1159">INDEX('Raw Data'!A:A,F1159,9)</f>
        <v>#NUM!</v>
      </c>
      <c r="H1159" t="e">
        <f t="array" ref="H1159">INDEX('Raw Data'!A:A,F1159,10)</f>
        <v>#NUM!</v>
      </c>
      <c r="I1159" t="e">
        <f t="array" ref="I1159">INDEX('Raw Data'!$A:A,$F1159,11)</f>
        <v>#NUM!</v>
      </c>
      <c r="J1159" t="e">
        <f t="array" ref="J1159">INDEX('Raw Data'!$A:A,F1159,12)</f>
        <v>#NUM!</v>
      </c>
      <c r="K1159" t="e">
        <f t="array" ref="K1159">(--INDEX('Raw Data'!$A$4:B$998,F1159,4))</f>
        <v>#NUM!</v>
      </c>
      <c r="L1159" t="e">
        <f t="array" ref="L1159">(--INDEX('Raw Data'!$A$4:B$998,F1159,5))</f>
        <v>#NUM!</v>
      </c>
      <c r="M1159" t="e">
        <f t="array" ref="M1159">(--INDEX('Raw Data'!$A$4:D$998,$F1159,6))</f>
        <v>#NUM!</v>
      </c>
      <c r="N1159" t="e">
        <f t="array" ref="N1159">(--INDEX('Raw Data'!$A$4:D$998,$F1159,7))</f>
        <v>#NUM!</v>
      </c>
      <c r="O1159" t="e">
        <f t="array" ref="O1159">IF(--INDEX('Raw Data'!$A$4:E$998,$F1159,8)= 0, 1, 0)</f>
        <v>#NUM!</v>
      </c>
      <c r="P1159" t="e">
        <f t="array" ref="P1159">IF(--INDEX('Raw Data'!$A$4:F$998,$F1159,8)= 1, 1, 0)</f>
        <v>#NUM!</v>
      </c>
      <c r="Q1159" t="e">
        <f t="array" ref="Q1159">IF(--INDEX('Raw Data'!$A$4:G$998,$F1159,13)= 1, 1, 0)</f>
        <v>#NUM!</v>
      </c>
      <c r="R1159" t="e">
        <f t="array" ref="R1159">IF(--INDEX('Raw Data'!$A$4:H$998,$F1159,14)= 1, 1, 0)</f>
        <v>#NUM!</v>
      </c>
      <c r="S1159" t="e">
        <f t="array" ref="S1159">IF(--INDEX('Raw Data'!$A$4:I$998,$F1159,15)= 1, 1, 0)</f>
        <v>#NUM!</v>
      </c>
      <c r="T1159" t="e">
        <f t="array" ref="T1159">IF(--INDEX('Raw Data'!$A$4:I$998,$F1159,15)= 1, 1, 0)</f>
        <v>#NUM!</v>
      </c>
      <c r="U1159" t="e">
        <f t="array" ref="U1159">IF(--INDEX('Raw Data'!$A$4:J$998,$F1159,16)= 1, 1, 0)</f>
        <v>#NUM!</v>
      </c>
      <c r="V1159" t="e">
        <f t="array" ref="V1159">IF(--INDEX('Raw Data'!$A$4:K$998,$F1159,17)= 1, 1, 0)</f>
        <v>#NUM!</v>
      </c>
      <c r="W1159" t="e">
        <f t="array" ref="W1159">INDEX('Raw Data'!$A:$O,$F1159,19)</f>
        <v>#NUM!</v>
      </c>
      <c r="X1159" t="e">
        <f t="array" ref="X1159">INDEX('Raw Data'!$A:$O,$F1159,20)</f>
        <v>#NUM!</v>
      </c>
      <c r="Y1159" t="e">
        <f t="array" ref="Y1159">INDEX('Raw Data'!$A:$O,F1159,21)</f>
        <v>#NUM!</v>
      </c>
      <c r="Z1159" t="e">
        <f t="array" ref="Z1159">INDEX('Raw Data'!$A:$O,$F1159,3)</f>
        <v>#NUM!</v>
      </c>
      <c r="AA1159" t="e">
        <f t="array" ref="AA1159">INDEX('Raw Data'!$A:$O,$F1159,22)</f>
        <v>#NUM!</v>
      </c>
      <c r="AB1159" t="e">
        <f t="array" ref="AB1159">INDEX('Raw Data'!$A:$O,$F1159,23)</f>
        <v>#NUM!</v>
      </c>
      <c r="AR1159" s="23"/>
    </row>
    <row r="1160" spans="1:44" x14ac:dyDescent="0.25">
      <c r="F1160" t="e">
        <f t="array" ref="F1160">SMALL(IF('Raw Data'!A:A=C1151,ROW('Raw Data'!A:A)),ROW('Raw Data'!$9:$9))</f>
        <v>#NUM!</v>
      </c>
      <c r="G1160" t="e">
        <f t="array" ref="G1160">INDEX('Raw Data'!A:A,F1160,9)</f>
        <v>#NUM!</v>
      </c>
      <c r="H1160" t="e">
        <f t="array" ref="H1160">INDEX('Raw Data'!A:A,F1160,10)</f>
        <v>#NUM!</v>
      </c>
      <c r="I1160" t="e">
        <f t="array" ref="I1160">INDEX('Raw Data'!$A:A,$F1160,11)</f>
        <v>#NUM!</v>
      </c>
      <c r="J1160" t="e">
        <f t="array" ref="J1160">INDEX('Raw Data'!$A:A,F1160,12)</f>
        <v>#NUM!</v>
      </c>
      <c r="K1160" t="e">
        <f t="array" ref="K1160">(--INDEX('Raw Data'!$A$4:B$998,F1160,4))</f>
        <v>#NUM!</v>
      </c>
      <c r="L1160" t="e">
        <f t="array" ref="L1160">(--INDEX('Raw Data'!$A$4:B$998,F1160,5))</f>
        <v>#NUM!</v>
      </c>
      <c r="M1160" t="e">
        <f t="array" ref="M1160">(--INDEX('Raw Data'!$A$4:D$998,$F1160,6))</f>
        <v>#NUM!</v>
      </c>
      <c r="N1160" t="e">
        <f t="array" ref="N1160">(--INDEX('Raw Data'!$A$4:D$998,$F1160,7))</f>
        <v>#NUM!</v>
      </c>
      <c r="O1160" t="e">
        <f t="array" ref="O1160">IF(--INDEX('Raw Data'!$A$4:E$998,$F1160,8)= 0, 1, 0)</f>
        <v>#NUM!</v>
      </c>
      <c r="P1160" t="e">
        <f t="array" ref="P1160">IF(--INDEX('Raw Data'!$A$4:F$998,$F1160,8)= 1, 1, 0)</f>
        <v>#NUM!</v>
      </c>
      <c r="Q1160" t="e">
        <f t="array" ref="Q1160">IF(--INDEX('Raw Data'!$A$4:G$998,$F1160,13)= 1, 1, 0)</f>
        <v>#NUM!</v>
      </c>
      <c r="R1160" t="e">
        <f t="array" ref="R1160">IF(--INDEX('Raw Data'!$A$4:H$998,$F1160,14)= 1, 1, 0)</f>
        <v>#NUM!</v>
      </c>
      <c r="S1160" t="e">
        <f t="array" ref="S1160">IF(--INDEX('Raw Data'!$A$4:I$998,$F1160,15)= 1, 1, 0)</f>
        <v>#NUM!</v>
      </c>
      <c r="T1160" t="e">
        <f t="array" ref="T1160">IF(--INDEX('Raw Data'!$A$4:I$998,$F1160,15)= 1, 1, 0)</f>
        <v>#NUM!</v>
      </c>
      <c r="U1160" t="e">
        <f t="array" ref="U1160">IF(--INDEX('Raw Data'!$A$4:J$998,$F1160,16)= 1, 1, 0)</f>
        <v>#NUM!</v>
      </c>
      <c r="V1160" t="e">
        <f t="array" ref="V1160">IF(--INDEX('Raw Data'!$A$4:K$998,$F1160,17)= 1, 1, 0)</f>
        <v>#NUM!</v>
      </c>
      <c r="W1160" t="e">
        <f t="array" ref="W1160">INDEX('Raw Data'!$A:$O,$F1160,19)</f>
        <v>#NUM!</v>
      </c>
      <c r="X1160" t="e">
        <f t="array" ref="X1160">INDEX('Raw Data'!$A:$O,$F1160,20)</f>
        <v>#NUM!</v>
      </c>
      <c r="Y1160" t="e">
        <f t="array" ref="Y1160">INDEX('Raw Data'!$A:$O,F1160,21)</f>
        <v>#NUM!</v>
      </c>
      <c r="Z1160" t="e">
        <f t="array" ref="Z1160">INDEX('Raw Data'!$A:$O,$F1160,3)</f>
        <v>#NUM!</v>
      </c>
      <c r="AA1160" t="e">
        <f t="array" ref="AA1160">INDEX('Raw Data'!$A:$O,$F1160,22)</f>
        <v>#NUM!</v>
      </c>
      <c r="AB1160" t="e">
        <f t="array" ref="AB1160">INDEX('Raw Data'!$A:$O,$F1160,23)</f>
        <v>#NUM!</v>
      </c>
      <c r="AR1160" s="23"/>
    </row>
    <row r="1161" spans="1:44" x14ac:dyDescent="0.25">
      <c r="F1161" t="e">
        <f t="array" ref="F1161">SMALL(IF('Raw Data'!A:A=C1151,ROW('Raw Data'!A:A)),ROW('Raw Data'!$10:$10))</f>
        <v>#NUM!</v>
      </c>
      <c r="G1161" t="e">
        <f t="array" ref="G1161">INDEX('Raw Data'!A:A,F1161,9)</f>
        <v>#NUM!</v>
      </c>
      <c r="H1161" t="e">
        <f t="array" ref="H1161">INDEX('Raw Data'!A:A,F1161,10)</f>
        <v>#NUM!</v>
      </c>
      <c r="I1161" t="e">
        <f t="array" ref="I1161">INDEX('Raw Data'!$A:A,$F1161,11)</f>
        <v>#NUM!</v>
      </c>
      <c r="J1161" t="e">
        <f t="array" ref="J1161">INDEX('Raw Data'!$A:A,F1161,12)</f>
        <v>#NUM!</v>
      </c>
      <c r="K1161" t="e">
        <f t="array" ref="K1161">(--INDEX('Raw Data'!$A$4:B$998,F1161,4))</f>
        <v>#NUM!</v>
      </c>
      <c r="L1161" t="e">
        <f t="array" ref="L1161">(--INDEX('Raw Data'!$A$4:B$998,F1161,5))</f>
        <v>#NUM!</v>
      </c>
      <c r="M1161" t="e">
        <f t="array" ref="M1161">(--INDEX('Raw Data'!$A$4:D$998,$F1161,6))</f>
        <v>#NUM!</v>
      </c>
      <c r="N1161" t="e">
        <f t="array" ref="N1161">(--INDEX('Raw Data'!$A$4:D$998,$F1161,7))</f>
        <v>#NUM!</v>
      </c>
      <c r="O1161" t="e">
        <f t="array" ref="O1161">IF(--INDEX('Raw Data'!$A$4:E$998,$F1161,8)= 0, 1, 0)</f>
        <v>#NUM!</v>
      </c>
      <c r="P1161" t="e">
        <f t="array" ref="P1161">IF(--INDEX('Raw Data'!$A$4:F$998,$F1161,8)= 1, 1, 0)</f>
        <v>#NUM!</v>
      </c>
      <c r="Q1161" t="e">
        <f t="array" ref="Q1161">IF(--INDEX('Raw Data'!$A$4:G$998,$F1161,13)= 1, 1, 0)</f>
        <v>#NUM!</v>
      </c>
      <c r="R1161" t="e">
        <f t="array" ref="R1161">IF(--INDEX('Raw Data'!$A$4:H$998,$F1161,14)= 1, 1, 0)</f>
        <v>#NUM!</v>
      </c>
      <c r="S1161" t="e">
        <f t="array" ref="S1161">IF(--INDEX('Raw Data'!$A$4:I$998,$F1161,15)= 1, 1, 0)</f>
        <v>#NUM!</v>
      </c>
      <c r="T1161" t="e">
        <f t="array" ref="T1161">IF(--INDEX('Raw Data'!$A$4:I$998,$F1161,15)= 1, 1, 0)</f>
        <v>#NUM!</v>
      </c>
      <c r="U1161" t="e">
        <f t="array" ref="U1161">IF(--INDEX('Raw Data'!$A$4:J$998,$F1161,16)= 1, 1, 0)</f>
        <v>#NUM!</v>
      </c>
      <c r="V1161" t="e">
        <f t="array" ref="V1161">IF(--INDEX('Raw Data'!$A$4:K$998,$F1161,17)= 1, 1, 0)</f>
        <v>#NUM!</v>
      </c>
      <c r="W1161" t="e">
        <f t="array" ref="W1161">INDEX('Raw Data'!$A:$O,$F1161,19)</f>
        <v>#NUM!</v>
      </c>
      <c r="X1161" t="e">
        <f t="array" ref="X1161">INDEX('Raw Data'!$A:$O,$F1161,20)</f>
        <v>#NUM!</v>
      </c>
      <c r="Y1161" t="e">
        <f t="array" ref="Y1161">INDEX('Raw Data'!$A:$O,F1161,21)</f>
        <v>#NUM!</v>
      </c>
      <c r="Z1161" t="e">
        <f t="array" ref="Z1161">INDEX('Raw Data'!$A:$O,$F1161,3)</f>
        <v>#NUM!</v>
      </c>
      <c r="AA1161" t="e">
        <f t="array" ref="AA1161">INDEX('Raw Data'!$A:$O,$F1161,22)</f>
        <v>#NUM!</v>
      </c>
      <c r="AB1161" t="e">
        <f t="array" ref="AB1161">INDEX('Raw Data'!$A:$O,$F1161,23)</f>
        <v>#NUM!</v>
      </c>
      <c r="AR1161" s="23"/>
    </row>
    <row r="1162" spans="1:44" x14ac:dyDescent="0.25">
      <c r="F1162" t="e">
        <f t="array" ref="F1162">SMALL(IF('Raw Data'!A:A=C1151,ROW('Raw Data'!A:A)),ROW('Raw Data'!$11:$11))</f>
        <v>#NUM!</v>
      </c>
      <c r="G1162" t="e">
        <f t="array" ref="G1162">INDEX('Raw Data'!A:A,F1162,9)</f>
        <v>#NUM!</v>
      </c>
      <c r="H1162" t="e">
        <f t="array" ref="H1162">INDEX('Raw Data'!A:A,F1162,10)</f>
        <v>#NUM!</v>
      </c>
      <c r="I1162" t="e">
        <f t="array" ref="I1162">INDEX('Raw Data'!$A:A,$F1162,11)</f>
        <v>#NUM!</v>
      </c>
      <c r="J1162" t="e">
        <f t="array" ref="J1162">INDEX('Raw Data'!$A:A,F1162,12)</f>
        <v>#NUM!</v>
      </c>
      <c r="K1162" t="e">
        <f t="array" ref="K1162">(--INDEX('Raw Data'!$A$4:B$998,F1162,4))</f>
        <v>#NUM!</v>
      </c>
      <c r="L1162" t="e">
        <f t="array" ref="L1162">(--INDEX('Raw Data'!$A$4:B$998,F1162,5))</f>
        <v>#NUM!</v>
      </c>
      <c r="M1162" t="e">
        <f t="array" ref="M1162">(--INDEX('Raw Data'!$A$4:D$998,$F1162,6))</f>
        <v>#NUM!</v>
      </c>
      <c r="N1162" t="e">
        <f t="array" ref="N1162">(--INDEX('Raw Data'!$A$4:D$998,$F1162,7))</f>
        <v>#NUM!</v>
      </c>
      <c r="O1162" t="e">
        <f t="array" ref="O1162">IF(--INDEX('Raw Data'!$A$4:E$998,$F1162,8)= 0, 1, 0)</f>
        <v>#NUM!</v>
      </c>
      <c r="P1162" t="e">
        <f t="array" ref="P1162">IF(--INDEX('Raw Data'!$A$4:F$998,$F1162,8)= 1, 1, 0)</f>
        <v>#NUM!</v>
      </c>
      <c r="Q1162" t="e">
        <f t="array" ref="Q1162">IF(--INDEX('Raw Data'!$A$4:G$998,$F1162,13)= 1, 1, 0)</f>
        <v>#NUM!</v>
      </c>
      <c r="R1162" t="e">
        <f t="array" ref="R1162">IF(--INDEX('Raw Data'!$A$4:H$998,$F1162,14)= 1, 1, 0)</f>
        <v>#NUM!</v>
      </c>
      <c r="S1162" t="e">
        <f t="array" ref="S1162">IF(--INDEX('Raw Data'!$A$4:I$998,$F1162,15)= 1, 1, 0)</f>
        <v>#NUM!</v>
      </c>
      <c r="T1162" t="e">
        <f t="array" ref="T1162">IF(--INDEX('Raw Data'!$A$4:I$998,$F1162,15)= 1, 1, 0)</f>
        <v>#NUM!</v>
      </c>
      <c r="U1162" t="e">
        <f t="array" ref="U1162">IF(--INDEX('Raw Data'!$A$4:J$998,$F1162,16)= 1, 1, 0)</f>
        <v>#NUM!</v>
      </c>
      <c r="V1162" t="e">
        <f t="array" ref="V1162">IF(--INDEX('Raw Data'!$A$4:K$998,$F1162,17)= 1, 1, 0)</f>
        <v>#NUM!</v>
      </c>
      <c r="W1162" t="e">
        <f t="array" ref="W1162">INDEX('Raw Data'!$A:$O,$F1162,19)</f>
        <v>#NUM!</v>
      </c>
      <c r="X1162" t="e">
        <f t="array" ref="X1162">INDEX('Raw Data'!$A:$O,$F1162,20)</f>
        <v>#NUM!</v>
      </c>
      <c r="Y1162" t="e">
        <f t="array" ref="Y1162">INDEX('Raw Data'!$A:$O,F1162,21)</f>
        <v>#NUM!</v>
      </c>
      <c r="Z1162" t="e">
        <f t="array" ref="Z1162">INDEX('Raw Data'!$A:$O,$F1162,3)</f>
        <v>#NUM!</v>
      </c>
      <c r="AA1162" t="e">
        <f t="array" ref="AA1162">INDEX('Raw Data'!$A:$O,$F1162,22)</f>
        <v>#NUM!</v>
      </c>
      <c r="AB1162" t="e">
        <f t="array" ref="AB1162">INDEX('Raw Data'!$A:$O,$F1162,23)</f>
        <v>#NUM!</v>
      </c>
      <c r="AR1162" s="23"/>
    </row>
    <row r="1163" spans="1:44" x14ac:dyDescent="0.25">
      <c r="F1163" t="e">
        <f t="array" ref="F1163">SMALL(IF('Raw Data'!A:A=C1151,ROW('Raw Data'!A:A)),ROW('Raw Data'!$12:$12))</f>
        <v>#NUM!</v>
      </c>
      <c r="G1163" t="e">
        <f t="array" ref="G1163">INDEX('Raw Data'!A:A,F1163,9)</f>
        <v>#NUM!</v>
      </c>
      <c r="H1163" t="e">
        <f t="array" ref="H1163">INDEX('Raw Data'!A:A,F1163,10)</f>
        <v>#NUM!</v>
      </c>
      <c r="I1163" t="e">
        <f t="array" ref="I1163">INDEX('Raw Data'!$A:A,$F1163,11)</f>
        <v>#NUM!</v>
      </c>
      <c r="J1163" t="e">
        <f t="array" ref="J1163">INDEX('Raw Data'!$A:A,F1163,12)</f>
        <v>#NUM!</v>
      </c>
      <c r="K1163" t="e">
        <f t="array" ref="K1163">(--INDEX('Raw Data'!$A$4:B$998,F1163,4))</f>
        <v>#NUM!</v>
      </c>
      <c r="L1163" t="e">
        <f t="array" ref="L1163">(--INDEX('Raw Data'!$A$4:B$998,F1163,5))</f>
        <v>#NUM!</v>
      </c>
      <c r="M1163" t="e">
        <f t="array" ref="M1163">(--INDEX('Raw Data'!$A$4:D$998,$F1163,6))</f>
        <v>#NUM!</v>
      </c>
      <c r="N1163" t="e">
        <f t="array" ref="N1163">(--INDEX('Raw Data'!$A$4:D$998,$F1163,7))</f>
        <v>#NUM!</v>
      </c>
      <c r="O1163" t="e">
        <f t="array" ref="O1163">IF(--INDEX('Raw Data'!$A$4:E$998,$F1163,8)= 0, 1, 0)</f>
        <v>#NUM!</v>
      </c>
      <c r="P1163" t="e">
        <f t="array" ref="P1163">IF(--INDEX('Raw Data'!$A$4:F$998,$F1163,8)= 1, 1, 0)</f>
        <v>#NUM!</v>
      </c>
      <c r="Q1163" t="e">
        <f t="array" ref="Q1163">IF(--INDEX('Raw Data'!$A$4:G$998,$F1163,13)= 1, 1, 0)</f>
        <v>#NUM!</v>
      </c>
      <c r="R1163" t="e">
        <f t="array" ref="R1163">IF(--INDEX('Raw Data'!$A$4:H$998,$F1163,14)= 1, 1, 0)</f>
        <v>#NUM!</v>
      </c>
      <c r="S1163" t="e">
        <f t="array" ref="S1163">IF(--INDEX('Raw Data'!$A$4:I$998,$F1163,15)= 1, 1, 0)</f>
        <v>#NUM!</v>
      </c>
      <c r="T1163" t="e">
        <f t="array" ref="T1163">IF(--INDEX('Raw Data'!$A$4:I$998,$F1163,15)= 1, 1, 0)</f>
        <v>#NUM!</v>
      </c>
      <c r="U1163" t="e">
        <f t="array" ref="U1163">IF(--INDEX('Raw Data'!$A$4:J$998,$F1163,16)= 1, 1, 0)</f>
        <v>#NUM!</v>
      </c>
      <c r="V1163" t="e">
        <f t="array" ref="V1163">IF(--INDEX('Raw Data'!$A$4:K$998,$F1163,17)= 1, 1, 0)</f>
        <v>#NUM!</v>
      </c>
      <c r="W1163" t="e">
        <f t="array" ref="W1163">INDEX('Raw Data'!$A:$O,$F1163,19)</f>
        <v>#NUM!</v>
      </c>
      <c r="X1163" t="e">
        <f t="array" ref="X1163">INDEX('Raw Data'!$A:$O,$F1163,20)</f>
        <v>#NUM!</v>
      </c>
      <c r="Y1163" t="e">
        <f t="array" ref="Y1163">INDEX('Raw Data'!$A:$O,F1163,21)</f>
        <v>#NUM!</v>
      </c>
      <c r="Z1163" t="e">
        <f t="array" ref="Z1163">INDEX('Raw Data'!$A:$O,$F1163,3)</f>
        <v>#NUM!</v>
      </c>
      <c r="AA1163" t="e">
        <f t="array" ref="AA1163">INDEX('Raw Data'!$A:$O,$F1163,22)</f>
        <v>#NUM!</v>
      </c>
      <c r="AB1163" t="e">
        <f t="array" ref="AB1163">INDEX('Raw Data'!$A:$O,$F1163,23)</f>
        <v>#NUM!</v>
      </c>
      <c r="AR1163" s="23"/>
    </row>
    <row r="1164" spans="1:44" x14ac:dyDescent="0.25">
      <c r="F1164" t="e">
        <f t="array" ref="F1164">SMALL(IF('Raw Data'!A:A=C1151,ROW('Raw Data'!A:A)),ROW('Raw Data'!$13:$13))</f>
        <v>#NUM!</v>
      </c>
      <c r="G1164" t="e">
        <f t="array" ref="G1164">INDEX('Raw Data'!A:A,F1164,9)</f>
        <v>#NUM!</v>
      </c>
      <c r="H1164" t="e">
        <f t="array" ref="H1164">INDEX('Raw Data'!A:A,F1164,10)</f>
        <v>#NUM!</v>
      </c>
      <c r="I1164" t="e">
        <f t="array" ref="I1164">INDEX('Raw Data'!$A:A,$F1164,11)</f>
        <v>#NUM!</v>
      </c>
      <c r="J1164" t="e">
        <f t="array" ref="J1164">INDEX('Raw Data'!$A:A,F1164,12)</f>
        <v>#NUM!</v>
      </c>
      <c r="K1164" t="e">
        <f t="array" ref="K1164">(--INDEX('Raw Data'!$A$4:B$998,F1164,4))</f>
        <v>#NUM!</v>
      </c>
      <c r="L1164" t="e">
        <f t="array" ref="L1164">(--INDEX('Raw Data'!$A$4:B$998,F1164,5))</f>
        <v>#NUM!</v>
      </c>
      <c r="M1164" t="e">
        <f t="array" ref="M1164">(--INDEX('Raw Data'!$A$4:D$998,$F1164,6))</f>
        <v>#NUM!</v>
      </c>
      <c r="N1164" t="e">
        <f t="array" ref="N1164">(--INDEX('Raw Data'!$A$4:D$998,$F1164,7))</f>
        <v>#NUM!</v>
      </c>
      <c r="O1164" t="e">
        <f t="array" ref="O1164">IF(--INDEX('Raw Data'!$A$4:E$998,$F1164,8)= 0, 1, 0)</f>
        <v>#NUM!</v>
      </c>
      <c r="P1164" t="e">
        <f t="array" ref="P1164">IF(--INDEX('Raw Data'!$A$4:F$998,$F1164,8)= 1, 1, 0)</f>
        <v>#NUM!</v>
      </c>
      <c r="Q1164" t="e">
        <f t="array" ref="Q1164">IF(--INDEX('Raw Data'!$A$4:G$998,$F1164,13)= 1, 1, 0)</f>
        <v>#NUM!</v>
      </c>
      <c r="R1164" t="e">
        <f t="array" ref="R1164">IF(--INDEX('Raw Data'!$A$4:H$998,$F1164,14)= 1, 1, 0)</f>
        <v>#NUM!</v>
      </c>
      <c r="S1164" t="e">
        <f t="array" ref="S1164">IF(--INDEX('Raw Data'!$A$4:I$998,$F1164,15)= 1, 1, 0)</f>
        <v>#NUM!</v>
      </c>
      <c r="T1164" t="e">
        <f t="array" ref="T1164">IF(--INDEX('Raw Data'!$A$4:I$998,$F1164,15)= 1, 1, 0)</f>
        <v>#NUM!</v>
      </c>
      <c r="U1164" t="e">
        <f t="array" ref="U1164">IF(--INDEX('Raw Data'!$A$4:J$998,$F1164,16)= 1, 1, 0)</f>
        <v>#NUM!</v>
      </c>
      <c r="V1164" t="e">
        <f t="array" ref="V1164">IF(--INDEX('Raw Data'!$A$4:K$998,$F1164,17)= 1, 1, 0)</f>
        <v>#NUM!</v>
      </c>
      <c r="W1164" t="e">
        <f t="array" ref="W1164">INDEX('Raw Data'!$A:$O,$F1164,19)</f>
        <v>#NUM!</v>
      </c>
      <c r="X1164" t="e">
        <f t="array" ref="X1164">INDEX('Raw Data'!$A:$O,$F1164,20)</f>
        <v>#NUM!</v>
      </c>
      <c r="Y1164" t="e">
        <f t="array" ref="Y1164">INDEX('Raw Data'!$A:$O,F1164,21)</f>
        <v>#NUM!</v>
      </c>
      <c r="Z1164" t="e">
        <f t="array" ref="Z1164">INDEX('Raw Data'!$A:$O,$F1164,3)</f>
        <v>#NUM!</v>
      </c>
      <c r="AA1164" t="e">
        <f t="array" ref="AA1164">INDEX('Raw Data'!$A:$O,$F1164,22)</f>
        <v>#NUM!</v>
      </c>
      <c r="AB1164" t="e">
        <f t="array" ref="AB1164">INDEX('Raw Data'!$A:$O,$F1164,23)</f>
        <v>#NUM!</v>
      </c>
      <c r="AR1164" s="23"/>
    </row>
    <row r="1165" spans="1:44" x14ac:dyDescent="0.25">
      <c r="F1165" t="e">
        <f t="array" ref="F1165">SMALL(IF('Raw Data'!A$4:A$5=C1151,ROW('Raw Data'!A$4:A$5)),ROW('Raw Data'!$14:$14))</f>
        <v>#NUM!</v>
      </c>
      <c r="G1165" t="e">
        <f t="array" ref="G1165">INDEX('Raw Data'!A:A,F1165,9)</f>
        <v>#NUM!</v>
      </c>
      <c r="H1165" t="e">
        <f t="array" ref="H1165">INDEX('Raw Data'!A:A,F1165,10)</f>
        <v>#NUM!</v>
      </c>
      <c r="I1165" t="e">
        <f t="array" ref="I1165">INDEX('Raw Data'!$A:A,$F1165,11)</f>
        <v>#NUM!</v>
      </c>
      <c r="J1165" t="e">
        <f t="array" ref="J1165">INDEX('Raw Data'!$A:A,F1165,12)</f>
        <v>#NUM!</v>
      </c>
      <c r="K1165" t="e">
        <f t="array" ref="K1165">(--INDEX('Raw Data'!$A$4:B$998,F1165,4))</f>
        <v>#NUM!</v>
      </c>
      <c r="L1165" t="e">
        <f t="array" ref="L1165">(--INDEX('Raw Data'!$A$4:B$998,F1165,5))</f>
        <v>#NUM!</v>
      </c>
      <c r="M1165" t="e">
        <f t="array" ref="M1165">(--INDEX('Raw Data'!$A$4:D$998,$F1165,6))</f>
        <v>#NUM!</v>
      </c>
      <c r="N1165" t="e">
        <f t="array" ref="N1165">(--INDEX('Raw Data'!$A$4:D$998,$F1165,7))</f>
        <v>#NUM!</v>
      </c>
      <c r="O1165" t="e">
        <f t="array" ref="O1165">IF(--INDEX('Raw Data'!$A$4:E$998,$F1165,8)= 0, 1, 0)</f>
        <v>#NUM!</v>
      </c>
      <c r="P1165" t="e">
        <f t="array" ref="P1165">IF(--INDEX('Raw Data'!$A$4:F$998,$F1165,8)= 1, 1, 0)</f>
        <v>#NUM!</v>
      </c>
      <c r="Q1165" t="e">
        <f t="array" ref="Q1165">IF(--INDEX('Raw Data'!$A$4:G$998,$F1165,13)= 1, 1, 0)</f>
        <v>#NUM!</v>
      </c>
      <c r="R1165" t="e">
        <f t="array" ref="R1165">IF(--INDEX('Raw Data'!$A$4:H$998,$F1165,14)= 1, 1, 0)</f>
        <v>#NUM!</v>
      </c>
      <c r="S1165" t="e">
        <f t="array" ref="S1165">IF(--INDEX('Raw Data'!$A$4:I$998,$F1165,15)= 1, 1, 0)</f>
        <v>#NUM!</v>
      </c>
      <c r="T1165" t="e">
        <f t="array" ref="T1165">IF(--INDEX('Raw Data'!$A$4:I$998,$F1165,15)= 1, 1, 0)</f>
        <v>#NUM!</v>
      </c>
      <c r="U1165" t="e">
        <f t="array" ref="U1165">IF(--INDEX('Raw Data'!$A$4:J$998,$F1165,16)= 1, 1, 0)</f>
        <v>#NUM!</v>
      </c>
      <c r="V1165" t="e">
        <f t="array" ref="V1165">IF(--INDEX('Raw Data'!$A$4:K$998,$F1165,17)= 1, 1, 0)</f>
        <v>#NUM!</v>
      </c>
      <c r="W1165" t="e">
        <f t="array" ref="W1165">INDEX('Raw Data'!$A:$O,$F1165,19)</f>
        <v>#NUM!</v>
      </c>
      <c r="X1165" t="e">
        <f t="array" ref="X1165">INDEX('Raw Data'!$A:$O,$F1165,20)</f>
        <v>#NUM!</v>
      </c>
      <c r="Y1165" t="e">
        <f t="array" ref="Y1165">INDEX('Raw Data'!$A:$O,F1165,21)</f>
        <v>#NUM!</v>
      </c>
      <c r="Z1165" t="e">
        <f t="array" ref="Z1165">INDEX('Raw Data'!$A:$O,$F1165,3)</f>
        <v>#NUM!</v>
      </c>
      <c r="AA1165" t="e">
        <f t="array" ref="AA1165">INDEX('Raw Data'!$A:$O,$F1165,22)</f>
        <v>#NUM!</v>
      </c>
      <c r="AB1165" t="e">
        <f t="array" ref="AB1165">INDEX('Raw Data'!$A:$O,$F1165,23)</f>
        <v>#NUM!</v>
      </c>
      <c r="AR1165" s="23"/>
    </row>
    <row r="1166" spans="1:44" x14ac:dyDescent="0.25">
      <c r="F1166" t="e">
        <f t="array" ref="F1166">SMALL(IF('Raw Data'!A$4:A$5=C1151,ROW('Raw Data'!A$4:A$5)),ROW('Raw Data'!$15:$15))</f>
        <v>#NUM!</v>
      </c>
      <c r="G1166" t="e">
        <f t="array" ref="G1166">INDEX('Raw Data'!A:A,F1166,9)</f>
        <v>#NUM!</v>
      </c>
      <c r="H1166" t="e">
        <f t="array" ref="H1166">INDEX('Raw Data'!A:A,F1166,10)</f>
        <v>#NUM!</v>
      </c>
      <c r="I1166" t="e">
        <f t="array" ref="I1166">INDEX('Raw Data'!$A:A,$F1166,11)</f>
        <v>#NUM!</v>
      </c>
      <c r="J1166" t="e">
        <f t="array" ref="J1166">INDEX('Raw Data'!$A:A,F1166,12)</f>
        <v>#NUM!</v>
      </c>
      <c r="K1166" t="e">
        <f t="array" ref="K1166">(--INDEX('Raw Data'!$A$4:B$998,F1166,4))</f>
        <v>#NUM!</v>
      </c>
      <c r="L1166" t="e">
        <f t="array" ref="L1166">(--INDEX('Raw Data'!$A$4:B$998,F1166,5))</f>
        <v>#NUM!</v>
      </c>
      <c r="M1166" t="e">
        <f t="array" ref="M1166">(--INDEX('Raw Data'!$A$4:D$998,$F1166,6))</f>
        <v>#NUM!</v>
      </c>
      <c r="N1166" t="e">
        <f t="array" ref="N1166">(--INDEX('Raw Data'!$A$4:D$998,$F1166,7))</f>
        <v>#NUM!</v>
      </c>
      <c r="O1166" t="e">
        <f t="array" ref="O1166">IF(--INDEX('Raw Data'!$A$4:E$998,$F1166,8)= 0, 1, 0)</f>
        <v>#NUM!</v>
      </c>
      <c r="P1166" t="e">
        <f t="array" ref="P1166">IF(--INDEX('Raw Data'!$A$4:F$998,$F1166,8)= 1, 1, 0)</f>
        <v>#NUM!</v>
      </c>
      <c r="Q1166" t="e">
        <f t="array" ref="Q1166">IF(--INDEX('Raw Data'!$A$4:G$998,$F1166,13)= 1, 1, 0)</f>
        <v>#NUM!</v>
      </c>
      <c r="R1166" t="e">
        <f t="array" ref="R1166">IF(--INDEX('Raw Data'!$A$4:H$998,$F1166,14)= 1, 1, 0)</f>
        <v>#NUM!</v>
      </c>
      <c r="S1166" t="e">
        <f t="array" ref="S1166">IF(--INDEX('Raw Data'!$A$4:I$998,$F1166,15)= 1, 1, 0)</f>
        <v>#NUM!</v>
      </c>
      <c r="T1166" t="e">
        <f t="array" ref="T1166">IF(--INDEX('Raw Data'!$A$4:I$998,$F1166,15)= 1, 1, 0)</f>
        <v>#NUM!</v>
      </c>
      <c r="U1166" t="e">
        <f t="array" ref="U1166">IF(--INDEX('Raw Data'!$A$4:J$998,$F1166,16)= 1, 1, 0)</f>
        <v>#NUM!</v>
      </c>
      <c r="V1166" t="e">
        <f t="array" ref="V1166">IF(--INDEX('Raw Data'!$A$4:K$998,$F1166,17)= 1, 1, 0)</f>
        <v>#NUM!</v>
      </c>
      <c r="W1166" t="e">
        <f t="array" ref="W1166">INDEX('Raw Data'!$A:$O,$F1166,19)</f>
        <v>#NUM!</v>
      </c>
      <c r="X1166" t="e">
        <f t="array" ref="X1166">INDEX('Raw Data'!$A:$O,$F1166,20)</f>
        <v>#NUM!</v>
      </c>
      <c r="Y1166" t="e">
        <f t="array" ref="Y1166">INDEX('Raw Data'!$A:$O,F1166,21)</f>
        <v>#NUM!</v>
      </c>
      <c r="Z1166" t="e">
        <f t="array" ref="Z1166">INDEX('Raw Data'!$A:$O,$F1166,3)</f>
        <v>#NUM!</v>
      </c>
      <c r="AA1166" t="e">
        <f t="array" ref="AA1166">INDEX('Raw Data'!$A:$O,$F1166,22)</f>
        <v>#NUM!</v>
      </c>
      <c r="AB1166" t="e">
        <f t="array" ref="AB1166">INDEX('Raw Data'!$A:$O,$F1166,23)</f>
        <v>#NUM!</v>
      </c>
      <c r="AR1166" s="23"/>
    </row>
    <row r="1167" spans="1:44" x14ac:dyDescent="0.25">
      <c r="A1167" t="s">
        <v>55</v>
      </c>
      <c r="C1167" s="2" t="e">
        <f>B1157/B1156</f>
        <v>#DIV/0!</v>
      </c>
      <c r="F1167">
        <f t="array" ref="F1167">COUNTIF(F1152:F1166,"&gt;0")</f>
        <v>0</v>
      </c>
      <c r="G1167">
        <f t="array" ref="G1167">SUMIF(G1152:G1166,"&gt;0")</f>
        <v>0</v>
      </c>
      <c r="H1167">
        <f t="array" ref="H1167">SUMIF(H1152:H1166,"&gt;0")</f>
        <v>0</v>
      </c>
      <c r="I1167">
        <f t="array" ref="I1167">SUMIF(I1152:I1166,"&gt;0")</f>
        <v>0</v>
      </c>
      <c r="J1167">
        <f t="array" ref="J1167">SUMIF(J1152:J1166,"&gt;0")</f>
        <v>0</v>
      </c>
      <c r="K1167">
        <f t="array" ref="K1167">SUMIF(K1152:K1166,"&gt;0")</f>
        <v>0</v>
      </c>
      <c r="L1167">
        <f t="array" ref="L1167">SUMIF(L1152:L1166,"&gt;0")</f>
        <v>0</v>
      </c>
      <c r="M1167">
        <f t="array" ref="M1167">SUMIF(M1152:M1166,"&gt;0")</f>
        <v>0</v>
      </c>
      <c r="N1167">
        <f t="array" ref="N1167">SUMIF(N1152:N1166,"&gt;0")</f>
        <v>0</v>
      </c>
      <c r="O1167">
        <f t="array" ref="O1167">SUMIF(O1152:O1166,"&gt;0")</f>
        <v>0</v>
      </c>
      <c r="P1167">
        <f t="array" ref="P1167">SUMIF(P1152:P1166,"&gt;0")</f>
        <v>0</v>
      </c>
      <c r="Q1167">
        <f t="array" ref="Q1167">SUMIF(Q1152:Q1166,"&gt;0")</f>
        <v>0</v>
      </c>
      <c r="R1167">
        <f t="array" ref="R1167">SUMIF(R1152:R1166,"&gt;0")</f>
        <v>0</v>
      </c>
      <c r="S1167">
        <f t="array" ref="S1167">SUMIF(S1152:S1166,"&gt;0")</f>
        <v>0</v>
      </c>
      <c r="T1167">
        <f t="array" ref="T1167">SUMIF(T1152:T1166,"&gt;0")</f>
        <v>0</v>
      </c>
      <c r="U1167">
        <f t="array" ref="U1167">SUMIF(U1152:U1166,"&gt;0")</f>
        <v>0</v>
      </c>
      <c r="V1167">
        <f t="array" ref="V1167">SUMIF(V1152:V1166,"&gt;0")</f>
        <v>0</v>
      </c>
      <c r="W1167">
        <f t="array" ref="W1167">SUMIF(W1152:W1166,"&gt;0")</f>
        <v>0</v>
      </c>
      <c r="X1167">
        <f t="array" ref="X1167">SUMIF(X1152:X1166,"&gt;0")</f>
        <v>0</v>
      </c>
      <c r="Y1167">
        <f t="array" ref="Y1167">SUMIF(Y1152:Y1166,"&gt;0")</f>
        <v>0</v>
      </c>
      <c r="Z1167">
        <f t="array" ref="Z1167">SUMIF(Z1152:Z1166,"&gt;0")</f>
        <v>0</v>
      </c>
      <c r="AA1167">
        <f t="array" ref="AA1167">SUMIF(AA1152:AA1166,"&gt;0")</f>
        <v>0</v>
      </c>
      <c r="AB1167">
        <f t="array" ref="AB1167">SUMIF(AB1152:AB1166,"&gt;0")</f>
        <v>0</v>
      </c>
      <c r="AR1167" s="23"/>
    </row>
    <row r="1168" spans="1:44" x14ac:dyDescent="0.25">
      <c r="A1168" t="s">
        <v>58</v>
      </c>
      <c r="C1168" s="2">
        <f t="array" ref="C1168">IF((K1167+L1167)&lt;&gt;0, (L1167/(K1167+L1167)),0)</f>
        <v>0</v>
      </c>
      <c r="J1168" s="6">
        <f t="array" ref="J1168">J1167*10</f>
        <v>0</v>
      </c>
      <c r="K1168" s="6"/>
      <c r="P1168" t="s">
        <v>95</v>
      </c>
      <c r="Q1168" s="2" t="e">
        <f t="array" ref="Q1168">Q1167/$F1167</f>
        <v>#DIV/0!</v>
      </c>
      <c r="R1168" s="2" t="e">
        <f t="array" ref="R1168">R1167/$F1167</f>
        <v>#DIV/0!</v>
      </c>
      <c r="S1168" s="2" t="e">
        <f t="array" ref="S1168">S1167/$F1167</f>
        <v>#DIV/0!</v>
      </c>
      <c r="T1168" s="2" t="e">
        <f t="array" ref="T1168">T1167/$F1167</f>
        <v>#DIV/0!</v>
      </c>
      <c r="U1168" s="2" t="e">
        <f t="array" ref="U1168">U1167/$F1167</f>
        <v>#DIV/0!</v>
      </c>
      <c r="V1168" s="2" t="e">
        <f t="array" ref="V1168">V1167/$F1167</f>
        <v>#DIV/0!</v>
      </c>
      <c r="W1168" s="2" t="e">
        <f t="array" ref="W1168">W1167/$F1167</f>
        <v>#DIV/0!</v>
      </c>
      <c r="X1168" s="2" t="e">
        <f t="array" ref="X1168">X1167/$F1167</f>
        <v>#DIV/0!</v>
      </c>
      <c r="Z1168" s="2" t="e">
        <f t="array" ref="Z1168">Z1167/F1167</f>
        <v>#DIV/0!</v>
      </c>
      <c r="AR1168" s="23"/>
    </row>
    <row r="1169" spans="1:44" x14ac:dyDescent="0.25">
      <c r="A1169" t="s">
        <v>60</v>
      </c>
      <c r="C1169" s="2">
        <f t="array" ref="C1169">IF((M1167+N1167)&lt;&gt;0, (N1167/(M1167+N1167)),0)</f>
        <v>0</v>
      </c>
      <c r="J1169" s="6"/>
      <c r="K1169" s="6"/>
      <c r="AR1169" s="23"/>
    </row>
    <row r="1170" spans="1:44" ht="28.5" x14ac:dyDescent="0.45">
      <c r="A1170" t="s">
        <v>61</v>
      </c>
      <c r="C1170" s="2">
        <f t="array" ref="C1170">IF(((K1167+N1167+L1167+M1167)&lt;&gt;0), ((L1167+N1167)/(K1167+N1167+L1167+M1167)),0)</f>
        <v>0</v>
      </c>
      <c r="F1170" s="17" t="s">
        <v>106</v>
      </c>
      <c r="G1170" s="17" t="e">
        <f t="array" ref="G1170">'Weighting &amp; Ranking Sheet'!$B$3*Math!$C1168+'Weighting &amp; Ranking Sheet'!$B$4*Math!$C1169+'Weighting &amp; Ranking Sheet'!$B$5*Math!$C1170+'Weighting &amp; Ranking Sheet'!$B$6*Math!$C1171+'Weighting &amp; Ranking Sheet'!$B$7*Math!$C1155+'Weighting &amp; Ranking Sheet'!$B$8*Math!$C1167+'Weighting &amp; Ranking Sheet'!$B$9*Math!$C1174+'Weighting &amp; Ranking Sheet'!$B$10*Math!$C1172+'Weighting &amp; Ranking Sheet'!$B$11*Math!$C1173+'Weighting &amp; Ranking Sheet'!$B$12*Math!$C1175*0.01+'Weighting &amp; Ranking Sheet'!$B$13*Math!$Q1168+'Weighting &amp; Ranking Sheet'!$B$14*Math!$R1168+'Weighting &amp; Ranking Sheet'!$B$15*Math!$S1168+'Weighting &amp; Ranking Sheet'!$B$16*Math!$T1168+'Weighting &amp; Ranking Sheet'!$B$17*Math!$U1168+'Weighting &amp; Ranking Sheet'!$B$18*Math!$V1168+'Weighting &amp; Ranking Sheet'!$B$2*Math!$Z1168</f>
        <v>#DIV/0!</v>
      </c>
      <c r="J1170"/>
      <c r="K1170"/>
      <c r="AR1170" s="23"/>
    </row>
    <row r="1171" spans="1:44" x14ac:dyDescent="0.25">
      <c r="A1171" t="s">
        <v>62</v>
      </c>
      <c r="C1171" s="2">
        <f t="array" ref="C1171">IF((O1167+P1167&lt;&gt;0),(P1167/(O1167+P1167)), 0)</f>
        <v>0</v>
      </c>
      <c r="J1171"/>
      <c r="K1171"/>
      <c r="AR1171" s="23"/>
    </row>
    <row r="1172" spans="1:44" x14ac:dyDescent="0.25">
      <c r="A1172" t="s">
        <v>77</v>
      </c>
      <c r="C1172" s="8" t="e">
        <f t="array" ref="C1172">W1167/F1167</f>
        <v>#DIV/0!</v>
      </c>
      <c r="J1172"/>
      <c r="K1172"/>
      <c r="AR1172" s="23"/>
    </row>
    <row r="1173" spans="1:44" x14ac:dyDescent="0.25">
      <c r="A1173" t="s">
        <v>78</v>
      </c>
      <c r="C1173" s="8" t="e">
        <f t="array" ref="C1173">X1167/F1167</f>
        <v>#DIV/0!</v>
      </c>
      <c r="J1173"/>
      <c r="K1173"/>
      <c r="AR1173" s="23"/>
    </row>
    <row r="1174" spans="1:44" x14ac:dyDescent="0.25">
      <c r="A1174" t="s">
        <v>91</v>
      </c>
      <c r="C1174" s="2" t="e">
        <f t="array" ref="C1174">(C1155+C1167)/2</f>
        <v>#DIV/0!</v>
      </c>
      <c r="J1174"/>
      <c r="K1174"/>
      <c r="AR1174" s="23"/>
    </row>
    <row r="1175" spans="1:44" x14ac:dyDescent="0.25">
      <c r="A1175" t="s">
        <v>92</v>
      </c>
      <c r="C1175" s="8" t="e">
        <f t="array" ref="C1175">Y1167/F1167</f>
        <v>#DIV/0!</v>
      </c>
      <c r="J1175"/>
      <c r="K1175"/>
      <c r="AR1175" s="23"/>
    </row>
    <row r="1176" spans="1:44" x14ac:dyDescent="0.25">
      <c r="C1176" s="8"/>
      <c r="J1176"/>
      <c r="K1176"/>
      <c r="AR1176" s="23"/>
    </row>
    <row r="1177" spans="1:44" x14ac:dyDescent="0.25">
      <c r="C1177" s="8"/>
      <c r="J1177" s="6"/>
      <c r="K1177" s="6"/>
      <c r="AR1177" s="23"/>
    </row>
    <row r="1178" spans="1:44" x14ac:dyDescent="0.25">
      <c r="J1178" s="6"/>
      <c r="K1178" s="6"/>
      <c r="AR1178" s="23"/>
    </row>
    <row r="1179" spans="1:44" x14ac:dyDescent="0.25">
      <c r="AR1179" s="23"/>
    </row>
  </sheetData>
  <conditionalFormatting sqref="F1124:F1139">
    <cfRule type="containsText" dxfId="304" priority="187" operator="containsText" text="Offense Calc:">
      <formula>NOT(ISERROR(SEARCH("Offense Calc:",F1124)))</formula>
    </cfRule>
    <cfRule type="containsText" dxfId="303" priority="188" operator="containsText" text="Midfield Calc:">
      <formula>NOT(ISERROR(SEARCH("Midfield Calc:",F1124)))</formula>
    </cfRule>
    <cfRule type="containsText" dxfId="302" priority="189" operator="containsText" text="Defense calc:">
      <formula>NOT(ISERROR(SEARCH("Defense calc:",F1124)))</formula>
    </cfRule>
  </conditionalFormatting>
  <conditionalFormatting sqref="F32:F47">
    <cfRule type="containsText" dxfId="301" priority="301" operator="containsText" text="Offense Calc:">
      <formula>NOT(ISERROR(SEARCH("Offense Calc:",F32)))</formula>
    </cfRule>
    <cfRule type="containsText" dxfId="300" priority="302" operator="containsText" text="Midfield Calc:">
      <formula>NOT(ISERROR(SEARCH("Midfield Calc:",F32)))</formula>
    </cfRule>
    <cfRule type="containsText" dxfId="299" priority="303" operator="containsText" text="Defense calc:">
      <formula>NOT(ISERROR(SEARCH("Defense calc:",F32)))</formula>
    </cfRule>
  </conditionalFormatting>
  <conditionalFormatting sqref="F60:F75">
    <cfRule type="containsText" dxfId="298" priority="298" operator="containsText" text="Offense Calc:">
      <formula>NOT(ISERROR(SEARCH("Offense Calc:",F60)))</formula>
    </cfRule>
    <cfRule type="containsText" dxfId="297" priority="299" operator="containsText" text="Midfield Calc:">
      <formula>NOT(ISERROR(SEARCH("Midfield Calc:",F60)))</formula>
    </cfRule>
    <cfRule type="containsText" dxfId="296" priority="300" operator="containsText" text="Defense calc:">
      <formula>NOT(ISERROR(SEARCH("Defense calc:",F60)))</formula>
    </cfRule>
  </conditionalFormatting>
  <conditionalFormatting sqref="F88:F103">
    <cfRule type="containsText" dxfId="295" priority="295" operator="containsText" text="Offense Calc:">
      <formula>NOT(ISERROR(SEARCH("Offense Calc:",F88)))</formula>
    </cfRule>
    <cfRule type="containsText" dxfId="294" priority="296" operator="containsText" text="Midfield Calc:">
      <formula>NOT(ISERROR(SEARCH("Midfield Calc:",F88)))</formula>
    </cfRule>
    <cfRule type="containsText" dxfId="293" priority="297" operator="containsText" text="Defense calc:">
      <formula>NOT(ISERROR(SEARCH("Defense calc:",F88)))</formula>
    </cfRule>
  </conditionalFormatting>
  <conditionalFormatting sqref="F116:F131">
    <cfRule type="containsText" dxfId="292" priority="292" operator="containsText" text="Offense Calc:">
      <formula>NOT(ISERROR(SEARCH("Offense Calc:",F116)))</formula>
    </cfRule>
    <cfRule type="containsText" dxfId="291" priority="293" operator="containsText" text="Midfield Calc:">
      <formula>NOT(ISERROR(SEARCH("Midfield Calc:",F116)))</formula>
    </cfRule>
    <cfRule type="containsText" dxfId="290" priority="294" operator="containsText" text="Defense calc:">
      <formula>NOT(ISERROR(SEARCH("Defense calc:",F116)))</formula>
    </cfRule>
  </conditionalFormatting>
  <conditionalFormatting sqref="F144:F159">
    <cfRule type="containsText" dxfId="289" priority="289" operator="containsText" text="Offense Calc:">
      <formula>NOT(ISERROR(SEARCH("Offense Calc:",F144)))</formula>
    </cfRule>
    <cfRule type="containsText" dxfId="288" priority="290" operator="containsText" text="Midfield Calc:">
      <formula>NOT(ISERROR(SEARCH("Midfield Calc:",F144)))</formula>
    </cfRule>
    <cfRule type="containsText" dxfId="287" priority="291" operator="containsText" text="Defense calc:">
      <formula>NOT(ISERROR(SEARCH("Defense calc:",F144)))</formula>
    </cfRule>
  </conditionalFormatting>
  <conditionalFormatting sqref="F172:F187">
    <cfRule type="containsText" dxfId="286" priority="286" operator="containsText" text="Offense Calc:">
      <formula>NOT(ISERROR(SEARCH("Offense Calc:",F172)))</formula>
    </cfRule>
    <cfRule type="containsText" dxfId="285" priority="287" operator="containsText" text="Midfield Calc:">
      <formula>NOT(ISERROR(SEARCH("Midfield Calc:",F172)))</formula>
    </cfRule>
    <cfRule type="containsText" dxfId="284" priority="288" operator="containsText" text="Defense calc:">
      <formula>NOT(ISERROR(SEARCH("Defense calc:",F172)))</formula>
    </cfRule>
  </conditionalFormatting>
  <conditionalFormatting sqref="F200:F215">
    <cfRule type="containsText" dxfId="283" priority="283" operator="containsText" text="Offense Calc:">
      <formula>NOT(ISERROR(SEARCH("Offense Calc:",F200)))</formula>
    </cfRule>
    <cfRule type="containsText" dxfId="282" priority="284" operator="containsText" text="Midfield Calc:">
      <formula>NOT(ISERROR(SEARCH("Midfield Calc:",F200)))</formula>
    </cfRule>
    <cfRule type="containsText" dxfId="281" priority="285" operator="containsText" text="Defense calc:">
      <formula>NOT(ISERROR(SEARCH("Defense calc:",F200)))</formula>
    </cfRule>
  </conditionalFormatting>
  <conditionalFormatting sqref="F228:F243">
    <cfRule type="containsText" dxfId="280" priority="280" operator="containsText" text="Offense Calc:">
      <formula>NOT(ISERROR(SEARCH("Offense Calc:",F228)))</formula>
    </cfRule>
    <cfRule type="containsText" dxfId="279" priority="281" operator="containsText" text="Midfield Calc:">
      <formula>NOT(ISERROR(SEARCH("Midfield Calc:",F228)))</formula>
    </cfRule>
    <cfRule type="containsText" dxfId="278" priority="282" operator="containsText" text="Defense calc:">
      <formula>NOT(ISERROR(SEARCH("Defense calc:",F228)))</formula>
    </cfRule>
  </conditionalFormatting>
  <conditionalFormatting sqref="F256:F271">
    <cfRule type="containsText" dxfId="277" priority="277" operator="containsText" text="Offense Calc:">
      <formula>NOT(ISERROR(SEARCH("Offense Calc:",F256)))</formula>
    </cfRule>
    <cfRule type="containsText" dxfId="276" priority="278" operator="containsText" text="Midfield Calc:">
      <formula>NOT(ISERROR(SEARCH("Midfield Calc:",F256)))</formula>
    </cfRule>
    <cfRule type="containsText" dxfId="275" priority="279" operator="containsText" text="Defense calc:">
      <formula>NOT(ISERROR(SEARCH("Defense calc:",F256)))</formula>
    </cfRule>
  </conditionalFormatting>
  <conditionalFormatting sqref="F284:F299">
    <cfRule type="containsText" dxfId="274" priority="274" operator="containsText" text="Offense Calc:">
      <formula>NOT(ISERROR(SEARCH("Offense Calc:",F284)))</formula>
    </cfRule>
    <cfRule type="containsText" dxfId="273" priority="275" operator="containsText" text="Midfield Calc:">
      <formula>NOT(ISERROR(SEARCH("Midfield Calc:",F284)))</formula>
    </cfRule>
    <cfRule type="containsText" dxfId="272" priority="276" operator="containsText" text="Defense calc:">
      <formula>NOT(ISERROR(SEARCH("Defense calc:",F284)))</formula>
    </cfRule>
  </conditionalFormatting>
  <conditionalFormatting sqref="F312:F327">
    <cfRule type="containsText" dxfId="271" priority="271" operator="containsText" text="Offense Calc:">
      <formula>NOT(ISERROR(SEARCH("Offense Calc:",F312)))</formula>
    </cfRule>
    <cfRule type="containsText" dxfId="270" priority="272" operator="containsText" text="Midfield Calc:">
      <formula>NOT(ISERROR(SEARCH("Midfield Calc:",F312)))</formula>
    </cfRule>
    <cfRule type="containsText" dxfId="269" priority="273" operator="containsText" text="Defense calc:">
      <formula>NOT(ISERROR(SEARCH("Defense calc:",F312)))</formula>
    </cfRule>
  </conditionalFormatting>
  <conditionalFormatting sqref="F340:F354">
    <cfRule type="containsText" dxfId="268" priority="268" operator="containsText" text="Offense Calc:">
      <formula>NOT(ISERROR(SEARCH("Offense Calc:",F340)))</formula>
    </cfRule>
    <cfRule type="containsText" dxfId="267" priority="269" operator="containsText" text="Midfield Calc:">
      <formula>NOT(ISERROR(SEARCH("Midfield Calc:",F340)))</formula>
    </cfRule>
    <cfRule type="containsText" dxfId="266" priority="270" operator="containsText" text="Defense calc:">
      <formula>NOT(ISERROR(SEARCH("Defense calc:",F340)))</formula>
    </cfRule>
  </conditionalFormatting>
  <conditionalFormatting sqref="F368:F383">
    <cfRule type="containsText" dxfId="265" priority="265" operator="containsText" text="Offense Calc:">
      <formula>NOT(ISERROR(SEARCH("Offense Calc:",F368)))</formula>
    </cfRule>
    <cfRule type="containsText" dxfId="264" priority="266" operator="containsText" text="Midfield Calc:">
      <formula>NOT(ISERROR(SEARCH("Midfield Calc:",F368)))</formula>
    </cfRule>
    <cfRule type="containsText" dxfId="263" priority="267" operator="containsText" text="Defense calc:">
      <formula>NOT(ISERROR(SEARCH("Defense calc:",F368)))</formula>
    </cfRule>
  </conditionalFormatting>
  <conditionalFormatting sqref="F396:F411">
    <cfRule type="containsText" dxfId="262" priority="262" operator="containsText" text="Offense Calc:">
      <formula>NOT(ISERROR(SEARCH("Offense Calc:",F396)))</formula>
    </cfRule>
    <cfRule type="containsText" dxfId="261" priority="263" operator="containsText" text="Midfield Calc:">
      <formula>NOT(ISERROR(SEARCH("Midfield Calc:",F396)))</formula>
    </cfRule>
    <cfRule type="containsText" dxfId="260" priority="264" operator="containsText" text="Defense calc:">
      <formula>NOT(ISERROR(SEARCH("Defense calc:",F396)))</formula>
    </cfRule>
  </conditionalFormatting>
  <conditionalFormatting sqref="F424:F439">
    <cfRule type="containsText" dxfId="259" priority="259" operator="containsText" text="Offense Calc:">
      <formula>NOT(ISERROR(SEARCH("Offense Calc:",F424)))</formula>
    </cfRule>
    <cfRule type="containsText" dxfId="258" priority="260" operator="containsText" text="Midfield Calc:">
      <formula>NOT(ISERROR(SEARCH("Midfield Calc:",F424)))</formula>
    </cfRule>
    <cfRule type="containsText" dxfId="257" priority="261" operator="containsText" text="Defense calc:">
      <formula>NOT(ISERROR(SEARCH("Defense calc:",F424)))</formula>
    </cfRule>
  </conditionalFormatting>
  <conditionalFormatting sqref="F452:F467">
    <cfRule type="containsText" dxfId="256" priority="256" operator="containsText" text="Offense Calc:">
      <formula>NOT(ISERROR(SEARCH("Offense Calc:",F452)))</formula>
    </cfRule>
    <cfRule type="containsText" dxfId="255" priority="257" operator="containsText" text="Midfield Calc:">
      <formula>NOT(ISERROR(SEARCH("Midfield Calc:",F452)))</formula>
    </cfRule>
    <cfRule type="containsText" dxfId="254" priority="258" operator="containsText" text="Defense calc:">
      <formula>NOT(ISERROR(SEARCH("Defense calc:",F452)))</formula>
    </cfRule>
  </conditionalFormatting>
  <conditionalFormatting sqref="F480:F495">
    <cfRule type="containsText" dxfId="253" priority="253" operator="containsText" text="Offense Calc:">
      <formula>NOT(ISERROR(SEARCH("Offense Calc:",F480)))</formula>
    </cfRule>
    <cfRule type="containsText" dxfId="252" priority="254" operator="containsText" text="Midfield Calc:">
      <formula>NOT(ISERROR(SEARCH("Midfield Calc:",F480)))</formula>
    </cfRule>
    <cfRule type="containsText" dxfId="251" priority="255" operator="containsText" text="Defense calc:">
      <formula>NOT(ISERROR(SEARCH("Defense calc:",F480)))</formula>
    </cfRule>
  </conditionalFormatting>
  <conditionalFormatting sqref="F508:F523">
    <cfRule type="containsText" dxfId="250" priority="250" operator="containsText" text="Offense Calc:">
      <formula>NOT(ISERROR(SEARCH("Offense Calc:",F508)))</formula>
    </cfRule>
    <cfRule type="containsText" dxfId="249" priority="251" operator="containsText" text="Midfield Calc:">
      <formula>NOT(ISERROR(SEARCH("Midfield Calc:",F508)))</formula>
    </cfRule>
    <cfRule type="containsText" dxfId="248" priority="252" operator="containsText" text="Defense calc:">
      <formula>NOT(ISERROR(SEARCH("Defense calc:",F508)))</formula>
    </cfRule>
  </conditionalFormatting>
  <conditionalFormatting sqref="F536:F551">
    <cfRule type="containsText" dxfId="247" priority="247" operator="containsText" text="Offense Calc:">
      <formula>NOT(ISERROR(SEARCH("Offense Calc:",F536)))</formula>
    </cfRule>
    <cfRule type="containsText" dxfId="246" priority="248" operator="containsText" text="Midfield Calc:">
      <formula>NOT(ISERROR(SEARCH("Midfield Calc:",F536)))</formula>
    </cfRule>
    <cfRule type="containsText" dxfId="245" priority="249" operator="containsText" text="Defense calc:">
      <formula>NOT(ISERROR(SEARCH("Defense calc:",F536)))</formula>
    </cfRule>
  </conditionalFormatting>
  <conditionalFormatting sqref="F564:F579">
    <cfRule type="containsText" dxfId="244" priority="244" operator="containsText" text="Offense Calc:">
      <formula>NOT(ISERROR(SEARCH("Offense Calc:",F564)))</formula>
    </cfRule>
    <cfRule type="containsText" dxfId="243" priority="245" operator="containsText" text="Midfield Calc:">
      <formula>NOT(ISERROR(SEARCH("Midfield Calc:",F564)))</formula>
    </cfRule>
    <cfRule type="containsText" dxfId="242" priority="246" operator="containsText" text="Defense calc:">
      <formula>NOT(ISERROR(SEARCH("Defense calc:",F564)))</formula>
    </cfRule>
  </conditionalFormatting>
  <conditionalFormatting sqref="F592:F607">
    <cfRule type="containsText" dxfId="241" priority="241" operator="containsText" text="Offense Calc:">
      <formula>NOT(ISERROR(SEARCH("Offense Calc:",F592)))</formula>
    </cfRule>
    <cfRule type="containsText" dxfId="240" priority="242" operator="containsText" text="Midfield Calc:">
      <formula>NOT(ISERROR(SEARCH("Midfield Calc:",F592)))</formula>
    </cfRule>
    <cfRule type="containsText" dxfId="239" priority="243" operator="containsText" text="Defense calc:">
      <formula>NOT(ISERROR(SEARCH("Defense calc:",F592)))</formula>
    </cfRule>
  </conditionalFormatting>
  <conditionalFormatting sqref="F620:F635">
    <cfRule type="containsText" dxfId="238" priority="238" operator="containsText" text="Offense Calc:">
      <formula>NOT(ISERROR(SEARCH("Offense Calc:",F620)))</formula>
    </cfRule>
    <cfRule type="containsText" dxfId="237" priority="239" operator="containsText" text="Midfield Calc:">
      <formula>NOT(ISERROR(SEARCH("Midfield Calc:",F620)))</formula>
    </cfRule>
    <cfRule type="containsText" dxfId="236" priority="240" operator="containsText" text="Defense calc:">
      <formula>NOT(ISERROR(SEARCH("Defense calc:",F620)))</formula>
    </cfRule>
  </conditionalFormatting>
  <conditionalFormatting sqref="F648:F663">
    <cfRule type="containsText" dxfId="235" priority="235" operator="containsText" text="Offense Calc:">
      <formula>NOT(ISERROR(SEARCH("Offense Calc:",F648)))</formula>
    </cfRule>
    <cfRule type="containsText" dxfId="234" priority="236" operator="containsText" text="Midfield Calc:">
      <formula>NOT(ISERROR(SEARCH("Midfield Calc:",F648)))</formula>
    </cfRule>
    <cfRule type="containsText" dxfId="233" priority="237" operator="containsText" text="Defense calc:">
      <formula>NOT(ISERROR(SEARCH("Defense calc:",F648)))</formula>
    </cfRule>
  </conditionalFormatting>
  <conditionalFormatting sqref="F676:F691">
    <cfRule type="containsText" dxfId="232" priority="232" operator="containsText" text="Offense Calc:">
      <formula>NOT(ISERROR(SEARCH("Offense Calc:",F676)))</formula>
    </cfRule>
    <cfRule type="containsText" dxfId="231" priority="233" operator="containsText" text="Midfield Calc:">
      <formula>NOT(ISERROR(SEARCH("Midfield Calc:",F676)))</formula>
    </cfRule>
    <cfRule type="containsText" dxfId="230" priority="234" operator="containsText" text="Defense calc:">
      <formula>NOT(ISERROR(SEARCH("Defense calc:",F676)))</formula>
    </cfRule>
  </conditionalFormatting>
  <conditionalFormatting sqref="F704:F719">
    <cfRule type="containsText" dxfId="229" priority="229" operator="containsText" text="Offense Calc:">
      <formula>NOT(ISERROR(SEARCH("Offense Calc:",F704)))</formula>
    </cfRule>
    <cfRule type="containsText" dxfId="228" priority="230" operator="containsText" text="Midfield Calc:">
      <formula>NOT(ISERROR(SEARCH("Midfield Calc:",F704)))</formula>
    </cfRule>
    <cfRule type="containsText" dxfId="227" priority="231" operator="containsText" text="Defense calc:">
      <formula>NOT(ISERROR(SEARCH("Defense calc:",F704)))</formula>
    </cfRule>
  </conditionalFormatting>
  <conditionalFormatting sqref="F732:F747">
    <cfRule type="containsText" dxfId="226" priority="226" operator="containsText" text="Offense Calc:">
      <formula>NOT(ISERROR(SEARCH("Offense Calc:",F732)))</formula>
    </cfRule>
    <cfRule type="containsText" dxfId="225" priority="227" operator="containsText" text="Midfield Calc:">
      <formula>NOT(ISERROR(SEARCH("Midfield Calc:",F732)))</formula>
    </cfRule>
    <cfRule type="containsText" dxfId="224" priority="228" operator="containsText" text="Defense calc:">
      <formula>NOT(ISERROR(SEARCH("Defense calc:",F732)))</formula>
    </cfRule>
  </conditionalFormatting>
  <conditionalFormatting sqref="F760:F775">
    <cfRule type="containsText" dxfId="223" priority="223" operator="containsText" text="Offense Calc:">
      <formula>NOT(ISERROR(SEARCH("Offense Calc:",F760)))</formula>
    </cfRule>
    <cfRule type="containsText" dxfId="222" priority="224" operator="containsText" text="Midfield Calc:">
      <formula>NOT(ISERROR(SEARCH("Midfield Calc:",F760)))</formula>
    </cfRule>
    <cfRule type="containsText" dxfId="221" priority="225" operator="containsText" text="Defense calc:">
      <formula>NOT(ISERROR(SEARCH("Defense calc:",F760)))</formula>
    </cfRule>
  </conditionalFormatting>
  <conditionalFormatting sqref="F788:F803">
    <cfRule type="containsText" dxfId="220" priority="220" operator="containsText" text="Offense Calc:">
      <formula>NOT(ISERROR(SEARCH("Offense Calc:",F788)))</formula>
    </cfRule>
    <cfRule type="containsText" dxfId="219" priority="221" operator="containsText" text="Midfield Calc:">
      <formula>NOT(ISERROR(SEARCH("Midfield Calc:",F788)))</formula>
    </cfRule>
    <cfRule type="containsText" dxfId="218" priority="222" operator="containsText" text="Defense calc:">
      <formula>NOT(ISERROR(SEARCH("Defense calc:",F788)))</formula>
    </cfRule>
  </conditionalFormatting>
  <conditionalFormatting sqref="F816:F831">
    <cfRule type="containsText" dxfId="217" priority="217" operator="containsText" text="Offense Calc:">
      <formula>NOT(ISERROR(SEARCH("Offense Calc:",F816)))</formula>
    </cfRule>
    <cfRule type="containsText" dxfId="216" priority="218" operator="containsText" text="Midfield Calc:">
      <formula>NOT(ISERROR(SEARCH("Midfield Calc:",F816)))</formula>
    </cfRule>
    <cfRule type="containsText" dxfId="215" priority="219" operator="containsText" text="Defense calc:">
      <formula>NOT(ISERROR(SEARCH("Defense calc:",F816)))</formula>
    </cfRule>
  </conditionalFormatting>
  <conditionalFormatting sqref="F844:F859">
    <cfRule type="containsText" dxfId="214" priority="214" operator="containsText" text="Offense Calc:">
      <formula>NOT(ISERROR(SEARCH("Offense Calc:",F844)))</formula>
    </cfRule>
    <cfRule type="containsText" dxfId="213" priority="215" operator="containsText" text="Midfield Calc:">
      <formula>NOT(ISERROR(SEARCH("Midfield Calc:",F844)))</formula>
    </cfRule>
    <cfRule type="containsText" dxfId="212" priority="216" operator="containsText" text="Defense calc:">
      <formula>NOT(ISERROR(SEARCH("Defense calc:",F844)))</formula>
    </cfRule>
  </conditionalFormatting>
  <conditionalFormatting sqref="F872:F887">
    <cfRule type="containsText" dxfId="211" priority="211" operator="containsText" text="Offense Calc:">
      <formula>NOT(ISERROR(SEARCH("Offense Calc:",F872)))</formula>
    </cfRule>
    <cfRule type="containsText" dxfId="210" priority="212" operator="containsText" text="Midfield Calc:">
      <formula>NOT(ISERROR(SEARCH("Midfield Calc:",F872)))</formula>
    </cfRule>
    <cfRule type="containsText" dxfId="209" priority="213" operator="containsText" text="Defense calc:">
      <formula>NOT(ISERROR(SEARCH("Defense calc:",F872)))</formula>
    </cfRule>
  </conditionalFormatting>
  <conditionalFormatting sqref="F900:F915">
    <cfRule type="containsText" dxfId="208" priority="208" operator="containsText" text="Offense Calc:">
      <formula>NOT(ISERROR(SEARCH("Offense Calc:",F900)))</formula>
    </cfRule>
    <cfRule type="containsText" dxfId="207" priority="209" operator="containsText" text="Midfield Calc:">
      <formula>NOT(ISERROR(SEARCH("Midfield Calc:",F900)))</formula>
    </cfRule>
    <cfRule type="containsText" dxfId="206" priority="210" operator="containsText" text="Defense calc:">
      <formula>NOT(ISERROR(SEARCH("Defense calc:",F900)))</formula>
    </cfRule>
  </conditionalFormatting>
  <conditionalFormatting sqref="F928:F943">
    <cfRule type="containsText" dxfId="205" priority="205" operator="containsText" text="Offense Calc:">
      <formula>NOT(ISERROR(SEARCH("Offense Calc:",F928)))</formula>
    </cfRule>
    <cfRule type="containsText" dxfId="204" priority="206" operator="containsText" text="Midfield Calc:">
      <formula>NOT(ISERROR(SEARCH("Midfield Calc:",F928)))</formula>
    </cfRule>
    <cfRule type="containsText" dxfId="203" priority="207" operator="containsText" text="Defense calc:">
      <formula>NOT(ISERROR(SEARCH("Defense calc:",F928)))</formula>
    </cfRule>
  </conditionalFormatting>
  <conditionalFormatting sqref="F956:F971">
    <cfRule type="containsText" dxfId="202" priority="202" operator="containsText" text="Offense Calc:">
      <formula>NOT(ISERROR(SEARCH("Offense Calc:",F956)))</formula>
    </cfRule>
    <cfRule type="containsText" dxfId="201" priority="203" operator="containsText" text="Midfield Calc:">
      <formula>NOT(ISERROR(SEARCH("Midfield Calc:",F956)))</formula>
    </cfRule>
    <cfRule type="containsText" dxfId="200" priority="204" operator="containsText" text="Defense calc:">
      <formula>NOT(ISERROR(SEARCH("Defense calc:",F956)))</formula>
    </cfRule>
  </conditionalFormatting>
  <conditionalFormatting sqref="F984:F999">
    <cfRule type="containsText" dxfId="199" priority="199" operator="containsText" text="Offense Calc:">
      <formula>NOT(ISERROR(SEARCH("Offense Calc:",F984)))</formula>
    </cfRule>
    <cfRule type="containsText" dxfId="198" priority="200" operator="containsText" text="Midfield Calc:">
      <formula>NOT(ISERROR(SEARCH("Midfield Calc:",F984)))</formula>
    </cfRule>
    <cfRule type="containsText" dxfId="197" priority="201" operator="containsText" text="Defense calc:">
      <formula>NOT(ISERROR(SEARCH("Defense calc:",F984)))</formula>
    </cfRule>
  </conditionalFormatting>
  <conditionalFormatting sqref="F1068:F1083">
    <cfRule type="containsText" dxfId="196" priority="193" operator="containsText" text="Offense Calc:">
      <formula>NOT(ISERROR(SEARCH("Offense Calc:",F1068)))</formula>
    </cfRule>
    <cfRule type="containsText" dxfId="195" priority="194" operator="containsText" text="Midfield Calc:">
      <formula>NOT(ISERROR(SEARCH("Midfield Calc:",F1068)))</formula>
    </cfRule>
    <cfRule type="containsText" dxfId="194" priority="195" operator="containsText" text="Defense calc:">
      <formula>NOT(ISERROR(SEARCH("Defense calc:",F1068)))</formula>
    </cfRule>
  </conditionalFormatting>
  <conditionalFormatting sqref="F1040:F1055">
    <cfRule type="containsText" dxfId="193" priority="196" operator="containsText" text="Offense Calc:">
      <formula>NOT(ISERROR(SEARCH("Offense Calc:",F1040)))</formula>
    </cfRule>
    <cfRule type="containsText" dxfId="192" priority="197" operator="containsText" text="Midfield Calc:">
      <formula>NOT(ISERROR(SEARCH("Midfield Calc:",F1040)))</formula>
    </cfRule>
    <cfRule type="containsText" dxfId="191" priority="198" operator="containsText" text="Defense calc:">
      <formula>NOT(ISERROR(SEARCH("Defense calc:",F1040)))</formula>
    </cfRule>
  </conditionalFormatting>
  <conditionalFormatting sqref="F1096:F1111">
    <cfRule type="containsText" dxfId="190" priority="190" operator="containsText" text="Offense Calc:">
      <formula>NOT(ISERROR(SEARCH("Offense Calc:",F1096)))</formula>
    </cfRule>
    <cfRule type="containsText" dxfId="189" priority="191" operator="containsText" text="Midfield Calc:">
      <formula>NOT(ISERROR(SEARCH("Midfield Calc:",F1096)))</formula>
    </cfRule>
    <cfRule type="containsText" dxfId="188" priority="192" operator="containsText" text="Defense calc:">
      <formula>NOT(ISERROR(SEARCH("Defense calc:",F1096)))</formula>
    </cfRule>
  </conditionalFormatting>
  <conditionalFormatting sqref="F1012:F1027">
    <cfRule type="containsText" dxfId="187" priority="181" operator="containsText" text="Offense Calc:">
      <formula>NOT(ISERROR(SEARCH("Offense Calc:",F1012)))</formula>
    </cfRule>
    <cfRule type="containsText" dxfId="186" priority="182" operator="containsText" text="Midfield Calc:">
      <formula>NOT(ISERROR(SEARCH("Midfield Calc:",F1012)))</formula>
    </cfRule>
    <cfRule type="containsText" dxfId="185" priority="183" operator="containsText" text="Defense calc:">
      <formula>NOT(ISERROR(SEARCH("Defense calc:",F1012)))</formula>
    </cfRule>
  </conditionalFormatting>
  <conditionalFormatting sqref="F1028:F1029 F1031:F1038">
    <cfRule type="containsText" dxfId="184" priority="184" operator="containsText" text="Offense Calc:">
      <formula>NOT(ISERROR(SEARCH("Offense Calc:",F1028)))</formula>
    </cfRule>
    <cfRule type="containsText" dxfId="183" priority="185" operator="containsText" text="Midfield Calc:">
      <formula>NOT(ISERROR(SEARCH("Midfield Calc:",F1028)))</formula>
    </cfRule>
    <cfRule type="containsText" dxfId="182" priority="186" operator="containsText" text="Defense calc:">
      <formula>NOT(ISERROR(SEARCH("Defense calc:",F1028)))</formula>
    </cfRule>
  </conditionalFormatting>
  <conditionalFormatting sqref="F1142">
    <cfRule type="containsText" dxfId="181" priority="58" operator="containsText" text="Offense Calc:">
      <formula>NOT(ISERROR(SEARCH("Offense Calc:",F1142)))</formula>
    </cfRule>
    <cfRule type="containsText" dxfId="180" priority="59" operator="containsText" text="Midfield Calc:">
      <formula>NOT(ISERROR(SEARCH("Midfield Calc:",F1142)))</formula>
    </cfRule>
    <cfRule type="containsText" dxfId="179" priority="60" operator="containsText" text="Defense calc:">
      <formula>NOT(ISERROR(SEARCH("Defense calc:",F1142)))</formula>
    </cfRule>
  </conditionalFormatting>
  <conditionalFormatting sqref="F50">
    <cfRule type="containsText" dxfId="178" priority="178" operator="containsText" text="Offense Calc:">
      <formula>NOT(ISERROR(SEARCH("Offense Calc:",F50)))</formula>
    </cfRule>
    <cfRule type="containsText" dxfId="177" priority="179" operator="containsText" text="Midfield Calc:">
      <formula>NOT(ISERROR(SEARCH("Midfield Calc:",F50)))</formula>
    </cfRule>
    <cfRule type="containsText" dxfId="176" priority="180" operator="containsText" text="Defense calc:">
      <formula>NOT(ISERROR(SEARCH("Defense calc:",F50)))</formula>
    </cfRule>
  </conditionalFormatting>
  <conditionalFormatting sqref="F78">
    <cfRule type="containsText" dxfId="175" priority="175" operator="containsText" text="Offense Calc:">
      <formula>NOT(ISERROR(SEARCH("Offense Calc:",F78)))</formula>
    </cfRule>
    <cfRule type="containsText" dxfId="174" priority="176" operator="containsText" text="Midfield Calc:">
      <formula>NOT(ISERROR(SEARCH("Midfield Calc:",F78)))</formula>
    </cfRule>
    <cfRule type="containsText" dxfId="173" priority="177" operator="containsText" text="Defense calc:">
      <formula>NOT(ISERROR(SEARCH("Defense calc:",F78)))</formula>
    </cfRule>
  </conditionalFormatting>
  <conditionalFormatting sqref="F106">
    <cfRule type="containsText" dxfId="172" priority="172" operator="containsText" text="Offense Calc:">
      <formula>NOT(ISERROR(SEARCH("Offense Calc:",F106)))</formula>
    </cfRule>
    <cfRule type="containsText" dxfId="171" priority="173" operator="containsText" text="Midfield Calc:">
      <formula>NOT(ISERROR(SEARCH("Midfield Calc:",F106)))</formula>
    </cfRule>
    <cfRule type="containsText" dxfId="170" priority="174" operator="containsText" text="Defense calc:">
      <formula>NOT(ISERROR(SEARCH("Defense calc:",F106)))</formula>
    </cfRule>
  </conditionalFormatting>
  <conditionalFormatting sqref="F134">
    <cfRule type="containsText" dxfId="169" priority="169" operator="containsText" text="Offense Calc:">
      <formula>NOT(ISERROR(SEARCH("Offense Calc:",F134)))</formula>
    </cfRule>
    <cfRule type="containsText" dxfId="168" priority="170" operator="containsText" text="Midfield Calc:">
      <formula>NOT(ISERROR(SEARCH("Midfield Calc:",F134)))</formula>
    </cfRule>
    <cfRule type="containsText" dxfId="167" priority="171" operator="containsText" text="Defense calc:">
      <formula>NOT(ISERROR(SEARCH("Defense calc:",F134)))</formula>
    </cfRule>
  </conditionalFormatting>
  <conditionalFormatting sqref="F162">
    <cfRule type="containsText" dxfId="166" priority="166" operator="containsText" text="Offense Calc:">
      <formula>NOT(ISERROR(SEARCH("Offense Calc:",F162)))</formula>
    </cfRule>
    <cfRule type="containsText" dxfId="165" priority="167" operator="containsText" text="Midfield Calc:">
      <formula>NOT(ISERROR(SEARCH("Midfield Calc:",F162)))</formula>
    </cfRule>
    <cfRule type="containsText" dxfId="164" priority="168" operator="containsText" text="Defense calc:">
      <formula>NOT(ISERROR(SEARCH("Defense calc:",F162)))</formula>
    </cfRule>
  </conditionalFormatting>
  <conditionalFormatting sqref="F190">
    <cfRule type="containsText" dxfId="163" priority="163" operator="containsText" text="Offense Calc:">
      <formula>NOT(ISERROR(SEARCH("Offense Calc:",F190)))</formula>
    </cfRule>
    <cfRule type="containsText" dxfId="162" priority="164" operator="containsText" text="Midfield Calc:">
      <formula>NOT(ISERROR(SEARCH("Midfield Calc:",F190)))</formula>
    </cfRule>
    <cfRule type="containsText" dxfId="161" priority="165" operator="containsText" text="Defense calc:">
      <formula>NOT(ISERROR(SEARCH("Defense calc:",F190)))</formula>
    </cfRule>
  </conditionalFormatting>
  <conditionalFormatting sqref="F218">
    <cfRule type="containsText" dxfId="160" priority="160" operator="containsText" text="Offense Calc:">
      <formula>NOT(ISERROR(SEARCH("Offense Calc:",F218)))</formula>
    </cfRule>
    <cfRule type="containsText" dxfId="159" priority="161" operator="containsText" text="Midfield Calc:">
      <formula>NOT(ISERROR(SEARCH("Midfield Calc:",F218)))</formula>
    </cfRule>
    <cfRule type="containsText" dxfId="158" priority="162" operator="containsText" text="Defense calc:">
      <formula>NOT(ISERROR(SEARCH("Defense calc:",F218)))</formula>
    </cfRule>
  </conditionalFormatting>
  <conditionalFormatting sqref="F246">
    <cfRule type="containsText" dxfId="157" priority="157" operator="containsText" text="Offense Calc:">
      <formula>NOT(ISERROR(SEARCH("Offense Calc:",F246)))</formula>
    </cfRule>
    <cfRule type="containsText" dxfId="156" priority="158" operator="containsText" text="Midfield Calc:">
      <formula>NOT(ISERROR(SEARCH("Midfield Calc:",F246)))</formula>
    </cfRule>
    <cfRule type="containsText" dxfId="155" priority="159" operator="containsText" text="Defense calc:">
      <formula>NOT(ISERROR(SEARCH("Defense calc:",F246)))</formula>
    </cfRule>
  </conditionalFormatting>
  <conditionalFormatting sqref="F274">
    <cfRule type="containsText" dxfId="154" priority="154" operator="containsText" text="Offense Calc:">
      <formula>NOT(ISERROR(SEARCH("Offense Calc:",F274)))</formula>
    </cfRule>
    <cfRule type="containsText" dxfId="153" priority="155" operator="containsText" text="Midfield Calc:">
      <formula>NOT(ISERROR(SEARCH("Midfield Calc:",F274)))</formula>
    </cfRule>
    <cfRule type="containsText" dxfId="152" priority="156" operator="containsText" text="Defense calc:">
      <formula>NOT(ISERROR(SEARCH("Defense calc:",F274)))</formula>
    </cfRule>
  </conditionalFormatting>
  <conditionalFormatting sqref="F302">
    <cfRule type="containsText" dxfId="151" priority="151" operator="containsText" text="Offense Calc:">
      <formula>NOT(ISERROR(SEARCH("Offense Calc:",F302)))</formula>
    </cfRule>
    <cfRule type="containsText" dxfId="150" priority="152" operator="containsText" text="Midfield Calc:">
      <formula>NOT(ISERROR(SEARCH("Midfield Calc:",F302)))</formula>
    </cfRule>
    <cfRule type="containsText" dxfId="149" priority="153" operator="containsText" text="Defense calc:">
      <formula>NOT(ISERROR(SEARCH("Defense calc:",F302)))</formula>
    </cfRule>
  </conditionalFormatting>
  <conditionalFormatting sqref="F330">
    <cfRule type="containsText" dxfId="148" priority="148" operator="containsText" text="Offense Calc:">
      <formula>NOT(ISERROR(SEARCH("Offense Calc:",F330)))</formula>
    </cfRule>
    <cfRule type="containsText" dxfId="147" priority="149" operator="containsText" text="Midfield Calc:">
      <formula>NOT(ISERROR(SEARCH("Midfield Calc:",F330)))</formula>
    </cfRule>
    <cfRule type="containsText" dxfId="146" priority="150" operator="containsText" text="Defense calc:">
      <formula>NOT(ISERROR(SEARCH("Defense calc:",F330)))</formula>
    </cfRule>
  </conditionalFormatting>
  <conditionalFormatting sqref="F358">
    <cfRule type="containsText" dxfId="145" priority="145" operator="containsText" text="Offense Calc:">
      <formula>NOT(ISERROR(SEARCH("Offense Calc:",F358)))</formula>
    </cfRule>
    <cfRule type="containsText" dxfId="144" priority="146" operator="containsText" text="Midfield Calc:">
      <formula>NOT(ISERROR(SEARCH("Midfield Calc:",F358)))</formula>
    </cfRule>
    <cfRule type="containsText" dxfId="143" priority="147" operator="containsText" text="Defense calc:">
      <formula>NOT(ISERROR(SEARCH("Defense calc:",F358)))</formula>
    </cfRule>
  </conditionalFormatting>
  <conditionalFormatting sqref="F386">
    <cfRule type="containsText" dxfId="142" priority="142" operator="containsText" text="Offense Calc:">
      <formula>NOT(ISERROR(SEARCH("Offense Calc:",F386)))</formula>
    </cfRule>
    <cfRule type="containsText" dxfId="141" priority="143" operator="containsText" text="Midfield Calc:">
      <formula>NOT(ISERROR(SEARCH("Midfield Calc:",F386)))</formula>
    </cfRule>
    <cfRule type="containsText" dxfId="140" priority="144" operator="containsText" text="Defense calc:">
      <formula>NOT(ISERROR(SEARCH("Defense calc:",F386)))</formula>
    </cfRule>
  </conditionalFormatting>
  <conditionalFormatting sqref="F414">
    <cfRule type="containsText" dxfId="139" priority="139" operator="containsText" text="Offense Calc:">
      <formula>NOT(ISERROR(SEARCH("Offense Calc:",F414)))</formula>
    </cfRule>
    <cfRule type="containsText" dxfId="138" priority="140" operator="containsText" text="Midfield Calc:">
      <formula>NOT(ISERROR(SEARCH("Midfield Calc:",F414)))</formula>
    </cfRule>
    <cfRule type="containsText" dxfId="137" priority="141" operator="containsText" text="Defense calc:">
      <formula>NOT(ISERROR(SEARCH("Defense calc:",F414)))</formula>
    </cfRule>
  </conditionalFormatting>
  <conditionalFormatting sqref="F443">
    <cfRule type="containsText" dxfId="136" priority="136" operator="containsText" text="Offense Calc:">
      <formula>NOT(ISERROR(SEARCH("Offense Calc:",F443)))</formula>
    </cfRule>
    <cfRule type="containsText" dxfId="135" priority="137" operator="containsText" text="Midfield Calc:">
      <formula>NOT(ISERROR(SEARCH("Midfield Calc:",F443)))</formula>
    </cfRule>
    <cfRule type="containsText" dxfId="134" priority="138" operator="containsText" text="Defense calc:">
      <formula>NOT(ISERROR(SEARCH("Defense calc:",F443)))</formula>
    </cfRule>
  </conditionalFormatting>
  <conditionalFormatting sqref="F470">
    <cfRule type="containsText" dxfId="133" priority="133" operator="containsText" text="Offense Calc:">
      <formula>NOT(ISERROR(SEARCH("Offense Calc:",F470)))</formula>
    </cfRule>
    <cfRule type="containsText" dxfId="132" priority="134" operator="containsText" text="Midfield Calc:">
      <formula>NOT(ISERROR(SEARCH("Midfield Calc:",F470)))</formula>
    </cfRule>
    <cfRule type="containsText" dxfId="131" priority="135" operator="containsText" text="Defense calc:">
      <formula>NOT(ISERROR(SEARCH("Defense calc:",F470)))</formula>
    </cfRule>
  </conditionalFormatting>
  <conditionalFormatting sqref="F442">
    <cfRule type="containsText" dxfId="130" priority="130" operator="containsText" text="Offense Calc:">
      <formula>NOT(ISERROR(SEARCH("Offense Calc:",F442)))</formula>
    </cfRule>
    <cfRule type="containsText" dxfId="129" priority="131" operator="containsText" text="Midfield Calc:">
      <formula>NOT(ISERROR(SEARCH("Midfield Calc:",F442)))</formula>
    </cfRule>
    <cfRule type="containsText" dxfId="128" priority="132" operator="containsText" text="Defense calc:">
      <formula>NOT(ISERROR(SEARCH("Defense calc:",F442)))</formula>
    </cfRule>
  </conditionalFormatting>
  <conditionalFormatting sqref="F498">
    <cfRule type="containsText" dxfId="127" priority="127" operator="containsText" text="Offense Calc:">
      <formula>NOT(ISERROR(SEARCH("Offense Calc:",F498)))</formula>
    </cfRule>
    <cfRule type="containsText" dxfId="126" priority="128" operator="containsText" text="Midfield Calc:">
      <formula>NOT(ISERROR(SEARCH("Midfield Calc:",F498)))</formula>
    </cfRule>
    <cfRule type="containsText" dxfId="125" priority="129" operator="containsText" text="Defense calc:">
      <formula>NOT(ISERROR(SEARCH("Defense calc:",F498)))</formula>
    </cfRule>
  </conditionalFormatting>
  <conditionalFormatting sqref="F526">
    <cfRule type="containsText" dxfId="124" priority="124" operator="containsText" text="Offense Calc:">
      <formula>NOT(ISERROR(SEARCH("Offense Calc:",F526)))</formula>
    </cfRule>
    <cfRule type="containsText" dxfId="123" priority="125" operator="containsText" text="Midfield Calc:">
      <formula>NOT(ISERROR(SEARCH("Midfield Calc:",F526)))</formula>
    </cfRule>
    <cfRule type="containsText" dxfId="122" priority="126" operator="containsText" text="Defense calc:">
      <formula>NOT(ISERROR(SEARCH("Defense calc:",F526)))</formula>
    </cfRule>
  </conditionalFormatting>
  <conditionalFormatting sqref="F554">
    <cfRule type="containsText" dxfId="121" priority="121" operator="containsText" text="Offense Calc:">
      <formula>NOT(ISERROR(SEARCH("Offense Calc:",F554)))</formula>
    </cfRule>
    <cfRule type="containsText" dxfId="120" priority="122" operator="containsText" text="Midfield Calc:">
      <formula>NOT(ISERROR(SEARCH("Midfield Calc:",F554)))</formula>
    </cfRule>
    <cfRule type="containsText" dxfId="119" priority="123" operator="containsText" text="Defense calc:">
      <formula>NOT(ISERROR(SEARCH("Defense calc:",F554)))</formula>
    </cfRule>
  </conditionalFormatting>
  <conditionalFormatting sqref="F582">
    <cfRule type="containsText" dxfId="118" priority="118" operator="containsText" text="Offense Calc:">
      <formula>NOT(ISERROR(SEARCH("Offense Calc:",F582)))</formula>
    </cfRule>
    <cfRule type="containsText" dxfId="117" priority="119" operator="containsText" text="Midfield Calc:">
      <formula>NOT(ISERROR(SEARCH("Midfield Calc:",F582)))</formula>
    </cfRule>
    <cfRule type="containsText" dxfId="116" priority="120" operator="containsText" text="Defense calc:">
      <formula>NOT(ISERROR(SEARCH("Defense calc:",F582)))</formula>
    </cfRule>
  </conditionalFormatting>
  <conditionalFormatting sqref="F610">
    <cfRule type="containsText" dxfId="115" priority="115" operator="containsText" text="Offense Calc:">
      <formula>NOT(ISERROR(SEARCH("Offense Calc:",F610)))</formula>
    </cfRule>
    <cfRule type="containsText" dxfId="114" priority="116" operator="containsText" text="Midfield Calc:">
      <formula>NOT(ISERROR(SEARCH("Midfield Calc:",F610)))</formula>
    </cfRule>
    <cfRule type="containsText" dxfId="113" priority="117" operator="containsText" text="Defense calc:">
      <formula>NOT(ISERROR(SEARCH("Defense calc:",F610)))</formula>
    </cfRule>
  </conditionalFormatting>
  <conditionalFormatting sqref="F638">
    <cfRule type="containsText" dxfId="112" priority="112" operator="containsText" text="Offense Calc:">
      <formula>NOT(ISERROR(SEARCH("Offense Calc:",F638)))</formula>
    </cfRule>
    <cfRule type="containsText" dxfId="111" priority="113" operator="containsText" text="Midfield Calc:">
      <formula>NOT(ISERROR(SEARCH("Midfield Calc:",F638)))</formula>
    </cfRule>
    <cfRule type="containsText" dxfId="110" priority="114" operator="containsText" text="Defense calc:">
      <formula>NOT(ISERROR(SEARCH("Defense calc:",F638)))</formula>
    </cfRule>
  </conditionalFormatting>
  <conditionalFormatting sqref="F666">
    <cfRule type="containsText" dxfId="109" priority="109" operator="containsText" text="Offense Calc:">
      <formula>NOT(ISERROR(SEARCH("Offense Calc:",F666)))</formula>
    </cfRule>
    <cfRule type="containsText" dxfId="108" priority="110" operator="containsText" text="Midfield Calc:">
      <formula>NOT(ISERROR(SEARCH("Midfield Calc:",F666)))</formula>
    </cfRule>
    <cfRule type="containsText" dxfId="107" priority="111" operator="containsText" text="Defense calc:">
      <formula>NOT(ISERROR(SEARCH("Defense calc:",F666)))</formula>
    </cfRule>
  </conditionalFormatting>
  <conditionalFormatting sqref="F694">
    <cfRule type="containsText" dxfId="106" priority="106" operator="containsText" text="Offense Calc:">
      <formula>NOT(ISERROR(SEARCH("Offense Calc:",F694)))</formula>
    </cfRule>
    <cfRule type="containsText" dxfId="105" priority="107" operator="containsText" text="Midfield Calc:">
      <formula>NOT(ISERROR(SEARCH("Midfield Calc:",F694)))</formula>
    </cfRule>
    <cfRule type="containsText" dxfId="104" priority="108" operator="containsText" text="Defense calc:">
      <formula>NOT(ISERROR(SEARCH("Defense calc:",F694)))</formula>
    </cfRule>
  </conditionalFormatting>
  <conditionalFormatting sqref="F722">
    <cfRule type="containsText" dxfId="103" priority="103" operator="containsText" text="Offense Calc:">
      <formula>NOT(ISERROR(SEARCH("Offense Calc:",F722)))</formula>
    </cfRule>
    <cfRule type="containsText" dxfId="102" priority="104" operator="containsText" text="Midfield Calc:">
      <formula>NOT(ISERROR(SEARCH("Midfield Calc:",F722)))</formula>
    </cfRule>
    <cfRule type="containsText" dxfId="101" priority="105" operator="containsText" text="Defense calc:">
      <formula>NOT(ISERROR(SEARCH("Defense calc:",F722)))</formula>
    </cfRule>
  </conditionalFormatting>
  <conditionalFormatting sqref="F750">
    <cfRule type="containsText" dxfId="100" priority="100" operator="containsText" text="Offense Calc:">
      <formula>NOT(ISERROR(SEARCH("Offense Calc:",F750)))</formula>
    </cfRule>
    <cfRule type="containsText" dxfId="99" priority="101" operator="containsText" text="Midfield Calc:">
      <formula>NOT(ISERROR(SEARCH("Midfield Calc:",F750)))</formula>
    </cfRule>
    <cfRule type="containsText" dxfId="98" priority="102" operator="containsText" text="Defense calc:">
      <formula>NOT(ISERROR(SEARCH("Defense calc:",F750)))</formula>
    </cfRule>
  </conditionalFormatting>
  <conditionalFormatting sqref="F778">
    <cfRule type="containsText" dxfId="97" priority="97" operator="containsText" text="Offense Calc:">
      <formula>NOT(ISERROR(SEARCH("Offense Calc:",F778)))</formula>
    </cfRule>
    <cfRule type="containsText" dxfId="96" priority="98" operator="containsText" text="Midfield Calc:">
      <formula>NOT(ISERROR(SEARCH("Midfield Calc:",F778)))</formula>
    </cfRule>
    <cfRule type="containsText" dxfId="95" priority="99" operator="containsText" text="Defense calc:">
      <formula>NOT(ISERROR(SEARCH("Defense calc:",F778)))</formula>
    </cfRule>
  </conditionalFormatting>
  <conditionalFormatting sqref="F806">
    <cfRule type="containsText" dxfId="94" priority="94" operator="containsText" text="Offense Calc:">
      <formula>NOT(ISERROR(SEARCH("Offense Calc:",F806)))</formula>
    </cfRule>
    <cfRule type="containsText" dxfId="93" priority="95" operator="containsText" text="Midfield Calc:">
      <formula>NOT(ISERROR(SEARCH("Midfield Calc:",F806)))</formula>
    </cfRule>
    <cfRule type="containsText" dxfId="92" priority="96" operator="containsText" text="Defense calc:">
      <formula>NOT(ISERROR(SEARCH("Defense calc:",F806)))</formula>
    </cfRule>
  </conditionalFormatting>
  <conditionalFormatting sqref="F834">
    <cfRule type="containsText" dxfId="91" priority="91" operator="containsText" text="Offense Calc:">
      <formula>NOT(ISERROR(SEARCH("Offense Calc:",F834)))</formula>
    </cfRule>
    <cfRule type="containsText" dxfId="90" priority="92" operator="containsText" text="Midfield Calc:">
      <formula>NOT(ISERROR(SEARCH("Midfield Calc:",F834)))</formula>
    </cfRule>
    <cfRule type="containsText" dxfId="89" priority="93" operator="containsText" text="Defense calc:">
      <formula>NOT(ISERROR(SEARCH("Defense calc:",F834)))</formula>
    </cfRule>
  </conditionalFormatting>
  <conditionalFormatting sqref="F862">
    <cfRule type="containsText" dxfId="88" priority="88" operator="containsText" text="Offense Calc:">
      <formula>NOT(ISERROR(SEARCH("Offense Calc:",F862)))</formula>
    </cfRule>
    <cfRule type="containsText" dxfId="87" priority="89" operator="containsText" text="Midfield Calc:">
      <formula>NOT(ISERROR(SEARCH("Midfield Calc:",F862)))</formula>
    </cfRule>
    <cfRule type="containsText" dxfId="86" priority="90" operator="containsText" text="Defense calc:">
      <formula>NOT(ISERROR(SEARCH("Defense calc:",F862)))</formula>
    </cfRule>
  </conditionalFormatting>
  <conditionalFormatting sqref="F890">
    <cfRule type="containsText" dxfId="85" priority="85" operator="containsText" text="Offense Calc:">
      <formula>NOT(ISERROR(SEARCH("Offense Calc:",F890)))</formula>
    </cfRule>
    <cfRule type="containsText" dxfId="84" priority="86" operator="containsText" text="Midfield Calc:">
      <formula>NOT(ISERROR(SEARCH("Midfield Calc:",F890)))</formula>
    </cfRule>
    <cfRule type="containsText" dxfId="83" priority="87" operator="containsText" text="Defense calc:">
      <formula>NOT(ISERROR(SEARCH("Defense calc:",F890)))</formula>
    </cfRule>
  </conditionalFormatting>
  <conditionalFormatting sqref="F918">
    <cfRule type="containsText" dxfId="82" priority="82" operator="containsText" text="Offense Calc:">
      <formula>NOT(ISERROR(SEARCH("Offense Calc:",F918)))</formula>
    </cfRule>
    <cfRule type="containsText" dxfId="81" priority="83" operator="containsText" text="Midfield Calc:">
      <formula>NOT(ISERROR(SEARCH("Midfield Calc:",F918)))</formula>
    </cfRule>
    <cfRule type="containsText" dxfId="80" priority="84" operator="containsText" text="Defense calc:">
      <formula>NOT(ISERROR(SEARCH("Defense calc:",F918)))</formula>
    </cfRule>
  </conditionalFormatting>
  <conditionalFormatting sqref="F946">
    <cfRule type="containsText" dxfId="79" priority="79" operator="containsText" text="Offense Calc:">
      <formula>NOT(ISERROR(SEARCH("Offense Calc:",F946)))</formula>
    </cfRule>
    <cfRule type="containsText" dxfId="78" priority="80" operator="containsText" text="Midfield Calc:">
      <formula>NOT(ISERROR(SEARCH("Midfield Calc:",F946)))</formula>
    </cfRule>
    <cfRule type="containsText" dxfId="77" priority="81" operator="containsText" text="Defense calc:">
      <formula>NOT(ISERROR(SEARCH("Defense calc:",F946)))</formula>
    </cfRule>
  </conditionalFormatting>
  <conditionalFormatting sqref="F974">
    <cfRule type="containsText" dxfId="76" priority="76" operator="containsText" text="Offense Calc:">
      <formula>NOT(ISERROR(SEARCH("Offense Calc:",F974)))</formula>
    </cfRule>
    <cfRule type="containsText" dxfId="75" priority="77" operator="containsText" text="Midfield Calc:">
      <formula>NOT(ISERROR(SEARCH("Midfield Calc:",F974)))</formula>
    </cfRule>
    <cfRule type="containsText" dxfId="74" priority="78" operator="containsText" text="Defense calc:">
      <formula>NOT(ISERROR(SEARCH("Defense calc:",F974)))</formula>
    </cfRule>
  </conditionalFormatting>
  <conditionalFormatting sqref="F1002">
    <cfRule type="containsText" dxfId="73" priority="73" operator="containsText" text="Offense Calc:">
      <formula>NOT(ISERROR(SEARCH("Offense Calc:",F1002)))</formula>
    </cfRule>
    <cfRule type="containsText" dxfId="72" priority="74" operator="containsText" text="Midfield Calc:">
      <formula>NOT(ISERROR(SEARCH("Midfield Calc:",F1002)))</formula>
    </cfRule>
    <cfRule type="containsText" dxfId="71" priority="75" operator="containsText" text="Defense calc:">
      <formula>NOT(ISERROR(SEARCH("Defense calc:",F1002)))</formula>
    </cfRule>
  </conditionalFormatting>
  <conditionalFormatting sqref="F1030">
    <cfRule type="containsText" dxfId="70" priority="70" operator="containsText" text="Offense Calc:">
      <formula>NOT(ISERROR(SEARCH("Offense Calc:",F1030)))</formula>
    </cfRule>
    <cfRule type="containsText" dxfId="69" priority="71" operator="containsText" text="Midfield Calc:">
      <formula>NOT(ISERROR(SEARCH("Midfield Calc:",F1030)))</formula>
    </cfRule>
    <cfRule type="containsText" dxfId="68" priority="72" operator="containsText" text="Defense calc:">
      <formula>NOT(ISERROR(SEARCH("Defense calc:",F1030)))</formula>
    </cfRule>
  </conditionalFormatting>
  <conditionalFormatting sqref="F1058">
    <cfRule type="containsText" dxfId="67" priority="67" operator="containsText" text="Offense Calc:">
      <formula>NOT(ISERROR(SEARCH("Offense Calc:",F1058)))</formula>
    </cfRule>
    <cfRule type="containsText" dxfId="66" priority="68" operator="containsText" text="Midfield Calc:">
      <formula>NOT(ISERROR(SEARCH("Midfield Calc:",F1058)))</formula>
    </cfRule>
    <cfRule type="containsText" dxfId="65" priority="69" operator="containsText" text="Defense calc:">
      <formula>NOT(ISERROR(SEARCH("Defense calc:",F1058)))</formula>
    </cfRule>
  </conditionalFormatting>
  <conditionalFormatting sqref="F1086">
    <cfRule type="containsText" dxfId="64" priority="64" operator="containsText" text="Offense Calc:">
      <formula>NOT(ISERROR(SEARCH("Offense Calc:",F1086)))</formula>
    </cfRule>
    <cfRule type="containsText" dxfId="63" priority="65" operator="containsText" text="Midfield Calc:">
      <formula>NOT(ISERROR(SEARCH("Midfield Calc:",F1086)))</formula>
    </cfRule>
    <cfRule type="containsText" dxfId="62" priority="66" operator="containsText" text="Defense calc:">
      <formula>NOT(ISERROR(SEARCH("Defense calc:",F1086)))</formula>
    </cfRule>
  </conditionalFormatting>
  <conditionalFormatting sqref="F1114">
    <cfRule type="containsText" dxfId="61" priority="61" operator="containsText" text="Offense Calc:">
      <formula>NOT(ISERROR(SEARCH("Offense Calc:",F1114)))</formula>
    </cfRule>
    <cfRule type="containsText" dxfId="60" priority="62" operator="containsText" text="Midfield Calc:">
      <formula>NOT(ISERROR(SEARCH("Midfield Calc:",F1114)))</formula>
    </cfRule>
    <cfRule type="containsText" dxfId="59" priority="63" operator="containsText" text="Defense calc:">
      <formula>NOT(ISERROR(SEARCH("Defense calc:",F1114)))</formula>
    </cfRule>
  </conditionalFormatting>
  <conditionalFormatting sqref="A22:AG22 BG22:XFD22 B10:Y10 A357:E357 Z357:XFD357 A23:XFD31 A355:A356 B354:B356 D354:Y356 C355:C356 A1:XFD3 A5:Y9 A11:Y18 A20:XFD21 A32:Y48 AA48:XFD48 A60:Y76 AA76:XFD76 A88:Y104 AA104:XFD104 A116:Y132 AA132:XFD132 A144:Y160 AA160:XFD160 A172:Y188 AA188:XFD188 A200:Y216 AA216:XFD216 A228:Y244 AA244:XFD244 A256:Y272 AA272:XFD272 A284:Y300 AA300:XFD300 A312:Y328 AA328:XFD328 A340:Y353 AA356:XFD356 A368:Y384 AA384:XFD384 A396:Y412 AA412:XFD412 A424:Y440 AA440:XFD440 A452:Y468 AA468:XFD468 A480:Y496 AA496:XFD496 A508:Y524 AA524:XFD524 A536:Y552 AA552:XFD552 A564:Y580 AA580:XFD580 A592:Y608 AA608:XFD608 A620:Y636 AA636:XFD636 A648:Y664 AA664:XFD664 A676:Y692 AA692:XFD692 A704:Y720 AA720:XFD720 A732:Y748 AA748:XFD748 A760:Y776 AA776:XFD776 A788:Y804 AA804:XFD804 A816:Y832 AA832:XFD832 A844:Y860 AA860:XFD860 A872:Y888 AA888:XFD888 A900:Y916 AA916:XFD916 A928:Y944 AA944:XFD944 A956:Y972 AA972:XFD972 A984:Y1000 AA1000:XFD1000 A1012:Y1028 AA1028:XFD1028 A1040:Y1056 AA1056:XFD1056 A1068:Y1084 AA1084:XFD1084 A1096:Y1112 AA1112:XFD1112 A1124:Y1140 AA1140:XFD1140 A49:XFD59 A77:XFD87 A105:XFD115 A133:XFD143 A161:XFD171 A189:XFD199 A217:XFD227 A245:XFD255 A273:XFD283 A301:XFD311 A329:XFD339 A358:XFD367 A385:XFD395 A413:XFD423 A441:XFD451 A469:XFD479 A497:XFD507 A525:XFD535 A553:XFD563 A581:XFD591 A609:XFD619 A637:XFD647 A665:XFD675 A693:XFD703 A721:XFD731 A749:XFD759 A777:XFD787 A805:XFD815 A833:XFD843 A861:XFD871 A889:XFD899 A917:XFD927 A945:XFD955 A973:XFD983 A1001:XFD1011 A1029:XFD1039 A1057:XFD1067 A1085:XFD1095 A1113:XFD1123 A1141:XFD1150 AC4:XFD19 A19:AB19 A4:AB4 Z5:AB18 AC32:XFD47 AC60:XFD75 AC88:XFD103 AC116:XFD131 AC144:XFD159 AC172:XFD187 AC200:XFD215 AC228:XFD243 AC256:XFD271 AC284:XFD299 AC312:XFD327 AC340:XFD355 AC368:XFD383 AC396:XFD411 AC424:XFD439 AC452:XFD467 AC480:XFD495 AC508:XFD523 AC536:XFD551 AC564:XFD579 AC592:XFD607 AC620:XFD635 AC648:XFD663 AC676:XFD691 AC704:XFD719 AC732:XFD747 AC760:XFD775 AC788:XFD803 AC816:XFD831 AC844:XFD859 AC872:XFD887 AC900:XFD915 AC928:XFD943 AC956:XFD971 AC984:XFD999 AC1012:XFD1027 AC1040:XFD1055 AC1068:XFD1083 AC1096:XFD1111 AC1124:XFD1139 A1179:XFD1048576 AC1151:XFD1178">
    <cfRule type="containsText" dxfId="58" priority="57" operator="containsText" text="Selection Score">
      <formula>NOT(ISERROR(SEARCH("Selection Score",A1)))</formula>
    </cfRule>
  </conditionalFormatting>
  <conditionalFormatting sqref="AH22:BF22">
    <cfRule type="containsText" dxfId="57" priority="56" operator="containsText" text="Selection Score">
      <formula>NOT(ISERROR(SEARCH("Selection Score",AH22)))</formula>
    </cfRule>
  </conditionalFormatting>
  <conditionalFormatting sqref="F358">
    <cfRule type="containsText" dxfId="56" priority="53" operator="containsText" text="Offense Calc:">
      <formula>NOT(ISERROR(SEARCH("Offense Calc:",F358)))</formula>
    </cfRule>
    <cfRule type="containsText" dxfId="55" priority="54" operator="containsText" text="Midfield Calc:">
      <formula>NOT(ISERROR(SEARCH("Midfield Calc:",F358)))</formula>
    </cfRule>
    <cfRule type="containsText" dxfId="54" priority="55" operator="containsText" text="Defense calc:">
      <formula>NOT(ISERROR(SEARCH("Defense calc:",F358)))</formula>
    </cfRule>
  </conditionalFormatting>
  <conditionalFormatting sqref="Z340:Z356 Z312:Z328 Z284:Z300 Z256:Z272 Z228:Z244 Z200:Z216 Z172:Z188 Z144:Z160 Z116:Z132 Z88:Z104 Z60:Z76 Z32:Z48">
    <cfRule type="containsText" dxfId="53" priority="52" operator="containsText" text="Selection Score">
      <formula>NOT(ISERROR(SEARCH("Selection Score",Z32)))</formula>
    </cfRule>
  </conditionalFormatting>
  <conditionalFormatting sqref="Z816:Z832 Z788:Z804 Z760:Z776 Z732:Z748 Z704:Z720 Z676:Z692 Z648:Z664 Z620:Z636 Z592:Z608 Z564:Z580 Z536:Z552 Z508:Z524 Z480:Z496 Z452:Z468 Z424:Z440 Z396:Z412 Z368:Z384">
    <cfRule type="containsText" dxfId="52" priority="51" operator="containsText" text="Selection Score">
      <formula>NOT(ISERROR(SEARCH("Selection Score",Z368)))</formula>
    </cfRule>
  </conditionalFormatting>
  <conditionalFormatting sqref="Z1124:Z1140 Z1096:Z1112 Z1068:Z1084 Z1040:Z1056 Z1012:Z1028 Z984:Z1000 Z956:Z972 Z928:Z944 Z900:Z916 Z872:Z888 Z844:Z860">
    <cfRule type="containsText" dxfId="51" priority="50" operator="containsText" text="Selection Score">
      <formula>NOT(ISERROR(SEARCH("Selection Score",Z844)))</formula>
    </cfRule>
  </conditionalFormatting>
  <conditionalFormatting sqref="AA32:AB47">
    <cfRule type="containsText" dxfId="50" priority="49" operator="containsText" text="Selection Score">
      <formula>NOT(ISERROR(SEARCH("Selection Score",AA32)))</formula>
    </cfRule>
  </conditionalFormatting>
  <conditionalFormatting sqref="AA60:AB75">
    <cfRule type="containsText" dxfId="49" priority="48" operator="containsText" text="Selection Score">
      <formula>NOT(ISERROR(SEARCH("Selection Score",AA60)))</formula>
    </cfRule>
  </conditionalFormatting>
  <conditionalFormatting sqref="AA88:AB103">
    <cfRule type="containsText" dxfId="48" priority="47" operator="containsText" text="Selection Score">
      <formula>NOT(ISERROR(SEARCH("Selection Score",AA88)))</formula>
    </cfRule>
  </conditionalFormatting>
  <conditionalFormatting sqref="AA116:AB131">
    <cfRule type="containsText" dxfId="47" priority="46" operator="containsText" text="Selection Score">
      <formula>NOT(ISERROR(SEARCH("Selection Score",AA116)))</formula>
    </cfRule>
  </conditionalFormatting>
  <conditionalFormatting sqref="AA144:AB159">
    <cfRule type="containsText" dxfId="46" priority="45" operator="containsText" text="Selection Score">
      <formula>NOT(ISERROR(SEARCH("Selection Score",AA144)))</formula>
    </cfRule>
  </conditionalFormatting>
  <conditionalFormatting sqref="AA172:AB187">
    <cfRule type="containsText" dxfId="45" priority="44" operator="containsText" text="Selection Score">
      <formula>NOT(ISERROR(SEARCH("Selection Score",AA172)))</formula>
    </cfRule>
  </conditionalFormatting>
  <conditionalFormatting sqref="AA200:AB215">
    <cfRule type="containsText" dxfId="44" priority="43" operator="containsText" text="Selection Score">
      <formula>NOT(ISERROR(SEARCH("Selection Score",AA200)))</formula>
    </cfRule>
  </conditionalFormatting>
  <conditionalFormatting sqref="AA228:AB243">
    <cfRule type="containsText" dxfId="43" priority="42" operator="containsText" text="Selection Score">
      <formula>NOT(ISERROR(SEARCH("Selection Score",AA228)))</formula>
    </cfRule>
  </conditionalFormatting>
  <conditionalFormatting sqref="AA256:AB271">
    <cfRule type="containsText" dxfId="42" priority="41" operator="containsText" text="Selection Score">
      <formula>NOT(ISERROR(SEARCH("Selection Score",AA256)))</formula>
    </cfRule>
  </conditionalFormatting>
  <conditionalFormatting sqref="AA284:AB299">
    <cfRule type="containsText" dxfId="41" priority="40" operator="containsText" text="Selection Score">
      <formula>NOT(ISERROR(SEARCH("Selection Score",AA284)))</formula>
    </cfRule>
  </conditionalFormatting>
  <conditionalFormatting sqref="AA312:AB327">
    <cfRule type="containsText" dxfId="40" priority="39" operator="containsText" text="Selection Score">
      <formula>NOT(ISERROR(SEARCH("Selection Score",AA312)))</formula>
    </cfRule>
  </conditionalFormatting>
  <conditionalFormatting sqref="AA340:AB355">
    <cfRule type="containsText" dxfId="39" priority="38" operator="containsText" text="Selection Score">
      <formula>NOT(ISERROR(SEARCH("Selection Score",AA340)))</formula>
    </cfRule>
  </conditionalFormatting>
  <conditionalFormatting sqref="AA368:AB383">
    <cfRule type="containsText" dxfId="38" priority="37" operator="containsText" text="Selection Score">
      <formula>NOT(ISERROR(SEARCH("Selection Score",AA368)))</formula>
    </cfRule>
  </conditionalFormatting>
  <conditionalFormatting sqref="AA396:AB411">
    <cfRule type="containsText" dxfId="37" priority="36" operator="containsText" text="Selection Score">
      <formula>NOT(ISERROR(SEARCH("Selection Score",AA396)))</formula>
    </cfRule>
  </conditionalFormatting>
  <conditionalFormatting sqref="AA424:AB439">
    <cfRule type="containsText" dxfId="36" priority="35" operator="containsText" text="Selection Score">
      <formula>NOT(ISERROR(SEARCH("Selection Score",AA424)))</formula>
    </cfRule>
  </conditionalFormatting>
  <conditionalFormatting sqref="AA452:AB467">
    <cfRule type="containsText" dxfId="35" priority="34" operator="containsText" text="Selection Score">
      <formula>NOT(ISERROR(SEARCH("Selection Score",AA452)))</formula>
    </cfRule>
  </conditionalFormatting>
  <conditionalFormatting sqref="AA480:AB495">
    <cfRule type="containsText" dxfId="34" priority="33" operator="containsText" text="Selection Score">
      <formula>NOT(ISERROR(SEARCH("Selection Score",AA480)))</formula>
    </cfRule>
  </conditionalFormatting>
  <conditionalFormatting sqref="AA508:AB523">
    <cfRule type="containsText" dxfId="33" priority="32" operator="containsText" text="Selection Score">
      <formula>NOT(ISERROR(SEARCH("Selection Score",AA508)))</formula>
    </cfRule>
  </conditionalFormatting>
  <conditionalFormatting sqref="AA536:AB551">
    <cfRule type="containsText" dxfId="32" priority="31" operator="containsText" text="Selection Score">
      <formula>NOT(ISERROR(SEARCH("Selection Score",AA536)))</formula>
    </cfRule>
  </conditionalFormatting>
  <conditionalFormatting sqref="AA564:AB579">
    <cfRule type="containsText" dxfId="31" priority="30" operator="containsText" text="Selection Score">
      <formula>NOT(ISERROR(SEARCH("Selection Score",AA564)))</formula>
    </cfRule>
  </conditionalFormatting>
  <conditionalFormatting sqref="AA592:AB607">
    <cfRule type="containsText" dxfId="30" priority="29" operator="containsText" text="Selection Score">
      <formula>NOT(ISERROR(SEARCH("Selection Score",AA592)))</formula>
    </cfRule>
  </conditionalFormatting>
  <conditionalFormatting sqref="AA620:AB635">
    <cfRule type="containsText" dxfId="29" priority="28" operator="containsText" text="Selection Score">
      <formula>NOT(ISERROR(SEARCH("Selection Score",AA620)))</formula>
    </cfRule>
  </conditionalFormatting>
  <conditionalFormatting sqref="AA648:AB663">
    <cfRule type="containsText" dxfId="28" priority="27" operator="containsText" text="Selection Score">
      <formula>NOT(ISERROR(SEARCH("Selection Score",AA648)))</formula>
    </cfRule>
  </conditionalFormatting>
  <conditionalFormatting sqref="AA676:AB691">
    <cfRule type="containsText" dxfId="27" priority="26" operator="containsText" text="Selection Score">
      <formula>NOT(ISERROR(SEARCH("Selection Score",AA676)))</formula>
    </cfRule>
  </conditionalFormatting>
  <conditionalFormatting sqref="AA704:AB719">
    <cfRule type="containsText" dxfId="26" priority="25" operator="containsText" text="Selection Score">
      <formula>NOT(ISERROR(SEARCH("Selection Score",AA704)))</formula>
    </cfRule>
  </conditionalFormatting>
  <conditionalFormatting sqref="AA732:AB747">
    <cfRule type="containsText" dxfId="25" priority="24" operator="containsText" text="Selection Score">
      <formula>NOT(ISERROR(SEARCH("Selection Score",AA732)))</formula>
    </cfRule>
  </conditionalFormatting>
  <conditionalFormatting sqref="AA760:AB775">
    <cfRule type="containsText" dxfId="24" priority="23" operator="containsText" text="Selection Score">
      <formula>NOT(ISERROR(SEARCH("Selection Score",AA760)))</formula>
    </cfRule>
  </conditionalFormatting>
  <conditionalFormatting sqref="AA788:AB803">
    <cfRule type="containsText" dxfId="23" priority="22" operator="containsText" text="Selection Score">
      <formula>NOT(ISERROR(SEARCH("Selection Score",AA788)))</formula>
    </cfRule>
  </conditionalFormatting>
  <conditionalFormatting sqref="AA816:AB831">
    <cfRule type="containsText" dxfId="22" priority="21" operator="containsText" text="Selection Score">
      <formula>NOT(ISERROR(SEARCH("Selection Score",AA816)))</formula>
    </cfRule>
  </conditionalFormatting>
  <conditionalFormatting sqref="AA844:AB859">
    <cfRule type="containsText" dxfId="21" priority="20" operator="containsText" text="Selection Score">
      <formula>NOT(ISERROR(SEARCH("Selection Score",AA844)))</formula>
    </cfRule>
  </conditionalFormatting>
  <conditionalFormatting sqref="AA872:AB887">
    <cfRule type="containsText" dxfId="20" priority="19" operator="containsText" text="Selection Score">
      <formula>NOT(ISERROR(SEARCH("Selection Score",AA872)))</formula>
    </cfRule>
  </conditionalFormatting>
  <conditionalFormatting sqref="AA900:AB915">
    <cfRule type="containsText" dxfId="19" priority="18" operator="containsText" text="Selection Score">
      <formula>NOT(ISERROR(SEARCH("Selection Score",AA900)))</formula>
    </cfRule>
  </conditionalFormatting>
  <conditionalFormatting sqref="AA928:AB943">
    <cfRule type="containsText" dxfId="18" priority="17" operator="containsText" text="Selection Score">
      <formula>NOT(ISERROR(SEARCH("Selection Score",AA928)))</formula>
    </cfRule>
  </conditionalFormatting>
  <conditionalFormatting sqref="AA956:AB971">
    <cfRule type="containsText" dxfId="17" priority="16" operator="containsText" text="Selection Score">
      <formula>NOT(ISERROR(SEARCH("Selection Score",AA956)))</formula>
    </cfRule>
  </conditionalFormatting>
  <conditionalFormatting sqref="AA984:AB999">
    <cfRule type="containsText" dxfId="16" priority="15" operator="containsText" text="Selection Score">
      <formula>NOT(ISERROR(SEARCH("Selection Score",AA984)))</formula>
    </cfRule>
  </conditionalFormatting>
  <conditionalFormatting sqref="AA1012:AB1027">
    <cfRule type="containsText" dxfId="15" priority="14" operator="containsText" text="Selection Score">
      <formula>NOT(ISERROR(SEARCH("Selection Score",AA1012)))</formula>
    </cfRule>
  </conditionalFormatting>
  <conditionalFormatting sqref="AA1040:AB1055">
    <cfRule type="containsText" dxfId="14" priority="13" operator="containsText" text="Selection Score">
      <formula>NOT(ISERROR(SEARCH("Selection Score",AA1040)))</formula>
    </cfRule>
  </conditionalFormatting>
  <conditionalFormatting sqref="AA1068:AB1083">
    <cfRule type="containsText" dxfId="13" priority="12" operator="containsText" text="Selection Score">
      <formula>NOT(ISERROR(SEARCH("Selection Score",AA1068)))</formula>
    </cfRule>
  </conditionalFormatting>
  <conditionalFormatting sqref="AA1096:AB1111">
    <cfRule type="containsText" dxfId="12" priority="11" operator="containsText" text="Selection Score">
      <formula>NOT(ISERROR(SEARCH("Selection Score",AA1096)))</formula>
    </cfRule>
  </conditionalFormatting>
  <conditionalFormatting sqref="AA1124:AB1139">
    <cfRule type="containsText" dxfId="11" priority="10" operator="containsText" text="Selection Score">
      <formula>NOT(ISERROR(SEARCH("Selection Score",AA1124)))</formula>
    </cfRule>
  </conditionalFormatting>
  <conditionalFormatting sqref="F1152:F1167">
    <cfRule type="containsText" dxfId="10" priority="7" operator="containsText" text="Offense Calc:">
      <formula>NOT(ISERROR(SEARCH("Offense Calc:",F1152)))</formula>
    </cfRule>
    <cfRule type="containsText" dxfId="9" priority="8" operator="containsText" text="Midfield Calc:">
      <formula>NOT(ISERROR(SEARCH("Midfield Calc:",F1152)))</formula>
    </cfRule>
    <cfRule type="containsText" dxfId="8" priority="9" operator="containsText" text="Defense calc:">
      <formula>NOT(ISERROR(SEARCH("Defense calc:",F1152)))</formula>
    </cfRule>
  </conditionalFormatting>
  <conditionalFormatting sqref="F1170">
    <cfRule type="containsText" dxfId="7" priority="4" operator="containsText" text="Offense Calc:">
      <formula>NOT(ISERROR(SEARCH("Offense Calc:",F1170)))</formula>
    </cfRule>
    <cfRule type="containsText" dxfId="6" priority="5" operator="containsText" text="Midfield Calc:">
      <formula>NOT(ISERROR(SEARCH("Midfield Calc:",F1170)))</formula>
    </cfRule>
    <cfRule type="containsText" dxfId="5" priority="6" operator="containsText" text="Defense calc:">
      <formula>NOT(ISERROR(SEARCH("Defense calc:",F1170)))</formula>
    </cfRule>
  </conditionalFormatting>
  <conditionalFormatting sqref="A1152:Y1168 AA1168:AB1168 A1151:AB1151 A1169:AB1178">
    <cfRule type="containsText" dxfId="4" priority="3" operator="containsText" text="Selection Score">
      <formula>NOT(ISERROR(SEARCH("Selection Score",A1151)))</formula>
    </cfRule>
  </conditionalFormatting>
  <conditionalFormatting sqref="Z1152:Z1168">
    <cfRule type="containsText" dxfId="3" priority="2" operator="containsText" text="Selection Score">
      <formula>NOT(ISERROR(SEARCH("Selection Score",Z1152)))</formula>
    </cfRule>
  </conditionalFormatting>
  <conditionalFormatting sqref="AA1152:AB1167">
    <cfRule type="containsText" dxfId="2" priority="1" operator="containsText" text="Selection Score">
      <formula>NOT(ISERROR(SEARCH("Selection Score",AA1152)))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332"/>
  <sheetViews>
    <sheetView zoomScale="75" zoomScaleNormal="75" workbookViewId="0">
      <selection activeCell="B23" sqref="B23"/>
    </sheetView>
  </sheetViews>
  <sheetFormatPr defaultRowHeight="15" x14ac:dyDescent="0.25"/>
  <cols>
    <col min="1" max="1" width="31.42578125" style="16" customWidth="1"/>
    <col min="2" max="2" width="20.85546875" style="9" customWidth="1"/>
    <col min="3" max="3" width="8.85546875" style="9" customWidth="1"/>
    <col min="4" max="4" width="17.7109375" style="9" customWidth="1"/>
    <col min="5" max="5" width="12" style="9" customWidth="1"/>
    <col min="6" max="6" width="18.42578125" customWidth="1"/>
  </cols>
  <sheetData>
    <row r="1" spans="1:7" s="12" customFormat="1" ht="75" x14ac:dyDescent="0.25">
      <c r="A1" s="13" t="s">
        <v>96</v>
      </c>
      <c r="B1" s="14" t="s">
        <v>104</v>
      </c>
      <c r="C1" s="14"/>
      <c r="D1" s="14" t="s">
        <v>107</v>
      </c>
      <c r="E1" s="15" t="s">
        <v>105</v>
      </c>
      <c r="F1" s="12" t="s">
        <v>114</v>
      </c>
    </row>
    <row r="2" spans="1:7" s="12" customFormat="1" ht="15.75" x14ac:dyDescent="0.25">
      <c r="A2" s="28" t="s">
        <v>108</v>
      </c>
      <c r="B2" s="29">
        <v>3</v>
      </c>
      <c r="C2" s="14"/>
      <c r="D2" s="9">
        <f t="array" ref="D2">Math!C3</f>
        <v>1647</v>
      </c>
      <c r="E2" s="8">
        <f t="array" ref="E2">[0]!_xlnm.Criteria</f>
        <v>64.55</v>
      </c>
      <c r="G2" s="31"/>
    </row>
    <row r="3" spans="1:7" x14ac:dyDescent="0.25">
      <c r="A3" s="16" t="s">
        <v>90</v>
      </c>
      <c r="B3" s="27">
        <v>4</v>
      </c>
      <c r="D3" s="9">
        <f t="array" ref="D3">Math!C59</f>
        <v>25</v>
      </c>
      <c r="E3" s="8" t="e">
        <f t="array" ref="E3">Math!G78</f>
        <v>#DIV/0!</v>
      </c>
      <c r="G3" s="31"/>
    </row>
    <row r="4" spans="1:7" x14ac:dyDescent="0.25">
      <c r="A4" s="16" t="s">
        <v>97</v>
      </c>
      <c r="B4" s="27">
        <v>2</v>
      </c>
      <c r="D4" s="9">
        <f t="array" ref="D4">Math!C31</f>
        <v>1640</v>
      </c>
      <c r="E4" s="8" t="e">
        <f t="array" ref="E4">Math!G50</f>
        <v>#DIV/0!</v>
      </c>
      <c r="G4" s="31"/>
    </row>
    <row r="5" spans="1:7" x14ac:dyDescent="0.25">
      <c r="A5" s="16" t="s">
        <v>61</v>
      </c>
      <c r="B5" s="27">
        <v>6</v>
      </c>
      <c r="D5" s="9">
        <f t="array" ref="D5">Math!C927</f>
        <v>3929</v>
      </c>
      <c r="E5" s="8" t="e">
        <f t="array" ref="E5">Math!G946</f>
        <v>#DIV/0!</v>
      </c>
      <c r="G5" s="31"/>
    </row>
    <row r="6" spans="1:7" x14ac:dyDescent="0.25">
      <c r="A6" s="16" t="s">
        <v>62</v>
      </c>
      <c r="B6" s="27">
        <v>2</v>
      </c>
      <c r="D6" s="9">
        <f t="array" ref="D6">Math!C731</f>
        <v>2559</v>
      </c>
      <c r="E6" s="8" t="e">
        <f t="array" ref="E6">Math!G750</f>
        <v>#DIV/0!</v>
      </c>
      <c r="G6" s="31"/>
    </row>
    <row r="7" spans="1:7" x14ac:dyDescent="0.25">
      <c r="A7" s="16" t="s">
        <v>98</v>
      </c>
      <c r="B7" s="27">
        <v>5</v>
      </c>
      <c r="D7" s="9">
        <f t="array" ref="D7">Math!C171</f>
        <v>223</v>
      </c>
      <c r="E7" s="8" t="e">
        <f t="array" ref="E7">Math!G190</f>
        <v>#DIV/0!</v>
      </c>
      <c r="G7" s="31"/>
    </row>
    <row r="8" spans="1:7" x14ac:dyDescent="0.25">
      <c r="A8" s="16" t="s">
        <v>99</v>
      </c>
      <c r="B8" s="27">
        <v>9</v>
      </c>
      <c r="D8" s="9">
        <f t="array" ref="D8">Math!C395</f>
        <v>484</v>
      </c>
      <c r="E8" s="8" t="e">
        <f t="array" ref="E8">Math!G414</f>
        <v>#DIV/0!</v>
      </c>
      <c r="G8" s="31"/>
    </row>
    <row r="9" spans="1:7" x14ac:dyDescent="0.25">
      <c r="A9" s="16" t="s">
        <v>100</v>
      </c>
      <c r="B9" s="27">
        <v>7</v>
      </c>
      <c r="D9" s="9">
        <f t="array" ref="D9">Math!C675</f>
        <v>2191</v>
      </c>
      <c r="E9" s="8" t="e">
        <f t="array" ref="E9">Math!G694</f>
        <v>#DIV/0!</v>
      </c>
      <c r="G9" s="31"/>
    </row>
    <row r="10" spans="1:7" x14ac:dyDescent="0.25">
      <c r="A10" s="16" t="s">
        <v>77</v>
      </c>
      <c r="B10" s="27">
        <v>4</v>
      </c>
      <c r="D10" s="9">
        <f t="array" ref="D10">Math!C899</f>
        <v>3607</v>
      </c>
      <c r="E10" s="8" t="e">
        <f t="array" ref="E10">Math!G918</f>
        <v>#DIV/0!</v>
      </c>
      <c r="G10" s="31"/>
    </row>
    <row r="11" spans="1:7" x14ac:dyDescent="0.25">
      <c r="A11" s="16" t="s">
        <v>78</v>
      </c>
      <c r="B11" s="27">
        <v>8</v>
      </c>
      <c r="D11" s="9">
        <f t="array" ref="D11">Math!C787</f>
        <v>2600</v>
      </c>
      <c r="E11" s="8" t="e">
        <f t="array" ref="E11">Math!G806</f>
        <v>#DIV/0!</v>
      </c>
      <c r="G11" s="31"/>
    </row>
    <row r="12" spans="1:7" x14ac:dyDescent="0.25">
      <c r="A12" s="16" t="s">
        <v>101</v>
      </c>
      <c r="B12" s="27">
        <v>10</v>
      </c>
      <c r="D12" s="9">
        <f t="array" ref="D12">Math!C843</f>
        <v>3151</v>
      </c>
      <c r="E12" s="8" t="e">
        <f t="array" ref="E12">Math!G862</f>
        <v>#DIV/0!</v>
      </c>
      <c r="G12" s="31"/>
    </row>
    <row r="13" spans="1:7" x14ac:dyDescent="0.25">
      <c r="A13" s="16" t="s">
        <v>88</v>
      </c>
      <c r="B13" s="27">
        <v>2</v>
      </c>
      <c r="D13" s="9">
        <f t="array" ref="D13">Math!C115</f>
        <v>203</v>
      </c>
      <c r="E13" s="8" t="e">
        <f t="array" ref="E13">Math!G134</f>
        <v>#DIV/0!</v>
      </c>
      <c r="G13" s="31"/>
    </row>
    <row r="14" spans="1:7" x14ac:dyDescent="0.25">
      <c r="A14" s="16" t="s">
        <v>89</v>
      </c>
      <c r="B14" s="27">
        <v>2</v>
      </c>
      <c r="D14" s="9">
        <f t="array" ref="D14">Math!C87</f>
        <v>87</v>
      </c>
      <c r="E14" s="8" t="e">
        <f t="array" ref="E14">Math!G106</f>
        <v>#DIV/0!</v>
      </c>
      <c r="G14" s="31"/>
    </row>
    <row r="15" spans="1:7" x14ac:dyDescent="0.25">
      <c r="A15" s="16" t="s">
        <v>86</v>
      </c>
      <c r="B15" s="27">
        <v>2</v>
      </c>
      <c r="D15" s="9">
        <f>Math!C339</f>
        <v>341</v>
      </c>
      <c r="E15" s="8" t="e">
        <f t="array" ref="E15">Math!G358</f>
        <v>#DIV/0!</v>
      </c>
      <c r="G15" s="31"/>
    </row>
    <row r="16" spans="1:7" x14ac:dyDescent="0.25">
      <c r="A16" s="16" t="s">
        <v>87</v>
      </c>
      <c r="B16" s="27">
        <v>10</v>
      </c>
      <c r="D16" s="9">
        <f t="array" ref="D16">Math!C1011</f>
        <v>4575</v>
      </c>
      <c r="E16" s="8" t="e">
        <f t="array" ref="E16">Math!G1030</f>
        <v>#DIV/0!</v>
      </c>
      <c r="G16" s="31"/>
    </row>
    <row r="17" spans="1:8" x14ac:dyDescent="0.25">
      <c r="A17" s="16" t="s">
        <v>102</v>
      </c>
      <c r="B17" s="27">
        <v>5</v>
      </c>
      <c r="D17" s="9">
        <f t="array" ref="D17">Math!C283</f>
        <v>316</v>
      </c>
      <c r="E17" s="8" t="e">
        <f t="array" ref="E17">Math!G302</f>
        <v>#DIV/0!</v>
      </c>
      <c r="G17" s="31"/>
    </row>
    <row r="18" spans="1:8" x14ac:dyDescent="0.25">
      <c r="A18" s="16" t="s">
        <v>103</v>
      </c>
      <c r="B18" s="27">
        <v>2</v>
      </c>
      <c r="D18" s="9">
        <f t="array" ref="D18">Math!C591</f>
        <v>1807</v>
      </c>
      <c r="E18" s="8" t="e">
        <f t="array" ref="E18">Math!G610</f>
        <v>#DIV/0!</v>
      </c>
      <c r="G18" s="31"/>
    </row>
    <row r="19" spans="1:8" x14ac:dyDescent="0.25">
      <c r="A19" s="16" t="s">
        <v>113</v>
      </c>
      <c r="B19" s="27">
        <v>3</v>
      </c>
      <c r="D19" s="9">
        <f t="array" ref="D19">Math!C1123</f>
        <v>5113</v>
      </c>
      <c r="E19" s="8" t="e">
        <f t="array" ref="E19">Math!G1142</f>
        <v>#DIV/0!</v>
      </c>
      <c r="G19" s="31"/>
      <c r="H19" s="26"/>
    </row>
    <row r="20" spans="1:8" x14ac:dyDescent="0.25">
      <c r="D20" s="9">
        <f t="array" ref="D20">Math!C619</f>
        <v>1923</v>
      </c>
      <c r="E20" s="8" t="e">
        <f t="array" ref="E20">Math!G638</f>
        <v>#DIV/0!</v>
      </c>
      <c r="G20" s="31"/>
      <c r="H20" s="26"/>
    </row>
    <row r="21" spans="1:8" x14ac:dyDescent="0.25">
      <c r="D21" s="9">
        <f t="array" ref="D21">Math!C143</f>
        <v>204</v>
      </c>
      <c r="E21" s="8" t="e">
        <f t="array" ref="E21">Math!G162</f>
        <v>#DIV/0!</v>
      </c>
      <c r="G21" s="31"/>
      <c r="H21" s="26"/>
    </row>
    <row r="22" spans="1:8" x14ac:dyDescent="0.25">
      <c r="D22" s="9">
        <f>Math!C423</f>
        <v>708</v>
      </c>
      <c r="E22" s="8" t="e">
        <f t="array" ref="E22">Math!G442</f>
        <v>#DIV/0!</v>
      </c>
      <c r="G22" s="31"/>
      <c r="H22" s="26"/>
    </row>
    <row r="23" spans="1:8" x14ac:dyDescent="0.25">
      <c r="D23" s="9">
        <f t="array" ref="D23">Math!C311</f>
        <v>321</v>
      </c>
      <c r="E23" s="8" t="e">
        <f t="array" ref="E23">Math!$G$330</f>
        <v>#DIV/0!</v>
      </c>
      <c r="G23" s="31"/>
    </row>
    <row r="24" spans="1:8" x14ac:dyDescent="0.25">
      <c r="D24" s="9">
        <f t="array" ref="D24">Math!C703</f>
        <v>2495</v>
      </c>
      <c r="E24" s="8" t="e">
        <f t="array" ref="E24">Math!G722</f>
        <v>#DIV/0!</v>
      </c>
      <c r="G24" s="31"/>
    </row>
    <row r="25" spans="1:8" x14ac:dyDescent="0.25">
      <c r="D25" s="9">
        <f t="array" ref="D25">Math!C1039</f>
        <v>4637</v>
      </c>
      <c r="E25" s="8" t="e">
        <f t="array" ref="E25">Math!G1058</f>
        <v>#DIV/0!</v>
      </c>
      <c r="G25" s="31"/>
    </row>
    <row r="26" spans="1:8" x14ac:dyDescent="0.25">
      <c r="D26" s="9">
        <f t="array" ref="D26">Math!C759</f>
        <v>2590</v>
      </c>
      <c r="E26" s="8" t="e">
        <f t="array" ref="E26">Math!G778</f>
        <v>#DIV/0!</v>
      </c>
      <c r="G26" s="31"/>
    </row>
    <row r="27" spans="1:8" x14ac:dyDescent="0.25">
      <c r="D27" s="9">
        <f>Math!C535</f>
        <v>1089</v>
      </c>
      <c r="E27" s="8" t="e">
        <f t="array" ref="E27">Math!G554</f>
        <v>#DIV/0!</v>
      </c>
      <c r="G27" s="31"/>
    </row>
    <row r="28" spans="1:8" x14ac:dyDescent="0.25">
      <c r="D28" s="9">
        <f t="array" ref="D28">Math!C871</f>
        <v>3167</v>
      </c>
      <c r="E28" s="8" t="e">
        <f t="array" ref="E28">Math!G890</f>
        <v>#DIV/0!</v>
      </c>
      <c r="G28" s="31"/>
    </row>
    <row r="29" spans="1:8" x14ac:dyDescent="0.25">
      <c r="D29" s="9">
        <f t="array" ref="D29">Math!C227</f>
        <v>265</v>
      </c>
      <c r="E29" s="8" t="e">
        <f t="array" ref="E29">Math!G246</f>
        <v>#DIV/0!</v>
      </c>
      <c r="G29" s="31"/>
    </row>
    <row r="30" spans="1:8" x14ac:dyDescent="0.25">
      <c r="D30" s="9">
        <f>Math!C199</f>
        <v>225</v>
      </c>
      <c r="E30" s="8" t="e">
        <f t="array" ref="E30">Math!G218</f>
        <v>#DIV/0!</v>
      </c>
      <c r="G30" s="31"/>
    </row>
    <row r="31" spans="1:8" x14ac:dyDescent="0.25">
      <c r="D31" s="9">
        <f t="array" ref="D31">Math!C983</f>
        <v>4460</v>
      </c>
      <c r="E31" s="8" t="e">
        <f t="array" ref="E31">Math!G1002</f>
        <v>#DIV/0!</v>
      </c>
      <c r="G31" s="31"/>
    </row>
    <row r="32" spans="1:8" x14ac:dyDescent="0.25">
      <c r="D32" s="9">
        <f t="array" ref="D32">Math!C367</f>
        <v>423</v>
      </c>
      <c r="E32" s="8" t="e">
        <f t="array" ref="E32">Math!G386</f>
        <v>#DIV/0!</v>
      </c>
      <c r="G32" s="31"/>
    </row>
    <row r="33" spans="4:7" x14ac:dyDescent="0.25">
      <c r="D33" s="9">
        <f t="array" ref="D33">Math!C255</f>
        <v>272</v>
      </c>
      <c r="E33" s="8" t="e">
        <f t="array" ref="E33">Math!G274</f>
        <v>#DIV/0!</v>
      </c>
      <c r="G33" s="31"/>
    </row>
    <row r="34" spans="4:7" x14ac:dyDescent="0.25">
      <c r="D34" s="9">
        <f t="array" ref="D34">Math!C451</f>
        <v>709</v>
      </c>
      <c r="E34" s="8" t="e">
        <f t="array" ref="E34">Math!G470</f>
        <v>#DIV/0!</v>
      </c>
      <c r="G34" s="31"/>
    </row>
    <row r="35" spans="4:7" x14ac:dyDescent="0.25">
      <c r="D35" s="9">
        <f t="array" ref="D35">Math!C479</f>
        <v>816</v>
      </c>
      <c r="E35" s="8" t="e">
        <f t="array" ref="E35">Math!G498</f>
        <v>#DIV/0!</v>
      </c>
      <c r="G35" s="31"/>
    </row>
    <row r="36" spans="4:7" x14ac:dyDescent="0.25">
      <c r="D36" s="9">
        <f>Math!C1095</f>
        <v>5105</v>
      </c>
      <c r="E36" s="8" t="e">
        <f t="array" ref="E36">Math!G1114</f>
        <v>#DIV/0!</v>
      </c>
      <c r="G36" s="31"/>
    </row>
    <row r="37" spans="4:7" x14ac:dyDescent="0.25">
      <c r="D37" s="9">
        <f t="array" ref="D37">Math!C1067</f>
        <v>4750</v>
      </c>
      <c r="E37" s="8" t="e">
        <f t="array" ref="E37">Math!G1086</f>
        <v>#DIV/0!</v>
      </c>
      <c r="G37" s="31"/>
    </row>
    <row r="38" spans="4:7" x14ac:dyDescent="0.25">
      <c r="D38" s="9">
        <f t="array" ref="D38">Math!C563</f>
        <v>1791</v>
      </c>
      <c r="E38" s="8" t="e">
        <f t="array" ref="E38">Math!G582</f>
        <v>#DIV/0!</v>
      </c>
      <c r="G38" s="31"/>
    </row>
    <row r="39" spans="4:7" x14ac:dyDescent="0.25">
      <c r="D39" s="9">
        <f t="array" ref="D39">Math!C815</f>
        <v>2729</v>
      </c>
      <c r="E39" s="8" t="e">
        <f t="array" ref="E39">Math!G834</f>
        <v>#DIV/0!</v>
      </c>
      <c r="G39" s="31"/>
    </row>
    <row r="40" spans="4:7" x14ac:dyDescent="0.25">
      <c r="D40" s="9">
        <f t="array" ref="D40">Math!C955</f>
        <v>4454</v>
      </c>
      <c r="E40" s="8" t="e">
        <f t="array" ref="E40">Math!G974</f>
        <v>#DIV/0!</v>
      </c>
      <c r="G40" s="31"/>
    </row>
    <row r="41" spans="4:7" x14ac:dyDescent="0.25">
      <c r="D41" s="9">
        <f t="array" ref="D41">Math!C647</f>
        <v>2180</v>
      </c>
      <c r="E41" s="8" t="e">
        <f t="array" ref="E41">Math!G666</f>
        <v>#DIV/0!</v>
      </c>
      <c r="G41" s="31"/>
    </row>
    <row r="42" spans="4:7" x14ac:dyDescent="0.25">
      <c r="D42" s="9">
        <f>Math!C507</f>
        <v>896</v>
      </c>
      <c r="E42" s="8" t="e">
        <f t="array" ref="E42">Math!G526</f>
        <v>#DIV/0!</v>
      </c>
      <c r="G42" s="31"/>
    </row>
    <row r="43" spans="4:7" x14ac:dyDescent="0.25">
      <c r="E43" s="8"/>
      <c r="G43" s="31"/>
    </row>
    <row r="44" spans="4:7" x14ac:dyDescent="0.25">
      <c r="E44" s="8"/>
      <c r="G44" s="31"/>
    </row>
    <row r="45" spans="4:7" x14ac:dyDescent="0.25">
      <c r="E45" s="8"/>
      <c r="G45" s="31"/>
    </row>
    <row r="46" spans="4:7" x14ac:dyDescent="0.25">
      <c r="E46" s="8"/>
      <c r="G46" s="31"/>
    </row>
    <row r="47" spans="4:7" x14ac:dyDescent="0.25">
      <c r="E47" s="8"/>
      <c r="G47" s="31"/>
    </row>
    <row r="48" spans="4:7" x14ac:dyDescent="0.25">
      <c r="E48" s="8"/>
      <c r="G48" s="31"/>
    </row>
    <row r="49" spans="5:7" x14ac:dyDescent="0.25">
      <c r="E49" s="8"/>
      <c r="G49" s="31"/>
    </row>
    <row r="50" spans="5:7" x14ac:dyDescent="0.25">
      <c r="E50" s="8"/>
      <c r="G50" s="31"/>
    </row>
    <row r="51" spans="5:7" x14ac:dyDescent="0.25">
      <c r="E51" s="8"/>
      <c r="G51" s="31"/>
    </row>
    <row r="52" spans="5:7" x14ac:dyDescent="0.25">
      <c r="E52" s="8"/>
      <c r="G52" s="31"/>
    </row>
    <row r="53" spans="5:7" x14ac:dyDescent="0.25">
      <c r="E53" s="8"/>
      <c r="G53" s="31"/>
    </row>
    <row r="54" spans="5:7" x14ac:dyDescent="0.25">
      <c r="E54" s="8"/>
      <c r="G54" s="31"/>
    </row>
    <row r="55" spans="5:7" x14ac:dyDescent="0.25">
      <c r="E55" s="8"/>
      <c r="G55" s="31"/>
    </row>
    <row r="56" spans="5:7" x14ac:dyDescent="0.25">
      <c r="E56" s="8"/>
      <c r="G56" s="31"/>
    </row>
    <row r="57" spans="5:7" x14ac:dyDescent="0.25">
      <c r="E57" s="8"/>
      <c r="G57" s="31"/>
    </row>
    <row r="58" spans="5:7" x14ac:dyDescent="0.25">
      <c r="E58" s="8"/>
      <c r="G58" s="31"/>
    </row>
    <row r="59" spans="5:7" x14ac:dyDescent="0.25">
      <c r="E59" s="8"/>
      <c r="G59" s="31"/>
    </row>
    <row r="60" spans="5:7" x14ac:dyDescent="0.25">
      <c r="E60" s="8"/>
      <c r="G60" s="31"/>
    </row>
    <row r="61" spans="5:7" x14ac:dyDescent="0.25">
      <c r="E61" s="8"/>
      <c r="G61" s="31"/>
    </row>
    <row r="62" spans="5:7" x14ac:dyDescent="0.25">
      <c r="E62" s="8"/>
      <c r="G62" s="31"/>
    </row>
    <row r="63" spans="5:7" x14ac:dyDescent="0.25">
      <c r="E63" s="8"/>
      <c r="G63" s="31"/>
    </row>
    <row r="64" spans="5:7" x14ac:dyDescent="0.25">
      <c r="E64" s="8"/>
      <c r="G64" s="31"/>
    </row>
    <row r="65" spans="5:7" x14ac:dyDescent="0.25">
      <c r="E65" s="8"/>
      <c r="G65" s="31"/>
    </row>
    <row r="66" spans="5:7" x14ac:dyDescent="0.25">
      <c r="E66" s="8"/>
      <c r="G66" s="31"/>
    </row>
    <row r="67" spans="5:7" x14ac:dyDescent="0.25">
      <c r="E67" s="8"/>
      <c r="G67" s="31"/>
    </row>
    <row r="68" spans="5:7" x14ac:dyDescent="0.25">
      <c r="E68" s="8"/>
      <c r="G68" s="31"/>
    </row>
    <row r="69" spans="5:7" x14ac:dyDescent="0.25">
      <c r="E69" s="8"/>
      <c r="G69" s="31"/>
    </row>
    <row r="70" spans="5:7" x14ac:dyDescent="0.25">
      <c r="E70" s="8"/>
      <c r="G70" s="31"/>
    </row>
    <row r="71" spans="5:7" x14ac:dyDescent="0.25">
      <c r="E71" s="8"/>
      <c r="G71" s="31"/>
    </row>
    <row r="72" spans="5:7" x14ac:dyDescent="0.25">
      <c r="E72" s="8"/>
      <c r="G72" s="31"/>
    </row>
    <row r="73" spans="5:7" x14ac:dyDescent="0.25">
      <c r="E73" s="8"/>
      <c r="G73" s="31"/>
    </row>
    <row r="74" spans="5:7" x14ac:dyDescent="0.25">
      <c r="E74" s="8"/>
      <c r="G74" s="31"/>
    </row>
    <row r="75" spans="5:7" x14ac:dyDescent="0.25">
      <c r="E75" s="8"/>
      <c r="G75" s="31"/>
    </row>
    <row r="76" spans="5:7" x14ac:dyDescent="0.25">
      <c r="E76" s="8"/>
      <c r="G76" s="31"/>
    </row>
    <row r="77" spans="5:7" x14ac:dyDescent="0.25">
      <c r="E77" s="8"/>
      <c r="G77" s="31"/>
    </row>
    <row r="78" spans="5:7" x14ac:dyDescent="0.25">
      <c r="E78" s="8"/>
      <c r="G78" s="31"/>
    </row>
    <row r="79" spans="5:7" x14ac:dyDescent="0.25">
      <c r="E79" s="8"/>
      <c r="G79" s="31"/>
    </row>
    <row r="80" spans="5:7" x14ac:dyDescent="0.25">
      <c r="E80" s="8"/>
      <c r="G80" s="31"/>
    </row>
    <row r="81" spans="5:7" x14ac:dyDescent="0.25">
      <c r="E81" s="8"/>
      <c r="G81" s="31"/>
    </row>
    <row r="82" spans="5:7" x14ac:dyDescent="0.25">
      <c r="E82" s="8"/>
      <c r="G82" s="31"/>
    </row>
    <row r="83" spans="5:7" x14ac:dyDescent="0.25">
      <c r="E83" s="8"/>
      <c r="G83" s="31"/>
    </row>
    <row r="84" spans="5:7" x14ac:dyDescent="0.25">
      <c r="E84" s="8"/>
      <c r="G84" s="31"/>
    </row>
    <row r="85" spans="5:7" x14ac:dyDescent="0.25">
      <c r="E85" s="8"/>
    </row>
    <row r="86" spans="5:7" x14ac:dyDescent="0.25">
      <c r="E86" s="8"/>
    </row>
    <row r="87" spans="5:7" x14ac:dyDescent="0.25">
      <c r="E87" s="8"/>
    </row>
    <row r="88" spans="5:7" x14ac:dyDescent="0.25">
      <c r="E88" s="8"/>
    </row>
    <row r="89" spans="5:7" x14ac:dyDescent="0.25">
      <c r="E89" s="8"/>
    </row>
    <row r="90" spans="5:7" x14ac:dyDescent="0.25">
      <c r="E90" s="8"/>
    </row>
    <row r="91" spans="5:7" x14ac:dyDescent="0.25">
      <c r="E91" s="8"/>
    </row>
    <row r="92" spans="5:7" x14ac:dyDescent="0.25">
      <c r="E92" s="8"/>
    </row>
    <row r="93" spans="5:7" x14ac:dyDescent="0.25">
      <c r="E93" s="8"/>
    </row>
    <row r="94" spans="5:7" x14ac:dyDescent="0.25">
      <c r="E94" s="8"/>
    </row>
    <row r="95" spans="5:7" x14ac:dyDescent="0.25">
      <c r="E95" s="8"/>
    </row>
    <row r="96" spans="5:7" x14ac:dyDescent="0.25">
      <c r="E96" s="8"/>
    </row>
    <row r="97" spans="5:5" x14ac:dyDescent="0.25">
      <c r="E97" s="8"/>
    </row>
    <row r="98" spans="5:5" x14ac:dyDescent="0.25">
      <c r="E98" s="8"/>
    </row>
    <row r="99" spans="5:5" x14ac:dyDescent="0.25">
      <c r="E99" s="8"/>
    </row>
    <row r="100" spans="5:5" x14ac:dyDescent="0.25">
      <c r="E100" s="8"/>
    </row>
    <row r="101" spans="5:5" x14ac:dyDescent="0.25">
      <c r="E101" s="8"/>
    </row>
    <row r="102" spans="5:5" x14ac:dyDescent="0.25">
      <c r="E102" s="8"/>
    </row>
    <row r="103" spans="5:5" x14ac:dyDescent="0.25">
      <c r="E103" s="8"/>
    </row>
    <row r="104" spans="5:5" x14ac:dyDescent="0.25">
      <c r="E104" s="8"/>
    </row>
    <row r="105" spans="5:5" x14ac:dyDescent="0.25">
      <c r="E105" s="8"/>
    </row>
    <row r="106" spans="5:5" x14ac:dyDescent="0.25">
      <c r="E106" s="8"/>
    </row>
    <row r="107" spans="5:5" x14ac:dyDescent="0.25">
      <c r="E107" s="8"/>
    </row>
    <row r="108" spans="5:5" x14ac:dyDescent="0.25">
      <c r="E108" s="8"/>
    </row>
    <row r="109" spans="5:5" x14ac:dyDescent="0.25">
      <c r="E109" s="8"/>
    </row>
    <row r="110" spans="5:5" x14ac:dyDescent="0.25">
      <c r="E110" s="8"/>
    </row>
    <row r="111" spans="5:5" x14ac:dyDescent="0.25">
      <c r="E111" s="8"/>
    </row>
    <row r="112" spans="5:5" x14ac:dyDescent="0.25">
      <c r="E112" s="8"/>
    </row>
    <row r="113" spans="5:5" x14ac:dyDescent="0.25">
      <c r="E113" s="8"/>
    </row>
    <row r="114" spans="5:5" x14ac:dyDescent="0.25">
      <c r="E114" s="8"/>
    </row>
    <row r="115" spans="5:5" x14ac:dyDescent="0.25">
      <c r="E115" s="8"/>
    </row>
    <row r="116" spans="5:5" x14ac:dyDescent="0.25">
      <c r="E116" s="8"/>
    </row>
    <row r="117" spans="5:5" x14ac:dyDescent="0.25">
      <c r="E117" s="8"/>
    </row>
    <row r="118" spans="5:5" x14ac:dyDescent="0.25">
      <c r="E118" s="8"/>
    </row>
    <row r="119" spans="5:5" x14ac:dyDescent="0.25">
      <c r="E119" s="8"/>
    </row>
    <row r="120" spans="5:5" x14ac:dyDescent="0.25">
      <c r="E120" s="8"/>
    </row>
    <row r="121" spans="5:5" x14ac:dyDescent="0.25">
      <c r="E121" s="8"/>
    </row>
    <row r="122" spans="5:5" x14ac:dyDescent="0.25">
      <c r="E122" s="8"/>
    </row>
    <row r="123" spans="5:5" x14ac:dyDescent="0.25">
      <c r="E123" s="8"/>
    </row>
    <row r="124" spans="5:5" x14ac:dyDescent="0.25">
      <c r="E124" s="8"/>
    </row>
    <row r="125" spans="5:5" x14ac:dyDescent="0.25">
      <c r="E125" s="8"/>
    </row>
    <row r="126" spans="5:5" x14ac:dyDescent="0.25">
      <c r="E126" s="8"/>
    </row>
    <row r="127" spans="5:5" x14ac:dyDescent="0.25">
      <c r="E127" s="8"/>
    </row>
    <row r="128" spans="5:5" x14ac:dyDescent="0.25">
      <c r="E128" s="8"/>
    </row>
    <row r="129" spans="5:5" x14ac:dyDescent="0.25">
      <c r="E129" s="8"/>
    </row>
    <row r="130" spans="5:5" x14ac:dyDescent="0.25">
      <c r="E130" s="8"/>
    </row>
    <row r="131" spans="5:5" x14ac:dyDescent="0.25">
      <c r="E131" s="8"/>
    </row>
    <row r="132" spans="5:5" x14ac:dyDescent="0.25">
      <c r="E132" s="8"/>
    </row>
    <row r="133" spans="5:5" x14ac:dyDescent="0.25">
      <c r="E133" s="8"/>
    </row>
    <row r="134" spans="5:5" x14ac:dyDescent="0.25">
      <c r="E134" s="8"/>
    </row>
    <row r="135" spans="5:5" x14ac:dyDescent="0.25">
      <c r="E135" s="8"/>
    </row>
    <row r="136" spans="5:5" x14ac:dyDescent="0.25">
      <c r="E136" s="8"/>
    </row>
    <row r="137" spans="5:5" x14ac:dyDescent="0.25">
      <c r="E137" s="8"/>
    </row>
    <row r="138" spans="5:5" x14ac:dyDescent="0.25">
      <c r="E138" s="8"/>
    </row>
    <row r="139" spans="5:5" x14ac:dyDescent="0.25">
      <c r="E139" s="8"/>
    </row>
    <row r="140" spans="5:5" x14ac:dyDescent="0.25">
      <c r="E140" s="8"/>
    </row>
    <row r="141" spans="5:5" x14ac:dyDescent="0.25">
      <c r="E141" s="8"/>
    </row>
    <row r="142" spans="5:5" x14ac:dyDescent="0.25">
      <c r="E142" s="8"/>
    </row>
    <row r="143" spans="5:5" x14ac:dyDescent="0.25">
      <c r="E143" s="8"/>
    </row>
    <row r="144" spans="5:5" x14ac:dyDescent="0.25">
      <c r="E144" s="8"/>
    </row>
    <row r="145" spans="5:5" x14ac:dyDescent="0.25">
      <c r="E145" s="8"/>
    </row>
    <row r="146" spans="5:5" x14ac:dyDescent="0.25">
      <c r="E146" s="8"/>
    </row>
    <row r="147" spans="5:5" x14ac:dyDescent="0.25">
      <c r="E147" s="8"/>
    </row>
    <row r="148" spans="5:5" x14ac:dyDescent="0.25">
      <c r="E148" s="8"/>
    </row>
    <row r="149" spans="5:5" x14ac:dyDescent="0.25">
      <c r="E149" s="8"/>
    </row>
    <row r="150" spans="5:5" x14ac:dyDescent="0.25">
      <c r="E150" s="8"/>
    </row>
    <row r="151" spans="5:5" x14ac:dyDescent="0.25">
      <c r="E151" s="8"/>
    </row>
    <row r="152" spans="5:5" x14ac:dyDescent="0.25">
      <c r="E152" s="8"/>
    </row>
    <row r="153" spans="5:5" x14ac:dyDescent="0.25">
      <c r="E153" s="8"/>
    </row>
    <row r="154" spans="5:5" x14ac:dyDescent="0.25">
      <c r="E154" s="8"/>
    </row>
    <row r="155" spans="5:5" x14ac:dyDescent="0.25">
      <c r="E155" s="8"/>
    </row>
    <row r="156" spans="5:5" x14ac:dyDescent="0.25">
      <c r="E156" s="8"/>
    </row>
    <row r="157" spans="5:5" x14ac:dyDescent="0.25">
      <c r="E157" s="8"/>
    </row>
    <row r="158" spans="5:5" x14ac:dyDescent="0.25">
      <c r="E158" s="8"/>
    </row>
    <row r="159" spans="5:5" x14ac:dyDescent="0.25">
      <c r="E159" s="8"/>
    </row>
    <row r="160" spans="5:5" x14ac:dyDescent="0.25">
      <c r="E160" s="8"/>
    </row>
    <row r="161" spans="5:5" x14ac:dyDescent="0.25">
      <c r="E161" s="8"/>
    </row>
    <row r="162" spans="5:5" x14ac:dyDescent="0.25">
      <c r="E162" s="8"/>
    </row>
    <row r="163" spans="5:5" x14ac:dyDescent="0.25">
      <c r="E163" s="8"/>
    </row>
    <row r="164" spans="5:5" x14ac:dyDescent="0.25">
      <c r="E164" s="8"/>
    </row>
    <row r="165" spans="5:5" x14ac:dyDescent="0.25">
      <c r="E165" s="8"/>
    </row>
    <row r="166" spans="5:5" x14ac:dyDescent="0.25">
      <c r="E166" s="8"/>
    </row>
    <row r="167" spans="5:5" x14ac:dyDescent="0.25">
      <c r="E167" s="8"/>
    </row>
    <row r="168" spans="5:5" x14ac:dyDescent="0.25">
      <c r="E168" s="8"/>
    </row>
    <row r="169" spans="5:5" x14ac:dyDescent="0.25">
      <c r="E169" s="8"/>
    </row>
    <row r="170" spans="5:5" x14ac:dyDescent="0.25">
      <c r="E170" s="8"/>
    </row>
    <row r="171" spans="5:5" x14ac:dyDescent="0.25">
      <c r="E171" s="8"/>
    </row>
    <row r="172" spans="5:5" x14ac:dyDescent="0.25">
      <c r="E172" s="8"/>
    </row>
    <row r="173" spans="5:5" x14ac:dyDescent="0.25">
      <c r="E173" s="8"/>
    </row>
    <row r="174" spans="5:5" x14ac:dyDescent="0.25">
      <c r="E174" s="8"/>
    </row>
    <row r="175" spans="5:5" x14ac:dyDescent="0.25">
      <c r="E175" s="8"/>
    </row>
    <row r="176" spans="5:5" x14ac:dyDescent="0.25">
      <c r="E176" s="8"/>
    </row>
    <row r="177" spans="5:5" x14ac:dyDescent="0.25">
      <c r="E177" s="8"/>
    </row>
    <row r="178" spans="5:5" x14ac:dyDescent="0.25">
      <c r="E178" s="8"/>
    </row>
    <row r="179" spans="5:5" x14ac:dyDescent="0.25">
      <c r="E179" s="8"/>
    </row>
    <row r="180" spans="5:5" x14ac:dyDescent="0.25">
      <c r="E180" s="8"/>
    </row>
    <row r="181" spans="5:5" x14ac:dyDescent="0.25">
      <c r="E181" s="8"/>
    </row>
    <row r="182" spans="5:5" x14ac:dyDescent="0.25">
      <c r="E182" s="8"/>
    </row>
    <row r="183" spans="5:5" x14ac:dyDescent="0.25">
      <c r="E183" s="8"/>
    </row>
    <row r="184" spans="5:5" x14ac:dyDescent="0.25">
      <c r="E184" s="8"/>
    </row>
    <row r="185" spans="5:5" x14ac:dyDescent="0.25">
      <c r="E185" s="8"/>
    </row>
    <row r="186" spans="5:5" x14ac:dyDescent="0.25">
      <c r="E186" s="8"/>
    </row>
    <row r="187" spans="5:5" x14ac:dyDescent="0.25">
      <c r="E187" s="8"/>
    </row>
    <row r="188" spans="5:5" x14ac:dyDescent="0.25">
      <c r="E188" s="8"/>
    </row>
    <row r="189" spans="5:5" x14ac:dyDescent="0.25">
      <c r="E189" s="8"/>
    </row>
    <row r="190" spans="5:5" x14ac:dyDescent="0.25">
      <c r="E190" s="8"/>
    </row>
    <row r="191" spans="5:5" x14ac:dyDescent="0.25">
      <c r="E191" s="8"/>
    </row>
    <row r="192" spans="5:5" x14ac:dyDescent="0.25">
      <c r="E192" s="8"/>
    </row>
    <row r="193" spans="5:5" x14ac:dyDescent="0.25">
      <c r="E193" s="8"/>
    </row>
    <row r="194" spans="5:5" x14ac:dyDescent="0.25">
      <c r="E194" s="8"/>
    </row>
    <row r="195" spans="5:5" x14ac:dyDescent="0.25">
      <c r="E195" s="8"/>
    </row>
    <row r="196" spans="5:5" x14ac:dyDescent="0.25">
      <c r="E196" s="8"/>
    </row>
    <row r="197" spans="5:5" x14ac:dyDescent="0.25">
      <c r="E197" s="8"/>
    </row>
    <row r="198" spans="5:5" x14ac:dyDescent="0.25">
      <c r="E198" s="8"/>
    </row>
    <row r="199" spans="5:5" x14ac:dyDescent="0.25">
      <c r="E199" s="8"/>
    </row>
    <row r="200" spans="5:5" x14ac:dyDescent="0.25">
      <c r="E200" s="8"/>
    </row>
    <row r="201" spans="5:5" x14ac:dyDescent="0.25">
      <c r="E201" s="8"/>
    </row>
    <row r="202" spans="5:5" x14ac:dyDescent="0.25">
      <c r="E202" s="8"/>
    </row>
    <row r="203" spans="5:5" x14ac:dyDescent="0.25">
      <c r="E203" s="8"/>
    </row>
    <row r="204" spans="5:5" x14ac:dyDescent="0.25">
      <c r="E204" s="8"/>
    </row>
    <row r="205" spans="5:5" x14ac:dyDescent="0.25">
      <c r="E205" s="8"/>
    </row>
    <row r="206" spans="5:5" x14ac:dyDescent="0.25">
      <c r="E206" s="8"/>
    </row>
    <row r="207" spans="5:5" x14ac:dyDescent="0.25">
      <c r="E207" s="8"/>
    </row>
    <row r="208" spans="5:5" x14ac:dyDescent="0.25">
      <c r="E208" s="8"/>
    </row>
    <row r="209" spans="5:5" x14ac:dyDescent="0.25">
      <c r="E209" s="8"/>
    </row>
    <row r="210" spans="5:5" x14ac:dyDescent="0.25">
      <c r="E210" s="8"/>
    </row>
    <row r="211" spans="5:5" x14ac:dyDescent="0.25">
      <c r="E211" s="8"/>
    </row>
    <row r="212" spans="5:5" x14ac:dyDescent="0.25">
      <c r="E212" s="8"/>
    </row>
    <row r="213" spans="5:5" x14ac:dyDescent="0.25">
      <c r="E213" s="8"/>
    </row>
    <row r="214" spans="5:5" x14ac:dyDescent="0.25">
      <c r="E214" s="8"/>
    </row>
    <row r="215" spans="5:5" x14ac:dyDescent="0.25">
      <c r="E215" s="8"/>
    </row>
    <row r="216" spans="5:5" x14ac:dyDescent="0.25">
      <c r="E216" s="8"/>
    </row>
    <row r="217" spans="5:5" x14ac:dyDescent="0.25">
      <c r="E217" s="8"/>
    </row>
    <row r="218" spans="5:5" x14ac:dyDescent="0.25">
      <c r="E218" s="8"/>
    </row>
    <row r="219" spans="5:5" x14ac:dyDescent="0.25">
      <c r="E219" s="8"/>
    </row>
    <row r="220" spans="5:5" x14ac:dyDescent="0.25">
      <c r="E220" s="27"/>
    </row>
    <row r="221" spans="5:5" x14ac:dyDescent="0.25">
      <c r="E221" s="27"/>
    </row>
    <row r="222" spans="5:5" x14ac:dyDescent="0.25">
      <c r="E222" s="27"/>
    </row>
    <row r="223" spans="5:5" x14ac:dyDescent="0.25">
      <c r="E223" s="27"/>
    </row>
    <row r="224" spans="5:5" x14ac:dyDescent="0.25">
      <c r="E224" s="27"/>
    </row>
    <row r="225" spans="5:5" x14ac:dyDescent="0.25">
      <c r="E225" s="27"/>
    </row>
    <row r="226" spans="5:5" x14ac:dyDescent="0.25">
      <c r="E226" s="27"/>
    </row>
    <row r="227" spans="5:5" x14ac:dyDescent="0.25">
      <c r="E227" s="27"/>
    </row>
    <row r="228" spans="5:5" x14ac:dyDescent="0.25">
      <c r="E228" s="27"/>
    </row>
    <row r="229" spans="5:5" x14ac:dyDescent="0.25">
      <c r="E229" s="27"/>
    </row>
    <row r="230" spans="5:5" x14ac:dyDescent="0.25">
      <c r="E230" s="27"/>
    </row>
    <row r="231" spans="5:5" x14ac:dyDescent="0.25">
      <c r="E231" s="27"/>
    </row>
    <row r="232" spans="5:5" x14ac:dyDescent="0.25">
      <c r="E232" s="27"/>
    </row>
    <row r="233" spans="5:5" x14ac:dyDescent="0.25">
      <c r="E233" s="27"/>
    </row>
    <row r="234" spans="5:5" x14ac:dyDescent="0.25">
      <c r="E234" s="27"/>
    </row>
    <row r="235" spans="5:5" x14ac:dyDescent="0.25">
      <c r="E235" s="27"/>
    </row>
    <row r="236" spans="5:5" x14ac:dyDescent="0.25">
      <c r="E236" s="27"/>
    </row>
    <row r="237" spans="5:5" x14ac:dyDescent="0.25">
      <c r="E237" s="27"/>
    </row>
    <row r="238" spans="5:5" x14ac:dyDescent="0.25">
      <c r="E238" s="27"/>
    </row>
    <row r="239" spans="5:5" x14ac:dyDescent="0.25">
      <c r="E239" s="27"/>
    </row>
    <row r="240" spans="5:5" x14ac:dyDescent="0.25">
      <c r="E240" s="27"/>
    </row>
    <row r="241" spans="5:5" x14ac:dyDescent="0.25">
      <c r="E241" s="27"/>
    </row>
    <row r="242" spans="5:5" x14ac:dyDescent="0.25">
      <c r="E242" s="27"/>
    </row>
    <row r="243" spans="5:5" x14ac:dyDescent="0.25">
      <c r="E243" s="27"/>
    </row>
    <row r="244" spans="5:5" x14ac:dyDescent="0.25">
      <c r="E244" s="27"/>
    </row>
    <row r="245" spans="5:5" x14ac:dyDescent="0.25">
      <c r="E245" s="27"/>
    </row>
    <row r="246" spans="5:5" x14ac:dyDescent="0.25">
      <c r="E246" s="27"/>
    </row>
    <row r="247" spans="5:5" x14ac:dyDescent="0.25">
      <c r="E247" s="27"/>
    </row>
    <row r="248" spans="5:5" x14ac:dyDescent="0.25">
      <c r="E248" s="27"/>
    </row>
    <row r="249" spans="5:5" x14ac:dyDescent="0.25">
      <c r="E249" s="27"/>
    </row>
    <row r="250" spans="5:5" x14ac:dyDescent="0.25">
      <c r="E250" s="27"/>
    </row>
    <row r="251" spans="5:5" x14ac:dyDescent="0.25">
      <c r="E251" s="27"/>
    </row>
    <row r="252" spans="5:5" x14ac:dyDescent="0.25">
      <c r="E252" s="27"/>
    </row>
    <row r="253" spans="5:5" x14ac:dyDescent="0.25">
      <c r="E253" s="27"/>
    </row>
    <row r="254" spans="5:5" x14ac:dyDescent="0.25">
      <c r="E254" s="27"/>
    </row>
    <row r="255" spans="5:5" x14ac:dyDescent="0.25">
      <c r="E255" s="27"/>
    </row>
    <row r="256" spans="5:5" x14ac:dyDescent="0.25">
      <c r="E256" s="27"/>
    </row>
    <row r="257" spans="5:5" x14ac:dyDescent="0.25">
      <c r="E257" s="27"/>
    </row>
    <row r="258" spans="5:5" x14ac:dyDescent="0.25">
      <c r="E258" s="27"/>
    </row>
    <row r="259" spans="5:5" x14ac:dyDescent="0.25">
      <c r="E259" s="27"/>
    </row>
    <row r="260" spans="5:5" x14ac:dyDescent="0.25">
      <c r="E260" s="27"/>
    </row>
    <row r="261" spans="5:5" x14ac:dyDescent="0.25">
      <c r="E261" s="27"/>
    </row>
    <row r="262" spans="5:5" x14ac:dyDescent="0.25">
      <c r="E262" s="27"/>
    </row>
    <row r="263" spans="5:5" x14ac:dyDescent="0.25">
      <c r="E263" s="27"/>
    </row>
    <row r="264" spans="5:5" x14ac:dyDescent="0.25">
      <c r="E264" s="27"/>
    </row>
    <row r="265" spans="5:5" x14ac:dyDescent="0.25">
      <c r="E265" s="27"/>
    </row>
    <row r="266" spans="5:5" x14ac:dyDescent="0.25">
      <c r="E266" s="27"/>
    </row>
    <row r="267" spans="5:5" x14ac:dyDescent="0.25">
      <c r="E267" s="27"/>
    </row>
    <row r="268" spans="5:5" x14ac:dyDescent="0.25">
      <c r="E268" s="27"/>
    </row>
    <row r="269" spans="5:5" x14ac:dyDescent="0.25">
      <c r="E269" s="27"/>
    </row>
    <row r="270" spans="5:5" x14ac:dyDescent="0.25">
      <c r="E270" s="27"/>
    </row>
    <row r="271" spans="5:5" x14ac:dyDescent="0.25">
      <c r="E271" s="27"/>
    </row>
    <row r="272" spans="5:5" x14ac:dyDescent="0.25">
      <c r="E272" s="27"/>
    </row>
    <row r="273" spans="5:5" x14ac:dyDescent="0.25">
      <c r="E273" s="27"/>
    </row>
    <row r="274" spans="5:5" x14ac:dyDescent="0.25">
      <c r="E274" s="27"/>
    </row>
    <row r="275" spans="5:5" x14ac:dyDescent="0.25">
      <c r="E275" s="27"/>
    </row>
    <row r="276" spans="5:5" x14ac:dyDescent="0.25">
      <c r="E276" s="27"/>
    </row>
    <row r="277" spans="5:5" x14ac:dyDescent="0.25">
      <c r="E277" s="27"/>
    </row>
    <row r="278" spans="5:5" x14ac:dyDescent="0.25">
      <c r="E278" s="27"/>
    </row>
    <row r="279" spans="5:5" x14ac:dyDescent="0.25">
      <c r="E279" s="27"/>
    </row>
    <row r="280" spans="5:5" x14ac:dyDescent="0.25">
      <c r="E280" s="27"/>
    </row>
    <row r="281" spans="5:5" x14ac:dyDescent="0.25">
      <c r="E281" s="27"/>
    </row>
    <row r="282" spans="5:5" x14ac:dyDescent="0.25">
      <c r="E282" s="27"/>
    </row>
    <row r="283" spans="5:5" x14ac:dyDescent="0.25">
      <c r="E283" s="27"/>
    </row>
    <row r="284" spans="5:5" x14ac:dyDescent="0.25">
      <c r="E284" s="27"/>
    </row>
    <row r="285" spans="5:5" x14ac:dyDescent="0.25">
      <c r="E285" s="27"/>
    </row>
    <row r="286" spans="5:5" x14ac:dyDescent="0.25">
      <c r="E286" s="27"/>
    </row>
    <row r="287" spans="5:5" x14ac:dyDescent="0.25">
      <c r="E287" s="27"/>
    </row>
    <row r="288" spans="5:5" x14ac:dyDescent="0.25">
      <c r="E288" s="27"/>
    </row>
    <row r="289" spans="5:5" x14ac:dyDescent="0.25">
      <c r="E289" s="27"/>
    </row>
    <row r="290" spans="5:5" x14ac:dyDescent="0.25">
      <c r="E290" s="27"/>
    </row>
    <row r="291" spans="5:5" x14ac:dyDescent="0.25">
      <c r="E291" s="27"/>
    </row>
    <row r="292" spans="5:5" x14ac:dyDescent="0.25">
      <c r="E292" s="27"/>
    </row>
    <row r="293" spans="5:5" x14ac:dyDescent="0.25">
      <c r="E293" s="27"/>
    </row>
    <row r="294" spans="5:5" x14ac:dyDescent="0.25">
      <c r="E294" s="27"/>
    </row>
    <row r="295" spans="5:5" x14ac:dyDescent="0.25">
      <c r="E295" s="27"/>
    </row>
    <row r="296" spans="5:5" x14ac:dyDescent="0.25">
      <c r="E296" s="27"/>
    </row>
    <row r="297" spans="5:5" x14ac:dyDescent="0.25">
      <c r="E297" s="27"/>
    </row>
    <row r="298" spans="5:5" x14ac:dyDescent="0.25">
      <c r="E298" s="27"/>
    </row>
    <row r="299" spans="5:5" x14ac:dyDescent="0.25">
      <c r="E299" s="27"/>
    </row>
    <row r="300" spans="5:5" x14ac:dyDescent="0.25">
      <c r="E300" s="27"/>
    </row>
    <row r="301" spans="5:5" x14ac:dyDescent="0.25">
      <c r="E301" s="27"/>
    </row>
    <row r="302" spans="5:5" x14ac:dyDescent="0.25">
      <c r="E302" s="27"/>
    </row>
    <row r="303" spans="5:5" x14ac:dyDescent="0.25">
      <c r="E303" s="27"/>
    </row>
    <row r="304" spans="5:5" x14ac:dyDescent="0.25">
      <c r="E304" s="27"/>
    </row>
    <row r="305" spans="5:5" x14ac:dyDescent="0.25">
      <c r="E305" s="27"/>
    </row>
    <row r="306" spans="5:5" x14ac:dyDescent="0.25">
      <c r="E306" s="27"/>
    </row>
    <row r="307" spans="5:5" x14ac:dyDescent="0.25">
      <c r="E307" s="27"/>
    </row>
    <row r="308" spans="5:5" x14ac:dyDescent="0.25">
      <c r="E308" s="27"/>
    </row>
    <row r="309" spans="5:5" x14ac:dyDescent="0.25">
      <c r="E309" s="27"/>
    </row>
    <row r="310" spans="5:5" x14ac:dyDescent="0.25">
      <c r="E310" s="27"/>
    </row>
    <row r="311" spans="5:5" x14ac:dyDescent="0.25">
      <c r="E311" s="27"/>
    </row>
    <row r="312" spans="5:5" x14ac:dyDescent="0.25">
      <c r="E312" s="27"/>
    </row>
    <row r="313" spans="5:5" x14ac:dyDescent="0.25">
      <c r="E313" s="27"/>
    </row>
    <row r="314" spans="5:5" x14ac:dyDescent="0.25">
      <c r="E314" s="27"/>
    </row>
    <row r="315" spans="5:5" x14ac:dyDescent="0.25">
      <c r="E315" s="27"/>
    </row>
    <row r="316" spans="5:5" x14ac:dyDescent="0.25">
      <c r="E316" s="27"/>
    </row>
    <row r="317" spans="5:5" x14ac:dyDescent="0.25">
      <c r="E317" s="27"/>
    </row>
    <row r="318" spans="5:5" x14ac:dyDescent="0.25">
      <c r="E318" s="27"/>
    </row>
    <row r="319" spans="5:5" x14ac:dyDescent="0.25">
      <c r="E319" s="27"/>
    </row>
    <row r="320" spans="5:5" x14ac:dyDescent="0.25">
      <c r="E320" s="27"/>
    </row>
    <row r="321" spans="5:5" x14ac:dyDescent="0.25">
      <c r="E321" s="27"/>
    </row>
    <row r="322" spans="5:5" x14ac:dyDescent="0.25">
      <c r="E322" s="27"/>
    </row>
    <row r="323" spans="5:5" x14ac:dyDescent="0.25">
      <c r="E323" s="27"/>
    </row>
    <row r="324" spans="5:5" x14ac:dyDescent="0.25">
      <c r="E324" s="27"/>
    </row>
    <row r="325" spans="5:5" x14ac:dyDescent="0.25">
      <c r="E325" s="27"/>
    </row>
    <row r="326" spans="5:5" x14ac:dyDescent="0.25">
      <c r="E326" s="27"/>
    </row>
    <row r="327" spans="5:5" x14ac:dyDescent="0.25">
      <c r="E327" s="27"/>
    </row>
    <row r="328" spans="5:5" x14ac:dyDescent="0.25">
      <c r="E328" s="27"/>
    </row>
    <row r="329" spans="5:5" x14ac:dyDescent="0.25">
      <c r="E329" s="27"/>
    </row>
    <row r="330" spans="5:5" x14ac:dyDescent="0.25">
      <c r="E330" s="27"/>
    </row>
    <row r="331" spans="5:5" x14ac:dyDescent="0.25">
      <c r="E331" s="27"/>
    </row>
    <row r="332" spans="5:5" x14ac:dyDescent="0.25">
      <c r="E332" s="27"/>
    </row>
  </sheetData>
  <sortState ref="D2:G70">
    <sortCondition descending="1" ref="E2:E42"/>
  </sortState>
  <conditionalFormatting sqref="F4 F25 F32 F34 F36 F40 F38 F42">
    <cfRule type="containsText" dxfId="1" priority="3" operator="containsText" text="Selection Score">
      <formula>NOT(ISERROR(SEARCH("Selection Score",F4)))</formula>
    </cfRule>
  </conditionalFormatting>
  <conditionalFormatting sqref="G1:G1048576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byScore">
                <anchor moveWithCells="1" sizeWithCells="1">
                  <from>
                    <xdr:col>0</xdr:col>
                    <xdr:colOff>323850</xdr:colOff>
                    <xdr:row>23</xdr:row>
                    <xdr:rowOff>123825</xdr:rowOff>
                  </from>
                  <to>
                    <xdr:col>1</xdr:col>
                    <xdr:colOff>85725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Raw Data</vt:lpstr>
      <vt:lpstr>Math</vt:lpstr>
      <vt:lpstr>Weighting &amp; Ranking Sheet</vt:lpstr>
      <vt:lpstr>Math!Criteria</vt:lpstr>
      <vt:lpstr>'Weighting &amp; Ranking Sheet'!Criteria</vt:lpstr>
      <vt:lpstr>Criteria</vt:lpstr>
      <vt:lpstr>Math!Extract</vt:lpstr>
      <vt:lpstr>'Weighting &amp; Ranking Sheet'!Extract</vt:lpstr>
    </vt:vector>
  </TitlesOfParts>
  <Company>LRSD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Steven Campbell</cp:lastModifiedBy>
  <cp:lastPrinted>2014-02-06T21:09:15Z</cp:lastPrinted>
  <dcterms:created xsi:type="dcterms:W3CDTF">2014-01-14T20:53:27Z</dcterms:created>
  <dcterms:modified xsi:type="dcterms:W3CDTF">2014-03-15T15:51:25Z</dcterms:modified>
</cp:coreProperties>
</file>